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IRIGASI JATIM\OneDrive\Documents\Dokumen_Akif\aa_irigasi\SKP\2026\PAKSI_AI\"/>
    </mc:Choice>
  </mc:AlternateContent>
  <xr:revisionPtr revIDLastSave="0" documentId="13_ncr:1_{7A0B1BF3-2ADD-47BC-9BDF-CC23B9CA8054}" xr6:coauthVersionLast="45" xr6:coauthVersionMax="45" xr10:uidLastSave="{00000000-0000-0000-0000-000000000000}"/>
  <bookViews>
    <workbookView xWindow="-108" yWindow="-108" windowWidth="23256" windowHeight="13176" tabRatio="918" activeTab="8" xr2:uid="{00000000-000D-0000-FFFF-FFFF00000000}"/>
  </bookViews>
  <sheets>
    <sheet name="All" sheetId="1" r:id="rId1"/>
    <sheet name="Sheet1" sheetId="2" r:id="rId2"/>
    <sheet name="per kab" sheetId="3" r:id="rId3"/>
    <sheet name="Luas DI" sheetId="4" r:id="rId4"/>
    <sheet name="fisik" sheetId="5" r:id="rId5"/>
    <sheet name="Non fisik" sheetId="6" r:id="rId6"/>
    <sheet name="IKSI" sheetId="7" r:id="rId7"/>
    <sheet name="average" sheetId="8" r:id="rId8"/>
    <sheet name="EPAKSI" sheetId="9" r:id="rId9"/>
    <sheet name="penanganan ok" sheetId="10" r:id="rId10"/>
    <sheet name="penanganan" sheetId="11" r:id="rId11"/>
    <sheet name="analisa" sheetId="12" r:id="rId12"/>
    <sheet name="analisa (2)" sheetId="13" r:id="rId13"/>
    <sheet name="prioritas" sheetId="14" r:id="rId14"/>
  </sheets>
  <definedNames>
    <definedName name="_xlnm._FilterDatabase" localSheetId="8" hidden="1">EPAKSI!$F$1:$F$201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61" i="14" l="1"/>
  <c r="H160" i="14"/>
  <c r="C160" i="14"/>
  <c r="D160" i="14" s="1"/>
  <c r="H159" i="14"/>
  <c r="C159" i="14"/>
  <c r="D159" i="14" s="1"/>
  <c r="H158" i="14"/>
  <c r="C158" i="14"/>
  <c r="D158" i="14" s="1"/>
  <c r="H157" i="14"/>
  <c r="C157" i="14"/>
  <c r="D157" i="14" s="1"/>
  <c r="H156" i="14"/>
  <c r="C156" i="14"/>
  <c r="D156" i="14" s="1"/>
  <c r="H155" i="14"/>
  <c r="C155" i="14"/>
  <c r="D155" i="14" s="1"/>
  <c r="H154" i="14"/>
  <c r="C154" i="14"/>
  <c r="D154" i="14" s="1"/>
  <c r="H153" i="14"/>
  <c r="C153" i="14"/>
  <c r="D153" i="14" s="1"/>
  <c r="H152" i="14"/>
  <c r="D152" i="14"/>
  <c r="C152" i="14"/>
  <c r="H151" i="14"/>
  <c r="D151" i="14"/>
  <c r="C151" i="14"/>
  <c r="H150" i="14"/>
  <c r="C150" i="14"/>
  <c r="D150" i="14" s="1"/>
  <c r="H149" i="14"/>
  <c r="C149" i="14"/>
  <c r="D149" i="14" s="1"/>
  <c r="H148" i="14"/>
  <c r="C148" i="14"/>
  <c r="D148" i="14" s="1"/>
  <c r="H147" i="14"/>
  <c r="D147" i="14"/>
  <c r="C147" i="14"/>
  <c r="H146" i="14"/>
  <c r="C146" i="14"/>
  <c r="D146" i="14" s="1"/>
  <c r="H145" i="14"/>
  <c r="D145" i="14"/>
  <c r="C145" i="14"/>
  <c r="H144" i="14"/>
  <c r="D144" i="14"/>
  <c r="C144" i="14"/>
  <c r="H143" i="14"/>
  <c r="D143" i="14"/>
  <c r="C143" i="14"/>
  <c r="H142" i="14"/>
  <c r="C142" i="14"/>
  <c r="D142" i="14" s="1"/>
  <c r="H141" i="14"/>
  <c r="C141" i="14"/>
  <c r="D141" i="14" s="1"/>
  <c r="H140" i="14"/>
  <c r="C140" i="14"/>
  <c r="D140" i="14" s="1"/>
  <c r="H139" i="14"/>
  <c r="D139" i="14"/>
  <c r="C139" i="14"/>
  <c r="H138" i="14"/>
  <c r="C138" i="14"/>
  <c r="D138" i="14" s="1"/>
  <c r="H137" i="14"/>
  <c r="D137" i="14"/>
  <c r="C137" i="14"/>
  <c r="H136" i="14"/>
  <c r="D136" i="14"/>
  <c r="C136" i="14"/>
  <c r="H135" i="14"/>
  <c r="D135" i="14"/>
  <c r="C135" i="14"/>
  <c r="H134" i="14"/>
  <c r="C134" i="14"/>
  <c r="D134" i="14" s="1"/>
  <c r="H133" i="14"/>
  <c r="C133" i="14"/>
  <c r="D133" i="14" s="1"/>
  <c r="H132" i="14"/>
  <c r="C132" i="14"/>
  <c r="D132" i="14" s="1"/>
  <c r="H131" i="14"/>
  <c r="D131" i="14"/>
  <c r="C131" i="14"/>
  <c r="H130" i="14"/>
  <c r="C130" i="14"/>
  <c r="D130" i="14" s="1"/>
  <c r="H129" i="14"/>
  <c r="D129" i="14"/>
  <c r="C129" i="14"/>
  <c r="H128" i="14"/>
  <c r="D128" i="14"/>
  <c r="C128" i="14"/>
  <c r="H127" i="14"/>
  <c r="D127" i="14"/>
  <c r="C127" i="14"/>
  <c r="H126" i="14"/>
  <c r="C126" i="14"/>
  <c r="D126" i="14" s="1"/>
  <c r="H125" i="14"/>
  <c r="C125" i="14"/>
  <c r="D125" i="14" s="1"/>
  <c r="H124" i="14"/>
  <c r="C124" i="14"/>
  <c r="D124" i="14" s="1"/>
  <c r="H123" i="14"/>
  <c r="D123" i="14"/>
  <c r="C123" i="14"/>
  <c r="H122" i="14"/>
  <c r="C122" i="14"/>
  <c r="D122" i="14" s="1"/>
  <c r="H121" i="14"/>
  <c r="D121" i="14"/>
  <c r="C121" i="14"/>
  <c r="H120" i="14"/>
  <c r="C120" i="14"/>
  <c r="D120" i="14" s="1"/>
  <c r="H119" i="14"/>
  <c r="D119" i="14"/>
  <c r="C119" i="14"/>
  <c r="H118" i="14"/>
  <c r="C118" i="14"/>
  <c r="D118" i="14" s="1"/>
  <c r="H117" i="14"/>
  <c r="C117" i="14"/>
  <c r="D117" i="14" s="1"/>
  <c r="H116" i="14"/>
  <c r="C116" i="14"/>
  <c r="D116" i="14" s="1"/>
  <c r="H115" i="14"/>
  <c r="D115" i="14"/>
  <c r="C115" i="14"/>
  <c r="H114" i="14"/>
  <c r="C114" i="14"/>
  <c r="D114" i="14" s="1"/>
  <c r="H113" i="14"/>
  <c r="D113" i="14"/>
  <c r="C113" i="14"/>
  <c r="H112" i="14"/>
  <c r="C112" i="14"/>
  <c r="D112" i="14" s="1"/>
  <c r="H111" i="14"/>
  <c r="D111" i="14"/>
  <c r="C111" i="14"/>
  <c r="H110" i="14"/>
  <c r="C110" i="14"/>
  <c r="D110" i="14" s="1"/>
  <c r="H109" i="14"/>
  <c r="C109" i="14"/>
  <c r="D109" i="14" s="1"/>
  <c r="H108" i="14"/>
  <c r="C108" i="14"/>
  <c r="D108" i="14" s="1"/>
  <c r="H107" i="14"/>
  <c r="D107" i="14"/>
  <c r="C107" i="14"/>
  <c r="H106" i="14"/>
  <c r="C106" i="14"/>
  <c r="D106" i="14" s="1"/>
  <c r="H105" i="14"/>
  <c r="D105" i="14"/>
  <c r="C105" i="14"/>
  <c r="H104" i="14"/>
  <c r="D104" i="14"/>
  <c r="C104" i="14"/>
  <c r="H103" i="14"/>
  <c r="D103" i="14"/>
  <c r="C103" i="14"/>
  <c r="H102" i="14"/>
  <c r="C102" i="14"/>
  <c r="D102" i="14" s="1"/>
  <c r="H101" i="14"/>
  <c r="C101" i="14"/>
  <c r="D101" i="14" s="1"/>
  <c r="H100" i="14"/>
  <c r="C100" i="14"/>
  <c r="D100" i="14" s="1"/>
  <c r="H99" i="14"/>
  <c r="D99" i="14"/>
  <c r="C99" i="14"/>
  <c r="H98" i="14"/>
  <c r="C98" i="14"/>
  <c r="D98" i="14" s="1"/>
  <c r="H97" i="14"/>
  <c r="D97" i="14"/>
  <c r="C97" i="14"/>
  <c r="H96" i="14"/>
  <c r="D96" i="14"/>
  <c r="C96" i="14"/>
  <c r="H95" i="14"/>
  <c r="D95" i="14"/>
  <c r="C95" i="14"/>
  <c r="H94" i="14"/>
  <c r="C94" i="14"/>
  <c r="D94" i="14" s="1"/>
  <c r="H93" i="14"/>
  <c r="C93" i="14"/>
  <c r="D93" i="14" s="1"/>
  <c r="H92" i="14"/>
  <c r="C92" i="14"/>
  <c r="D92" i="14" s="1"/>
  <c r="H91" i="14"/>
  <c r="D91" i="14"/>
  <c r="C91" i="14"/>
  <c r="H90" i="14"/>
  <c r="C90" i="14"/>
  <c r="D90" i="14" s="1"/>
  <c r="H89" i="14"/>
  <c r="D89" i="14"/>
  <c r="C89" i="14"/>
  <c r="H88" i="14"/>
  <c r="D88" i="14"/>
  <c r="C88" i="14"/>
  <c r="H87" i="14"/>
  <c r="D87" i="14"/>
  <c r="C87" i="14"/>
  <c r="H86" i="14"/>
  <c r="C86" i="14"/>
  <c r="D86" i="14" s="1"/>
  <c r="H85" i="14"/>
  <c r="C85" i="14"/>
  <c r="D85" i="14" s="1"/>
  <c r="H84" i="14"/>
  <c r="C84" i="14"/>
  <c r="D84" i="14" s="1"/>
  <c r="H83" i="14"/>
  <c r="D83" i="14"/>
  <c r="C83" i="14"/>
  <c r="H82" i="14"/>
  <c r="C82" i="14"/>
  <c r="D82" i="14" s="1"/>
  <c r="H81" i="14"/>
  <c r="D81" i="14"/>
  <c r="C81" i="14"/>
  <c r="H80" i="14"/>
  <c r="D80" i="14"/>
  <c r="C80" i="14"/>
  <c r="H79" i="14"/>
  <c r="D79" i="14"/>
  <c r="C79" i="14"/>
  <c r="H78" i="14"/>
  <c r="C78" i="14"/>
  <c r="D78" i="14" s="1"/>
  <c r="H77" i="14"/>
  <c r="C77" i="14"/>
  <c r="D77" i="14" s="1"/>
  <c r="H76" i="14"/>
  <c r="C76" i="14"/>
  <c r="D76" i="14" s="1"/>
  <c r="H75" i="14"/>
  <c r="D75" i="14"/>
  <c r="C75" i="14"/>
  <c r="H74" i="14"/>
  <c r="C74" i="14"/>
  <c r="D74" i="14" s="1"/>
  <c r="H73" i="14"/>
  <c r="D73" i="14"/>
  <c r="C73" i="14"/>
  <c r="H72" i="14"/>
  <c r="C72" i="14"/>
  <c r="D72" i="14" s="1"/>
  <c r="H71" i="14"/>
  <c r="D71" i="14"/>
  <c r="C71" i="14"/>
  <c r="H70" i="14"/>
  <c r="C70" i="14"/>
  <c r="D70" i="14" s="1"/>
  <c r="H69" i="14"/>
  <c r="C69" i="14"/>
  <c r="D69" i="14" s="1"/>
  <c r="H68" i="14"/>
  <c r="C68" i="14"/>
  <c r="D68" i="14" s="1"/>
  <c r="H67" i="14"/>
  <c r="D67" i="14"/>
  <c r="C67" i="14"/>
  <c r="H66" i="14"/>
  <c r="C66" i="14"/>
  <c r="D66" i="14" s="1"/>
  <c r="H65" i="14"/>
  <c r="D65" i="14"/>
  <c r="C65" i="14"/>
  <c r="H64" i="14"/>
  <c r="C64" i="14"/>
  <c r="D64" i="14" s="1"/>
  <c r="H63" i="14"/>
  <c r="D63" i="14"/>
  <c r="C63" i="14"/>
  <c r="H62" i="14"/>
  <c r="C62" i="14"/>
  <c r="D62" i="14" s="1"/>
  <c r="H61" i="14"/>
  <c r="C61" i="14"/>
  <c r="D61" i="14" s="1"/>
  <c r="H60" i="14"/>
  <c r="C60" i="14"/>
  <c r="D60" i="14" s="1"/>
  <c r="H59" i="14"/>
  <c r="D59" i="14"/>
  <c r="C59" i="14"/>
  <c r="H58" i="14"/>
  <c r="C58" i="14"/>
  <c r="D58" i="14" s="1"/>
  <c r="H57" i="14"/>
  <c r="D57" i="14"/>
  <c r="C57" i="14"/>
  <c r="H56" i="14"/>
  <c r="D56" i="14"/>
  <c r="C56" i="14"/>
  <c r="H55" i="14"/>
  <c r="D55" i="14"/>
  <c r="C55" i="14"/>
  <c r="H54" i="14"/>
  <c r="C54" i="14"/>
  <c r="D54" i="14" s="1"/>
  <c r="H53" i="14"/>
  <c r="C53" i="14"/>
  <c r="D53" i="14" s="1"/>
  <c r="H52" i="14"/>
  <c r="C52" i="14"/>
  <c r="D52" i="14" s="1"/>
  <c r="H51" i="14"/>
  <c r="D51" i="14"/>
  <c r="C51" i="14"/>
  <c r="H50" i="14"/>
  <c r="C50" i="14"/>
  <c r="D50" i="14" s="1"/>
  <c r="H49" i="14"/>
  <c r="D49" i="14"/>
  <c r="C49" i="14"/>
  <c r="H48" i="14"/>
  <c r="D48" i="14"/>
  <c r="C48" i="14"/>
  <c r="H47" i="14"/>
  <c r="D47" i="14"/>
  <c r="C47" i="14"/>
  <c r="H46" i="14"/>
  <c r="C46" i="14"/>
  <c r="D46" i="14" s="1"/>
  <c r="H45" i="14"/>
  <c r="C45" i="14"/>
  <c r="D45" i="14" s="1"/>
  <c r="H44" i="14"/>
  <c r="C44" i="14"/>
  <c r="D44" i="14" s="1"/>
  <c r="H43" i="14"/>
  <c r="D43" i="14"/>
  <c r="C43" i="14"/>
  <c r="H42" i="14"/>
  <c r="C42" i="14"/>
  <c r="D42" i="14" s="1"/>
  <c r="H41" i="14"/>
  <c r="D41" i="14"/>
  <c r="C41" i="14"/>
  <c r="H40" i="14"/>
  <c r="D40" i="14"/>
  <c r="C40" i="14"/>
  <c r="H39" i="14"/>
  <c r="D39" i="14"/>
  <c r="C39" i="14"/>
  <c r="H38" i="14"/>
  <c r="C38" i="14"/>
  <c r="D38" i="14" s="1"/>
  <c r="H37" i="14"/>
  <c r="C37" i="14"/>
  <c r="D37" i="14" s="1"/>
  <c r="H36" i="14"/>
  <c r="C36" i="14"/>
  <c r="D36" i="14" s="1"/>
  <c r="H35" i="14"/>
  <c r="D35" i="14"/>
  <c r="C35" i="14"/>
  <c r="H34" i="14"/>
  <c r="C34" i="14"/>
  <c r="D34" i="14" s="1"/>
  <c r="H33" i="14"/>
  <c r="D33" i="14"/>
  <c r="C33" i="14"/>
  <c r="H32" i="14"/>
  <c r="D32" i="14"/>
  <c r="C32" i="14"/>
  <c r="H31" i="14"/>
  <c r="D31" i="14"/>
  <c r="C31" i="14"/>
  <c r="H30" i="14"/>
  <c r="C30" i="14"/>
  <c r="D30" i="14" s="1"/>
  <c r="H29" i="14"/>
  <c r="C29" i="14"/>
  <c r="D29" i="14" s="1"/>
  <c r="H28" i="14"/>
  <c r="C28" i="14"/>
  <c r="D28" i="14" s="1"/>
  <c r="H27" i="14"/>
  <c r="D27" i="14"/>
  <c r="C27" i="14"/>
  <c r="H26" i="14"/>
  <c r="C26" i="14"/>
  <c r="D26" i="14" s="1"/>
  <c r="H25" i="14"/>
  <c r="D25" i="14"/>
  <c r="C25" i="14"/>
  <c r="H24" i="14"/>
  <c r="C24" i="14"/>
  <c r="D24" i="14" s="1"/>
  <c r="H23" i="14"/>
  <c r="D23" i="14"/>
  <c r="C23" i="14"/>
  <c r="H22" i="14"/>
  <c r="C22" i="14"/>
  <c r="D22" i="14" s="1"/>
  <c r="H21" i="14"/>
  <c r="C21" i="14"/>
  <c r="D21" i="14" s="1"/>
  <c r="H20" i="14"/>
  <c r="C20" i="14"/>
  <c r="D20" i="14" s="1"/>
  <c r="H19" i="14"/>
  <c r="D19" i="14"/>
  <c r="C19" i="14"/>
  <c r="H18" i="14"/>
  <c r="C18" i="14"/>
  <c r="D18" i="14" s="1"/>
  <c r="H17" i="14"/>
  <c r="D17" i="14"/>
  <c r="C17" i="14"/>
  <c r="H16" i="14"/>
  <c r="C16" i="14"/>
  <c r="D16" i="14" s="1"/>
  <c r="H15" i="14"/>
  <c r="D15" i="14"/>
  <c r="C15" i="14"/>
  <c r="H14" i="14"/>
  <c r="C14" i="14"/>
  <c r="D14" i="14" s="1"/>
  <c r="H13" i="14"/>
  <c r="C13" i="14"/>
  <c r="D13" i="14" s="1"/>
  <c r="H12" i="14"/>
  <c r="C12" i="14"/>
  <c r="D12" i="14" s="1"/>
  <c r="H11" i="14"/>
  <c r="D11" i="14"/>
  <c r="C11" i="14"/>
  <c r="H10" i="14"/>
  <c r="C10" i="14"/>
  <c r="D10" i="14" s="1"/>
  <c r="H9" i="14"/>
  <c r="D9" i="14"/>
  <c r="C9" i="14"/>
  <c r="H8" i="14"/>
  <c r="C8" i="14"/>
  <c r="D8" i="14" s="1"/>
  <c r="H7" i="14"/>
  <c r="D7" i="14"/>
  <c r="C7" i="14"/>
  <c r="V6" i="14"/>
  <c r="Q6" i="14"/>
  <c r="P5" i="14" s="1"/>
  <c r="H6" i="14"/>
  <c r="C6" i="14"/>
  <c r="D6" i="14" s="1"/>
  <c r="V5" i="14"/>
  <c r="H5" i="14"/>
  <c r="C5" i="14"/>
  <c r="D5" i="14" s="1"/>
  <c r="V4" i="14"/>
  <c r="U4" i="14" s="1"/>
  <c r="P4" i="14"/>
  <c r="H4" i="14"/>
  <c r="C4" i="14"/>
  <c r="D4" i="14" s="1"/>
  <c r="V3" i="14"/>
  <c r="P3" i="14"/>
  <c r="H3" i="14"/>
  <c r="C3" i="14"/>
  <c r="D3" i="14" s="1"/>
  <c r="J162" i="13"/>
  <c r="I162" i="13"/>
  <c r="H162" i="13"/>
  <c r="G162" i="13"/>
  <c r="F162" i="13"/>
  <c r="E162" i="13"/>
  <c r="C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AC180" i="11"/>
  <c r="AC179" i="11"/>
  <c r="AC178" i="11"/>
  <c r="AC177" i="11"/>
  <c r="AC176" i="11"/>
  <c r="AC175" i="11"/>
  <c r="AC174" i="11"/>
  <c r="AC173" i="11"/>
  <c r="AC172" i="11"/>
  <c r="AC171" i="11"/>
  <c r="AC170" i="11"/>
  <c r="AC169" i="11"/>
  <c r="AC168" i="11"/>
  <c r="AC167" i="11"/>
  <c r="AC166" i="11"/>
  <c r="AC165" i="11"/>
  <c r="AC164" i="11"/>
  <c r="AC163" i="11"/>
  <c r="AC162" i="11"/>
  <c r="AC161" i="11"/>
  <c r="G161" i="11"/>
  <c r="AC160" i="11"/>
  <c r="H160" i="11"/>
  <c r="D160" i="11"/>
  <c r="C160" i="11"/>
  <c r="AC159" i="11"/>
  <c r="H159" i="11"/>
  <c r="D159" i="11"/>
  <c r="C159" i="11"/>
  <c r="AC158" i="11"/>
  <c r="H158" i="11"/>
  <c r="D158" i="11"/>
  <c r="C158" i="11"/>
  <c r="AC157" i="11"/>
  <c r="H157" i="11"/>
  <c r="D157" i="11"/>
  <c r="C157" i="11"/>
  <c r="AC156" i="11"/>
  <c r="H156" i="11"/>
  <c r="D156" i="11"/>
  <c r="C156" i="11"/>
  <c r="AC155" i="11"/>
  <c r="H155" i="11"/>
  <c r="D155" i="11"/>
  <c r="C155" i="11"/>
  <c r="AC154" i="11"/>
  <c r="H154" i="11"/>
  <c r="D154" i="11"/>
  <c r="C154" i="11"/>
  <c r="AC153" i="11"/>
  <c r="H153" i="11"/>
  <c r="D153" i="11"/>
  <c r="C153" i="11"/>
  <c r="AC152" i="11"/>
  <c r="H152" i="11"/>
  <c r="D152" i="11"/>
  <c r="C152" i="11"/>
  <c r="AC151" i="11"/>
  <c r="H151" i="11"/>
  <c r="D151" i="11"/>
  <c r="C151" i="11"/>
  <c r="AC150" i="11"/>
  <c r="H150" i="11"/>
  <c r="D150" i="11"/>
  <c r="C150" i="11"/>
  <c r="AC149" i="11"/>
  <c r="H149" i="11"/>
  <c r="D149" i="11"/>
  <c r="C149" i="11"/>
  <c r="AC148" i="11"/>
  <c r="H148" i="11"/>
  <c r="D148" i="11"/>
  <c r="C148" i="11"/>
  <c r="AC147" i="11"/>
  <c r="H147" i="11"/>
  <c r="D147" i="11"/>
  <c r="C147" i="11"/>
  <c r="AC146" i="11"/>
  <c r="H146" i="11"/>
  <c r="D146" i="11"/>
  <c r="C146" i="11"/>
  <c r="AC145" i="11"/>
  <c r="H145" i="11"/>
  <c r="D145" i="11"/>
  <c r="C145" i="11"/>
  <c r="AC144" i="11"/>
  <c r="H144" i="11"/>
  <c r="D144" i="11"/>
  <c r="C144" i="11"/>
  <c r="AC143" i="11"/>
  <c r="H143" i="11"/>
  <c r="D143" i="11"/>
  <c r="C143" i="11"/>
  <c r="AC142" i="11"/>
  <c r="H142" i="11"/>
  <c r="D142" i="11"/>
  <c r="C142" i="11"/>
  <c r="AC141" i="11"/>
  <c r="H141" i="11"/>
  <c r="D141" i="11"/>
  <c r="C141" i="11"/>
  <c r="AC140" i="11"/>
  <c r="H140" i="11"/>
  <c r="D140" i="11"/>
  <c r="C140" i="11"/>
  <c r="AC139" i="11"/>
  <c r="H139" i="11"/>
  <c r="D139" i="11"/>
  <c r="C139" i="11"/>
  <c r="AC138" i="11"/>
  <c r="H138" i="11"/>
  <c r="D138" i="11"/>
  <c r="C138" i="11"/>
  <c r="AC137" i="11"/>
  <c r="H137" i="11"/>
  <c r="D137" i="11"/>
  <c r="C137" i="11"/>
  <c r="AC136" i="11"/>
  <c r="H136" i="11"/>
  <c r="D136" i="11"/>
  <c r="C136" i="11"/>
  <c r="AC135" i="11"/>
  <c r="H135" i="11"/>
  <c r="D135" i="11"/>
  <c r="C135" i="11"/>
  <c r="AC134" i="11"/>
  <c r="H134" i="11"/>
  <c r="D134" i="11"/>
  <c r="C134" i="11"/>
  <c r="AC133" i="11"/>
  <c r="H133" i="11"/>
  <c r="D133" i="11"/>
  <c r="C133" i="11"/>
  <c r="AC132" i="11"/>
  <c r="H132" i="11"/>
  <c r="D132" i="11"/>
  <c r="C132" i="11"/>
  <c r="AC131" i="11"/>
  <c r="H131" i="11"/>
  <c r="D131" i="11"/>
  <c r="C131" i="11"/>
  <c r="AC130" i="11"/>
  <c r="H130" i="11"/>
  <c r="D130" i="11"/>
  <c r="C130" i="11"/>
  <c r="AC129" i="11"/>
  <c r="H129" i="11"/>
  <c r="D129" i="11"/>
  <c r="C129" i="11"/>
  <c r="AC128" i="11"/>
  <c r="H128" i="11"/>
  <c r="D128" i="11"/>
  <c r="C128" i="11"/>
  <c r="AC127" i="11"/>
  <c r="H127" i="11"/>
  <c r="D127" i="11"/>
  <c r="C127" i="11"/>
  <c r="AC126" i="11"/>
  <c r="H126" i="11"/>
  <c r="D126" i="11"/>
  <c r="C126" i="11"/>
  <c r="AC125" i="11"/>
  <c r="H125" i="11"/>
  <c r="D125" i="11"/>
  <c r="C125" i="11"/>
  <c r="AC124" i="11"/>
  <c r="H124" i="11"/>
  <c r="D124" i="11"/>
  <c r="C124" i="11"/>
  <c r="AC123" i="11"/>
  <c r="H123" i="11"/>
  <c r="D123" i="11"/>
  <c r="C123" i="11"/>
  <c r="AC122" i="11"/>
  <c r="H122" i="11"/>
  <c r="D122" i="11"/>
  <c r="C122" i="11"/>
  <c r="AC121" i="11"/>
  <c r="H121" i="11"/>
  <c r="D121" i="11"/>
  <c r="C121" i="11"/>
  <c r="AC120" i="11"/>
  <c r="H120" i="11"/>
  <c r="D120" i="11"/>
  <c r="C120" i="11"/>
  <c r="AC119" i="11"/>
  <c r="H119" i="11"/>
  <c r="D119" i="11"/>
  <c r="C119" i="11"/>
  <c r="AC118" i="11"/>
  <c r="H118" i="11"/>
  <c r="D118" i="11"/>
  <c r="C118" i="11"/>
  <c r="AC117" i="11"/>
  <c r="H117" i="11"/>
  <c r="D117" i="11"/>
  <c r="C117" i="11"/>
  <c r="AC116" i="11"/>
  <c r="H116" i="11"/>
  <c r="D116" i="11"/>
  <c r="C116" i="11"/>
  <c r="AC115" i="11"/>
  <c r="H115" i="11"/>
  <c r="D115" i="11"/>
  <c r="C115" i="11"/>
  <c r="AC114" i="11"/>
  <c r="H114" i="11"/>
  <c r="D114" i="11"/>
  <c r="C114" i="11"/>
  <c r="AC113" i="11"/>
  <c r="H113" i="11"/>
  <c r="D113" i="11"/>
  <c r="C113" i="11"/>
  <c r="AC112" i="11"/>
  <c r="H112" i="11"/>
  <c r="D112" i="11"/>
  <c r="C112" i="11"/>
  <c r="AC111" i="11"/>
  <c r="H111" i="11"/>
  <c r="D111" i="11"/>
  <c r="C111" i="11"/>
  <c r="AC110" i="11"/>
  <c r="H110" i="11"/>
  <c r="D110" i="11"/>
  <c r="C110" i="11"/>
  <c r="AC109" i="11"/>
  <c r="H109" i="11"/>
  <c r="D109" i="11"/>
  <c r="C109" i="11"/>
  <c r="AC108" i="11"/>
  <c r="H108" i="11"/>
  <c r="D108" i="11"/>
  <c r="C108" i="11"/>
  <c r="AC107" i="11"/>
  <c r="H107" i="11"/>
  <c r="D107" i="11"/>
  <c r="C107" i="11"/>
  <c r="AC106" i="11"/>
  <c r="H106" i="11"/>
  <c r="D106" i="11"/>
  <c r="C106" i="11"/>
  <c r="AC105" i="11"/>
  <c r="H105" i="11"/>
  <c r="D105" i="11"/>
  <c r="C105" i="11"/>
  <c r="AC104" i="11"/>
  <c r="H104" i="11"/>
  <c r="D104" i="11"/>
  <c r="C104" i="11"/>
  <c r="AC103" i="11"/>
  <c r="H103" i="11"/>
  <c r="D103" i="11"/>
  <c r="C103" i="11"/>
  <c r="AC102" i="11"/>
  <c r="H102" i="11"/>
  <c r="D102" i="11"/>
  <c r="C102" i="11"/>
  <c r="AC101" i="11"/>
  <c r="H101" i="11"/>
  <c r="D101" i="11"/>
  <c r="C101" i="11"/>
  <c r="AC100" i="11"/>
  <c r="H100" i="11"/>
  <c r="D100" i="11"/>
  <c r="C100" i="11"/>
  <c r="AC99" i="11"/>
  <c r="H99" i="11"/>
  <c r="D99" i="11"/>
  <c r="C99" i="11"/>
  <c r="AC98" i="11"/>
  <c r="H98" i="11"/>
  <c r="D98" i="11"/>
  <c r="C98" i="11"/>
  <c r="AC97" i="11"/>
  <c r="H97" i="11"/>
  <c r="D97" i="11"/>
  <c r="C97" i="11"/>
  <c r="AC96" i="11"/>
  <c r="H96" i="11"/>
  <c r="D96" i="11"/>
  <c r="C96" i="11"/>
  <c r="AC95" i="11"/>
  <c r="H95" i="11"/>
  <c r="D95" i="11"/>
  <c r="C95" i="11"/>
  <c r="AC94" i="11"/>
  <c r="H94" i="11"/>
  <c r="D94" i="11"/>
  <c r="C94" i="11"/>
  <c r="AC93" i="11"/>
  <c r="H93" i="11"/>
  <c r="D93" i="11"/>
  <c r="C93" i="11"/>
  <c r="AC92" i="11"/>
  <c r="H92" i="11"/>
  <c r="D92" i="11"/>
  <c r="C92" i="11"/>
  <c r="AC91" i="11"/>
  <c r="H91" i="11"/>
  <c r="D91" i="11"/>
  <c r="C91" i="11"/>
  <c r="AC90" i="11"/>
  <c r="H90" i="11"/>
  <c r="D90" i="11"/>
  <c r="C90" i="11"/>
  <c r="AC89" i="11"/>
  <c r="H89" i="11"/>
  <c r="D89" i="11"/>
  <c r="C89" i="11"/>
  <c r="AC88" i="11"/>
  <c r="H88" i="11"/>
  <c r="D88" i="11"/>
  <c r="C88" i="11"/>
  <c r="AC87" i="11"/>
  <c r="H87" i="11"/>
  <c r="D87" i="11"/>
  <c r="C87" i="11"/>
  <c r="AC86" i="11"/>
  <c r="H86" i="11"/>
  <c r="D86" i="11"/>
  <c r="C86" i="11"/>
  <c r="AC85" i="11"/>
  <c r="H85" i="11"/>
  <c r="D85" i="11"/>
  <c r="C85" i="11"/>
  <c r="AC84" i="11"/>
  <c r="H84" i="11"/>
  <c r="D84" i="11"/>
  <c r="C84" i="11"/>
  <c r="AC83" i="11"/>
  <c r="H83" i="11"/>
  <c r="D83" i="11"/>
  <c r="C83" i="11"/>
  <c r="AC82" i="11"/>
  <c r="H82" i="11"/>
  <c r="D82" i="11"/>
  <c r="C82" i="11"/>
  <c r="AC81" i="11"/>
  <c r="H81" i="11"/>
  <c r="D81" i="11"/>
  <c r="C81" i="11"/>
  <c r="AC80" i="11"/>
  <c r="H80" i="11"/>
  <c r="D80" i="11"/>
  <c r="C80" i="11"/>
  <c r="AC79" i="11"/>
  <c r="H79" i="11"/>
  <c r="D79" i="11"/>
  <c r="C79" i="11"/>
  <c r="AC78" i="11"/>
  <c r="H78" i="11"/>
  <c r="D78" i="11"/>
  <c r="C78" i="11"/>
  <c r="AC77" i="11"/>
  <c r="H77" i="11"/>
  <c r="D77" i="11"/>
  <c r="C77" i="11"/>
  <c r="AC76" i="11"/>
  <c r="H76" i="11"/>
  <c r="D76" i="11"/>
  <c r="C76" i="11"/>
  <c r="AC75" i="11"/>
  <c r="H75" i="11"/>
  <c r="D75" i="11"/>
  <c r="C75" i="11"/>
  <c r="AC74" i="11"/>
  <c r="H74" i="11"/>
  <c r="D74" i="11"/>
  <c r="C74" i="11"/>
  <c r="AC73" i="11"/>
  <c r="H73" i="11"/>
  <c r="D73" i="11"/>
  <c r="C73" i="11"/>
  <c r="AC72" i="11"/>
  <c r="H72" i="11"/>
  <c r="D72" i="11"/>
  <c r="C72" i="11"/>
  <c r="AC71" i="11"/>
  <c r="H71" i="11"/>
  <c r="D71" i="11"/>
  <c r="C71" i="11"/>
  <c r="AC70" i="11"/>
  <c r="H70" i="11"/>
  <c r="D70" i="11"/>
  <c r="C70" i="11"/>
  <c r="AC69" i="11"/>
  <c r="H69" i="11"/>
  <c r="D69" i="11"/>
  <c r="C69" i="11"/>
  <c r="AC68" i="11"/>
  <c r="H68" i="11"/>
  <c r="D68" i="11"/>
  <c r="C68" i="11"/>
  <c r="AC67" i="11"/>
  <c r="H67" i="11"/>
  <c r="D67" i="11"/>
  <c r="C67" i="11"/>
  <c r="AC66" i="11"/>
  <c r="H66" i="11"/>
  <c r="D66" i="11"/>
  <c r="C66" i="11"/>
  <c r="AC65" i="11"/>
  <c r="H65" i="11"/>
  <c r="D65" i="11"/>
  <c r="C65" i="11"/>
  <c r="AC64" i="11"/>
  <c r="H64" i="11"/>
  <c r="D64" i="11"/>
  <c r="C64" i="11"/>
  <c r="AC63" i="11"/>
  <c r="H63" i="11"/>
  <c r="D63" i="11"/>
  <c r="C63" i="11"/>
  <c r="AC62" i="11"/>
  <c r="H62" i="11"/>
  <c r="D62" i="11"/>
  <c r="C62" i="11"/>
  <c r="AC61" i="11"/>
  <c r="H61" i="11"/>
  <c r="D61" i="11"/>
  <c r="C61" i="11"/>
  <c r="AC60" i="11"/>
  <c r="H60" i="11"/>
  <c r="D60" i="11"/>
  <c r="C60" i="11"/>
  <c r="AC59" i="11"/>
  <c r="H59" i="11"/>
  <c r="D59" i="11"/>
  <c r="C59" i="11"/>
  <c r="AC58" i="11"/>
  <c r="H58" i="11"/>
  <c r="D58" i="11"/>
  <c r="C58" i="11"/>
  <c r="AC57" i="11"/>
  <c r="H57" i="11"/>
  <c r="D57" i="11"/>
  <c r="C57" i="11"/>
  <c r="AC56" i="11"/>
  <c r="H56" i="11"/>
  <c r="D56" i="11"/>
  <c r="C56" i="11"/>
  <c r="AC55" i="11"/>
  <c r="H55" i="11"/>
  <c r="D55" i="11"/>
  <c r="C55" i="11"/>
  <c r="AC54" i="11"/>
  <c r="H54" i="11"/>
  <c r="D54" i="11"/>
  <c r="C54" i="11"/>
  <c r="AC53" i="11"/>
  <c r="H53" i="11"/>
  <c r="D53" i="11"/>
  <c r="C53" i="11"/>
  <c r="AC52" i="11"/>
  <c r="H52" i="11"/>
  <c r="D52" i="11"/>
  <c r="C52" i="11"/>
  <c r="AC51" i="11"/>
  <c r="H51" i="11"/>
  <c r="D51" i="11"/>
  <c r="C51" i="11"/>
  <c r="AC50" i="11"/>
  <c r="H50" i="11"/>
  <c r="D50" i="11"/>
  <c r="C50" i="11"/>
  <c r="AC49" i="11"/>
  <c r="H49" i="11"/>
  <c r="D49" i="11"/>
  <c r="C49" i="11"/>
  <c r="AC48" i="11"/>
  <c r="H48" i="11"/>
  <c r="D48" i="11"/>
  <c r="C48" i="11"/>
  <c r="AC47" i="11"/>
  <c r="H47" i="11"/>
  <c r="D47" i="11"/>
  <c r="C47" i="11"/>
  <c r="AC46" i="11"/>
  <c r="H46" i="11"/>
  <c r="D46" i="11"/>
  <c r="C46" i="11"/>
  <c r="AC45" i="11"/>
  <c r="H45" i="11"/>
  <c r="D45" i="11"/>
  <c r="C45" i="11"/>
  <c r="AC44" i="11"/>
  <c r="H44" i="11"/>
  <c r="D44" i="11"/>
  <c r="C44" i="11"/>
  <c r="AC43" i="11"/>
  <c r="H43" i="11"/>
  <c r="D43" i="11"/>
  <c r="C43" i="11"/>
  <c r="AC42" i="11"/>
  <c r="H42" i="11"/>
  <c r="D42" i="11"/>
  <c r="C42" i="11"/>
  <c r="AC41" i="11"/>
  <c r="H41" i="11"/>
  <c r="D41" i="11"/>
  <c r="C41" i="11"/>
  <c r="AC40" i="11"/>
  <c r="H40" i="11"/>
  <c r="D40" i="11"/>
  <c r="C40" i="11"/>
  <c r="AC39" i="11"/>
  <c r="H39" i="11"/>
  <c r="D39" i="11"/>
  <c r="C39" i="11"/>
  <c r="AC38" i="11"/>
  <c r="H38" i="11"/>
  <c r="D38" i="11"/>
  <c r="C38" i="11"/>
  <c r="AC37" i="11"/>
  <c r="H37" i="11"/>
  <c r="D37" i="11"/>
  <c r="C37" i="11"/>
  <c r="AC36" i="11"/>
  <c r="H36" i="11"/>
  <c r="D36" i="11"/>
  <c r="C36" i="11"/>
  <c r="AC35" i="11"/>
  <c r="H35" i="11"/>
  <c r="D35" i="11"/>
  <c r="C35" i="11"/>
  <c r="AC34" i="11"/>
  <c r="H34" i="11"/>
  <c r="D34" i="11"/>
  <c r="C34" i="11"/>
  <c r="AC33" i="11"/>
  <c r="H33" i="11"/>
  <c r="D33" i="11"/>
  <c r="C33" i="11"/>
  <c r="AC32" i="11"/>
  <c r="H32" i="11"/>
  <c r="D32" i="11"/>
  <c r="C32" i="11"/>
  <c r="AC31" i="11"/>
  <c r="H31" i="11"/>
  <c r="D31" i="11"/>
  <c r="C31" i="11"/>
  <c r="AC30" i="11"/>
  <c r="H30" i="11"/>
  <c r="D30" i="11"/>
  <c r="C30" i="11"/>
  <c r="AC29" i="11"/>
  <c r="H29" i="11"/>
  <c r="D29" i="11"/>
  <c r="C29" i="11"/>
  <c r="AC28" i="11"/>
  <c r="H28" i="11"/>
  <c r="D28" i="11"/>
  <c r="C28" i="11"/>
  <c r="AC27" i="11"/>
  <c r="H27" i="11"/>
  <c r="D27" i="11"/>
  <c r="C27" i="11"/>
  <c r="AC26" i="11"/>
  <c r="H26" i="11"/>
  <c r="D26" i="11"/>
  <c r="C26" i="11"/>
  <c r="AC25" i="11"/>
  <c r="H25" i="11"/>
  <c r="D25" i="11"/>
  <c r="C25" i="11"/>
  <c r="AC24" i="11"/>
  <c r="H24" i="11"/>
  <c r="D24" i="11"/>
  <c r="C24" i="11"/>
  <c r="AC23" i="11"/>
  <c r="H23" i="11"/>
  <c r="D23" i="11"/>
  <c r="C23" i="11"/>
  <c r="AC22" i="11"/>
  <c r="H22" i="11"/>
  <c r="D22" i="11"/>
  <c r="C22" i="11"/>
  <c r="AC21" i="11"/>
  <c r="H21" i="11"/>
  <c r="D21" i="11"/>
  <c r="C21" i="11"/>
  <c r="AC20" i="11"/>
  <c r="H20" i="11"/>
  <c r="D20" i="11"/>
  <c r="C20" i="11"/>
  <c r="AC19" i="11"/>
  <c r="H19" i="11"/>
  <c r="D19" i="11"/>
  <c r="C19" i="11"/>
  <c r="AC18" i="11"/>
  <c r="H18" i="11"/>
  <c r="D18" i="11"/>
  <c r="C18" i="11"/>
  <c r="AC17" i="11"/>
  <c r="H17" i="11"/>
  <c r="D17" i="11"/>
  <c r="C17" i="11"/>
  <c r="AC16" i="11"/>
  <c r="H16" i="11"/>
  <c r="D16" i="11"/>
  <c r="C16" i="11"/>
  <c r="AC15" i="11"/>
  <c r="H15" i="11"/>
  <c r="D15" i="11"/>
  <c r="C15" i="11"/>
  <c r="AC14" i="11"/>
  <c r="H14" i="11"/>
  <c r="D14" i="11"/>
  <c r="C14" i="11"/>
  <c r="AC13" i="11"/>
  <c r="H13" i="11"/>
  <c r="D13" i="11"/>
  <c r="C13" i="11"/>
  <c r="AC12" i="11"/>
  <c r="H12" i="11"/>
  <c r="D12" i="11"/>
  <c r="C12" i="11"/>
  <c r="AC11" i="11"/>
  <c r="H11" i="11"/>
  <c r="D11" i="11"/>
  <c r="C11" i="11"/>
  <c r="AC10" i="11"/>
  <c r="H10" i="11"/>
  <c r="D10" i="11"/>
  <c r="C10" i="11"/>
  <c r="AC9" i="11"/>
  <c r="H9" i="11"/>
  <c r="D9" i="11"/>
  <c r="C9" i="11"/>
  <c r="AC8" i="11"/>
  <c r="H8" i="11"/>
  <c r="D8" i="11"/>
  <c r="C8" i="11"/>
  <c r="AC7" i="11"/>
  <c r="H7" i="11"/>
  <c r="D7" i="11"/>
  <c r="C7" i="11"/>
  <c r="AC6" i="11"/>
  <c r="H6" i="11"/>
  <c r="D6" i="11"/>
  <c r="C6" i="11"/>
  <c r="AC5" i="11"/>
  <c r="V5" i="11"/>
  <c r="H5" i="11"/>
  <c r="D5" i="11"/>
  <c r="C5" i="11"/>
  <c r="AC4" i="11"/>
  <c r="V4" i="11"/>
  <c r="Q4" i="11"/>
  <c r="Q6" i="11" s="1"/>
  <c r="H4" i="11"/>
  <c r="C4" i="11"/>
  <c r="D4" i="11" s="1"/>
  <c r="AC3" i="11"/>
  <c r="V3" i="11"/>
  <c r="H3" i="11"/>
  <c r="C3" i="11"/>
  <c r="D3" i="11" s="1"/>
  <c r="AB182" i="10"/>
  <c r="AD181" i="10"/>
  <c r="AD180" i="10"/>
  <c r="AD179" i="10"/>
  <c r="AD178" i="10"/>
  <c r="AD177" i="10"/>
  <c r="AD176" i="10"/>
  <c r="AD175" i="10"/>
  <c r="AD174" i="10"/>
  <c r="AD173" i="10"/>
  <c r="AD172" i="10"/>
  <c r="AD171" i="10"/>
  <c r="AD170" i="10"/>
  <c r="AD169" i="10"/>
  <c r="AD168" i="10"/>
  <c r="AD167" i="10"/>
  <c r="AD166" i="10"/>
  <c r="AD165" i="10"/>
  <c r="AD164" i="10"/>
  <c r="AD163" i="10"/>
  <c r="AD162" i="10"/>
  <c r="G162" i="10"/>
  <c r="AD161" i="10"/>
  <c r="H161" i="10"/>
  <c r="D161" i="10"/>
  <c r="C161" i="10"/>
  <c r="AD160" i="10"/>
  <c r="H160" i="10"/>
  <c r="D160" i="10"/>
  <c r="C160" i="10"/>
  <c r="AD159" i="10"/>
  <c r="H159" i="10"/>
  <c r="D159" i="10"/>
  <c r="C159" i="10"/>
  <c r="AD158" i="10"/>
  <c r="H158" i="10"/>
  <c r="D158" i="10"/>
  <c r="C158" i="10"/>
  <c r="AD157" i="10"/>
  <c r="H157" i="10"/>
  <c r="D157" i="10"/>
  <c r="C157" i="10"/>
  <c r="AD156" i="10"/>
  <c r="H156" i="10"/>
  <c r="D156" i="10"/>
  <c r="C156" i="10"/>
  <c r="AD155" i="10"/>
  <c r="H155" i="10"/>
  <c r="D155" i="10"/>
  <c r="C155" i="10"/>
  <c r="AD154" i="10"/>
  <c r="H154" i="10"/>
  <c r="D154" i="10"/>
  <c r="C154" i="10"/>
  <c r="AD153" i="10"/>
  <c r="H153" i="10"/>
  <c r="D153" i="10"/>
  <c r="C153" i="10"/>
  <c r="AD152" i="10"/>
  <c r="H152" i="10"/>
  <c r="D152" i="10"/>
  <c r="C152" i="10"/>
  <c r="AD151" i="10"/>
  <c r="H151" i="10"/>
  <c r="D151" i="10"/>
  <c r="C151" i="10"/>
  <c r="AD150" i="10"/>
  <c r="H150" i="10"/>
  <c r="D150" i="10"/>
  <c r="C150" i="10"/>
  <c r="AD149" i="10"/>
  <c r="H149" i="10"/>
  <c r="D149" i="10"/>
  <c r="C149" i="10"/>
  <c r="AD148" i="10"/>
  <c r="H148" i="10"/>
  <c r="D148" i="10"/>
  <c r="C148" i="10"/>
  <c r="AD147" i="10"/>
  <c r="H147" i="10"/>
  <c r="D147" i="10"/>
  <c r="C147" i="10"/>
  <c r="AD146" i="10"/>
  <c r="H146" i="10"/>
  <c r="D146" i="10"/>
  <c r="C146" i="10"/>
  <c r="AD145" i="10"/>
  <c r="H145" i="10"/>
  <c r="D145" i="10"/>
  <c r="C145" i="10"/>
  <c r="AD144" i="10"/>
  <c r="H144" i="10"/>
  <c r="D144" i="10"/>
  <c r="C144" i="10"/>
  <c r="AD143" i="10"/>
  <c r="H143" i="10"/>
  <c r="D143" i="10"/>
  <c r="C143" i="10"/>
  <c r="AD142" i="10"/>
  <c r="H142" i="10"/>
  <c r="D142" i="10"/>
  <c r="C142" i="10"/>
  <c r="AD141" i="10"/>
  <c r="H141" i="10"/>
  <c r="D141" i="10"/>
  <c r="C141" i="10"/>
  <c r="AD140" i="10"/>
  <c r="H140" i="10"/>
  <c r="D140" i="10"/>
  <c r="C140" i="10"/>
  <c r="AD139" i="10"/>
  <c r="H139" i="10"/>
  <c r="D139" i="10"/>
  <c r="C139" i="10"/>
  <c r="AD138" i="10"/>
  <c r="H138" i="10"/>
  <c r="D138" i="10"/>
  <c r="C138" i="10"/>
  <c r="AD137" i="10"/>
  <c r="H137" i="10"/>
  <c r="D137" i="10"/>
  <c r="C137" i="10"/>
  <c r="AD136" i="10"/>
  <c r="H136" i="10"/>
  <c r="D136" i="10"/>
  <c r="C136" i="10"/>
  <c r="AD135" i="10"/>
  <c r="H135" i="10"/>
  <c r="D135" i="10"/>
  <c r="C135" i="10"/>
  <c r="AD134" i="10"/>
  <c r="H134" i="10"/>
  <c r="D134" i="10"/>
  <c r="C134" i="10"/>
  <c r="AD133" i="10"/>
  <c r="H133" i="10"/>
  <c r="D133" i="10"/>
  <c r="C133" i="10"/>
  <c r="AD132" i="10"/>
  <c r="H132" i="10"/>
  <c r="D132" i="10"/>
  <c r="C132" i="10"/>
  <c r="AD131" i="10"/>
  <c r="H131" i="10"/>
  <c r="D131" i="10"/>
  <c r="C131" i="10"/>
  <c r="AD130" i="10"/>
  <c r="H130" i="10"/>
  <c r="D130" i="10"/>
  <c r="C130" i="10"/>
  <c r="AD129" i="10"/>
  <c r="H129" i="10"/>
  <c r="D129" i="10"/>
  <c r="C129" i="10"/>
  <c r="AD128" i="10"/>
  <c r="H128" i="10"/>
  <c r="D128" i="10"/>
  <c r="C128" i="10"/>
  <c r="AD127" i="10"/>
  <c r="H127" i="10"/>
  <c r="D127" i="10"/>
  <c r="C127" i="10"/>
  <c r="AD126" i="10"/>
  <c r="H126" i="10"/>
  <c r="D126" i="10"/>
  <c r="C126" i="10"/>
  <c r="AD125" i="10"/>
  <c r="H125" i="10"/>
  <c r="D125" i="10"/>
  <c r="C125" i="10"/>
  <c r="AD124" i="10"/>
  <c r="H124" i="10"/>
  <c r="D124" i="10"/>
  <c r="C124" i="10"/>
  <c r="AD123" i="10"/>
  <c r="H123" i="10"/>
  <c r="D123" i="10"/>
  <c r="C123" i="10"/>
  <c r="AD122" i="10"/>
  <c r="H122" i="10"/>
  <c r="D122" i="10"/>
  <c r="C122" i="10"/>
  <c r="AD121" i="10"/>
  <c r="H121" i="10"/>
  <c r="D121" i="10"/>
  <c r="C121" i="10"/>
  <c r="AD120" i="10"/>
  <c r="H120" i="10"/>
  <c r="D120" i="10"/>
  <c r="C120" i="10"/>
  <c r="AD119" i="10"/>
  <c r="H119" i="10"/>
  <c r="D119" i="10"/>
  <c r="C119" i="10"/>
  <c r="AD118" i="10"/>
  <c r="H118" i="10"/>
  <c r="D118" i="10"/>
  <c r="C118" i="10"/>
  <c r="AD117" i="10"/>
  <c r="H117" i="10"/>
  <c r="D117" i="10"/>
  <c r="C117" i="10"/>
  <c r="AD116" i="10"/>
  <c r="H116" i="10"/>
  <c r="D116" i="10"/>
  <c r="C116" i="10"/>
  <c r="AD115" i="10"/>
  <c r="H115" i="10"/>
  <c r="D115" i="10"/>
  <c r="C115" i="10"/>
  <c r="AD114" i="10"/>
  <c r="H114" i="10"/>
  <c r="D114" i="10"/>
  <c r="C114" i="10"/>
  <c r="AD113" i="10"/>
  <c r="H113" i="10"/>
  <c r="D113" i="10"/>
  <c r="C113" i="10"/>
  <c r="AD112" i="10"/>
  <c r="H112" i="10"/>
  <c r="D112" i="10"/>
  <c r="C112" i="10"/>
  <c r="AD111" i="10"/>
  <c r="H111" i="10"/>
  <c r="D111" i="10"/>
  <c r="C111" i="10"/>
  <c r="AD110" i="10"/>
  <c r="H110" i="10"/>
  <c r="D110" i="10"/>
  <c r="C110" i="10"/>
  <c r="AD109" i="10"/>
  <c r="H109" i="10"/>
  <c r="D109" i="10"/>
  <c r="C109" i="10"/>
  <c r="AD108" i="10"/>
  <c r="H108" i="10"/>
  <c r="D108" i="10"/>
  <c r="C108" i="10"/>
  <c r="AD107" i="10"/>
  <c r="H107" i="10"/>
  <c r="D107" i="10"/>
  <c r="C107" i="10"/>
  <c r="AD106" i="10"/>
  <c r="H106" i="10"/>
  <c r="D106" i="10"/>
  <c r="C106" i="10"/>
  <c r="AD105" i="10"/>
  <c r="H105" i="10"/>
  <c r="D105" i="10"/>
  <c r="C105" i="10"/>
  <c r="AD104" i="10"/>
  <c r="H104" i="10"/>
  <c r="D104" i="10"/>
  <c r="C104" i="10"/>
  <c r="AD103" i="10"/>
  <c r="H103" i="10"/>
  <c r="D103" i="10"/>
  <c r="C103" i="10"/>
  <c r="AD102" i="10"/>
  <c r="H102" i="10"/>
  <c r="D102" i="10"/>
  <c r="C102" i="10"/>
  <c r="AD101" i="10"/>
  <c r="H101" i="10"/>
  <c r="D101" i="10"/>
  <c r="C101" i="10"/>
  <c r="AD100" i="10"/>
  <c r="H100" i="10"/>
  <c r="D100" i="10"/>
  <c r="C100" i="10"/>
  <c r="AD99" i="10"/>
  <c r="H99" i="10"/>
  <c r="D99" i="10"/>
  <c r="C99" i="10"/>
  <c r="AD98" i="10"/>
  <c r="H98" i="10"/>
  <c r="D98" i="10"/>
  <c r="C98" i="10"/>
  <c r="AD97" i="10"/>
  <c r="H97" i="10"/>
  <c r="D97" i="10"/>
  <c r="C97" i="10"/>
  <c r="AD96" i="10"/>
  <c r="H96" i="10"/>
  <c r="D96" i="10"/>
  <c r="C96" i="10"/>
  <c r="AD95" i="10"/>
  <c r="H95" i="10"/>
  <c r="D95" i="10"/>
  <c r="C95" i="10"/>
  <c r="AD94" i="10"/>
  <c r="H94" i="10"/>
  <c r="D94" i="10"/>
  <c r="C94" i="10"/>
  <c r="AD93" i="10"/>
  <c r="H93" i="10"/>
  <c r="D93" i="10"/>
  <c r="C93" i="10"/>
  <c r="AD92" i="10"/>
  <c r="H92" i="10"/>
  <c r="D92" i="10"/>
  <c r="C92" i="10"/>
  <c r="AD91" i="10"/>
  <c r="H91" i="10"/>
  <c r="D91" i="10"/>
  <c r="C91" i="10"/>
  <c r="AD90" i="10"/>
  <c r="H90" i="10"/>
  <c r="D90" i="10"/>
  <c r="C90" i="10"/>
  <c r="AD89" i="10"/>
  <c r="H89" i="10"/>
  <c r="D89" i="10"/>
  <c r="C89" i="10"/>
  <c r="AD88" i="10"/>
  <c r="H88" i="10"/>
  <c r="D88" i="10"/>
  <c r="C88" i="10"/>
  <c r="AD87" i="10"/>
  <c r="H87" i="10"/>
  <c r="D87" i="10"/>
  <c r="C87" i="10"/>
  <c r="AD86" i="10"/>
  <c r="H86" i="10"/>
  <c r="D86" i="10"/>
  <c r="C86" i="10"/>
  <c r="AD85" i="10"/>
  <c r="H85" i="10"/>
  <c r="D85" i="10"/>
  <c r="C85" i="10"/>
  <c r="AD84" i="10"/>
  <c r="H84" i="10"/>
  <c r="D84" i="10"/>
  <c r="C84" i="10"/>
  <c r="AD83" i="10"/>
  <c r="H83" i="10"/>
  <c r="D83" i="10"/>
  <c r="C83" i="10"/>
  <c r="AD82" i="10"/>
  <c r="H82" i="10"/>
  <c r="D82" i="10"/>
  <c r="C82" i="10"/>
  <c r="AD81" i="10"/>
  <c r="H81" i="10"/>
  <c r="D81" i="10"/>
  <c r="C81" i="10"/>
  <c r="AD80" i="10"/>
  <c r="H80" i="10"/>
  <c r="D80" i="10"/>
  <c r="C80" i="10"/>
  <c r="AD79" i="10"/>
  <c r="H79" i="10"/>
  <c r="D79" i="10"/>
  <c r="C79" i="10"/>
  <c r="AD78" i="10"/>
  <c r="H78" i="10"/>
  <c r="D78" i="10"/>
  <c r="C78" i="10"/>
  <c r="AD77" i="10"/>
  <c r="H77" i="10"/>
  <c r="D77" i="10"/>
  <c r="C77" i="10"/>
  <c r="AD76" i="10"/>
  <c r="H76" i="10"/>
  <c r="D76" i="10"/>
  <c r="C76" i="10"/>
  <c r="AD75" i="10"/>
  <c r="H75" i="10"/>
  <c r="D75" i="10"/>
  <c r="C75" i="10"/>
  <c r="AD74" i="10"/>
  <c r="H74" i="10"/>
  <c r="D74" i="10"/>
  <c r="C74" i="10"/>
  <c r="AD73" i="10"/>
  <c r="H73" i="10"/>
  <c r="D73" i="10"/>
  <c r="C73" i="10"/>
  <c r="AD72" i="10"/>
  <c r="H72" i="10"/>
  <c r="D72" i="10"/>
  <c r="C72" i="10"/>
  <c r="AD71" i="10"/>
  <c r="H71" i="10"/>
  <c r="D71" i="10"/>
  <c r="C71" i="10"/>
  <c r="AD70" i="10"/>
  <c r="H70" i="10"/>
  <c r="D70" i="10"/>
  <c r="C70" i="10"/>
  <c r="AD69" i="10"/>
  <c r="H69" i="10"/>
  <c r="D69" i="10"/>
  <c r="C69" i="10"/>
  <c r="AD68" i="10"/>
  <c r="H68" i="10"/>
  <c r="D68" i="10"/>
  <c r="C68" i="10"/>
  <c r="AD67" i="10"/>
  <c r="H67" i="10"/>
  <c r="D67" i="10"/>
  <c r="C67" i="10"/>
  <c r="AD66" i="10"/>
  <c r="H66" i="10"/>
  <c r="D66" i="10"/>
  <c r="C66" i="10"/>
  <c r="AD65" i="10"/>
  <c r="H65" i="10"/>
  <c r="D65" i="10"/>
  <c r="C65" i="10"/>
  <c r="AD64" i="10"/>
  <c r="H64" i="10"/>
  <c r="D64" i="10"/>
  <c r="C64" i="10"/>
  <c r="AD63" i="10"/>
  <c r="H63" i="10"/>
  <c r="D63" i="10"/>
  <c r="C63" i="10"/>
  <c r="AD62" i="10"/>
  <c r="H62" i="10"/>
  <c r="D62" i="10"/>
  <c r="C62" i="10"/>
  <c r="AD61" i="10"/>
  <c r="H61" i="10"/>
  <c r="D61" i="10"/>
  <c r="C61" i="10"/>
  <c r="AD60" i="10"/>
  <c r="H60" i="10"/>
  <c r="D60" i="10"/>
  <c r="C60" i="10"/>
  <c r="AD59" i="10"/>
  <c r="H59" i="10"/>
  <c r="D59" i="10"/>
  <c r="C59" i="10"/>
  <c r="AD58" i="10"/>
  <c r="H58" i="10"/>
  <c r="D58" i="10"/>
  <c r="C58" i="10"/>
  <c r="AD57" i="10"/>
  <c r="H57" i="10"/>
  <c r="D57" i="10"/>
  <c r="C57" i="10"/>
  <c r="AD56" i="10"/>
  <c r="H56" i="10"/>
  <c r="D56" i="10"/>
  <c r="C56" i="10"/>
  <c r="AD55" i="10"/>
  <c r="H55" i="10"/>
  <c r="D55" i="10"/>
  <c r="C55" i="10"/>
  <c r="AD54" i="10"/>
  <c r="H54" i="10"/>
  <c r="D54" i="10"/>
  <c r="C54" i="10"/>
  <c r="AD53" i="10"/>
  <c r="H53" i="10"/>
  <c r="D53" i="10"/>
  <c r="C53" i="10"/>
  <c r="AD52" i="10"/>
  <c r="H52" i="10"/>
  <c r="D52" i="10"/>
  <c r="C52" i="10"/>
  <c r="AD51" i="10"/>
  <c r="H51" i="10"/>
  <c r="D51" i="10"/>
  <c r="C51" i="10"/>
  <c r="AD50" i="10"/>
  <c r="H50" i="10"/>
  <c r="D50" i="10"/>
  <c r="C50" i="10"/>
  <c r="AD49" i="10"/>
  <c r="H49" i="10"/>
  <c r="D49" i="10"/>
  <c r="C49" i="10"/>
  <c r="AD48" i="10"/>
  <c r="H48" i="10"/>
  <c r="D48" i="10"/>
  <c r="C48" i="10"/>
  <c r="AD47" i="10"/>
  <c r="H47" i="10"/>
  <c r="D47" i="10"/>
  <c r="C47" i="10"/>
  <c r="AD46" i="10"/>
  <c r="H46" i="10"/>
  <c r="D46" i="10"/>
  <c r="C46" i="10"/>
  <c r="AD45" i="10"/>
  <c r="H45" i="10"/>
  <c r="D45" i="10"/>
  <c r="C45" i="10"/>
  <c r="AD44" i="10"/>
  <c r="H44" i="10"/>
  <c r="D44" i="10"/>
  <c r="C44" i="10"/>
  <c r="AD43" i="10"/>
  <c r="H43" i="10"/>
  <c r="D43" i="10"/>
  <c r="C43" i="10"/>
  <c r="AD42" i="10"/>
  <c r="H42" i="10"/>
  <c r="D42" i="10"/>
  <c r="C42" i="10"/>
  <c r="AD41" i="10"/>
  <c r="H41" i="10"/>
  <c r="D41" i="10"/>
  <c r="C41" i="10"/>
  <c r="AD40" i="10"/>
  <c r="H40" i="10"/>
  <c r="D40" i="10"/>
  <c r="C40" i="10"/>
  <c r="AD39" i="10"/>
  <c r="H39" i="10"/>
  <c r="D39" i="10"/>
  <c r="C39" i="10"/>
  <c r="AD38" i="10"/>
  <c r="H38" i="10"/>
  <c r="D38" i="10"/>
  <c r="C38" i="10"/>
  <c r="AD37" i="10"/>
  <c r="H37" i="10"/>
  <c r="D37" i="10"/>
  <c r="C37" i="10"/>
  <c r="AD36" i="10"/>
  <c r="H36" i="10"/>
  <c r="D36" i="10"/>
  <c r="C36" i="10"/>
  <c r="AD35" i="10"/>
  <c r="H35" i="10"/>
  <c r="D35" i="10"/>
  <c r="C35" i="10"/>
  <c r="AD34" i="10"/>
  <c r="H34" i="10"/>
  <c r="D34" i="10"/>
  <c r="C34" i="10"/>
  <c r="AD33" i="10"/>
  <c r="H33" i="10"/>
  <c r="D33" i="10"/>
  <c r="C33" i="10"/>
  <c r="AD32" i="10"/>
  <c r="H32" i="10"/>
  <c r="D32" i="10"/>
  <c r="C32" i="10"/>
  <c r="AD31" i="10"/>
  <c r="H31" i="10"/>
  <c r="D31" i="10"/>
  <c r="C31" i="10"/>
  <c r="AD30" i="10"/>
  <c r="H30" i="10"/>
  <c r="D30" i="10"/>
  <c r="C30" i="10"/>
  <c r="AD29" i="10"/>
  <c r="H29" i="10"/>
  <c r="D29" i="10"/>
  <c r="C29" i="10"/>
  <c r="AD28" i="10"/>
  <c r="H28" i="10"/>
  <c r="D28" i="10"/>
  <c r="C28" i="10"/>
  <c r="AD27" i="10"/>
  <c r="H27" i="10"/>
  <c r="D27" i="10"/>
  <c r="C27" i="10"/>
  <c r="AD26" i="10"/>
  <c r="H26" i="10"/>
  <c r="D26" i="10"/>
  <c r="C26" i="10"/>
  <c r="AD25" i="10"/>
  <c r="H25" i="10"/>
  <c r="D25" i="10"/>
  <c r="C25" i="10"/>
  <c r="AD24" i="10"/>
  <c r="H24" i="10"/>
  <c r="D24" i="10"/>
  <c r="C24" i="10"/>
  <c r="AD23" i="10"/>
  <c r="H23" i="10"/>
  <c r="D23" i="10"/>
  <c r="C23" i="10"/>
  <c r="AD22" i="10"/>
  <c r="H22" i="10"/>
  <c r="D22" i="10"/>
  <c r="C22" i="10"/>
  <c r="AD21" i="10"/>
  <c r="H21" i="10"/>
  <c r="D21" i="10"/>
  <c r="C21" i="10"/>
  <c r="AD20" i="10"/>
  <c r="H20" i="10"/>
  <c r="D20" i="10"/>
  <c r="C20" i="10"/>
  <c r="AD19" i="10"/>
  <c r="H19" i="10"/>
  <c r="D19" i="10"/>
  <c r="C19" i="10"/>
  <c r="AD18" i="10"/>
  <c r="H18" i="10"/>
  <c r="D18" i="10"/>
  <c r="C18" i="10"/>
  <c r="AD17" i="10"/>
  <c r="H17" i="10"/>
  <c r="D17" i="10"/>
  <c r="C17" i="10"/>
  <c r="AD16" i="10"/>
  <c r="H16" i="10"/>
  <c r="D16" i="10"/>
  <c r="C16" i="10"/>
  <c r="AD15" i="10"/>
  <c r="H15" i="10"/>
  <c r="D15" i="10"/>
  <c r="C15" i="10"/>
  <c r="AD14" i="10"/>
  <c r="H14" i="10"/>
  <c r="D14" i="10"/>
  <c r="C14" i="10"/>
  <c r="AD13" i="10"/>
  <c r="H13" i="10"/>
  <c r="D13" i="10"/>
  <c r="C13" i="10"/>
  <c r="AD12" i="10"/>
  <c r="H12" i="10"/>
  <c r="D12" i="10"/>
  <c r="C12" i="10"/>
  <c r="AD11" i="10"/>
  <c r="H11" i="10"/>
  <c r="D11" i="10"/>
  <c r="C11" i="10"/>
  <c r="AD10" i="10"/>
  <c r="H10" i="10"/>
  <c r="D10" i="10"/>
  <c r="C10" i="10"/>
  <c r="AD9" i="10"/>
  <c r="H9" i="10"/>
  <c r="D9" i="10"/>
  <c r="C9" i="10"/>
  <c r="AD8" i="10"/>
  <c r="V8" i="10"/>
  <c r="H8" i="10"/>
  <c r="D8" i="10"/>
  <c r="C8" i="10"/>
  <c r="AD7" i="10"/>
  <c r="V7" i="10"/>
  <c r="Q7" i="10"/>
  <c r="H7" i="10"/>
  <c r="D7" i="10"/>
  <c r="C7" i="10"/>
  <c r="AD6" i="10"/>
  <c r="V6" i="10"/>
  <c r="Q6" i="10"/>
  <c r="H6" i="10"/>
  <c r="D6" i="10"/>
  <c r="C6" i="10"/>
  <c r="AD5" i="10"/>
  <c r="V5" i="10"/>
  <c r="Q5" i="10"/>
  <c r="H5" i="10"/>
  <c r="D5" i="10"/>
  <c r="C5" i="10"/>
  <c r="AD4" i="10"/>
  <c r="V4" i="10"/>
  <c r="Q4" i="10"/>
  <c r="H4" i="10"/>
  <c r="D4" i="10"/>
  <c r="C4" i="10"/>
  <c r="AD1" i="10"/>
  <c r="C201" i="9"/>
  <c r="Q200" i="9" s="1"/>
  <c r="R200" i="9"/>
  <c r="L200" i="9"/>
  <c r="S199" i="9"/>
  <c r="Q199" i="9"/>
  <c r="L199" i="9"/>
  <c r="S198" i="9"/>
  <c r="P198" i="9"/>
  <c r="L198" i="9"/>
  <c r="U197" i="9"/>
  <c r="S197" i="9"/>
  <c r="Q197" i="9"/>
  <c r="L197" i="9"/>
  <c r="U196" i="9"/>
  <c r="S196" i="9"/>
  <c r="L196" i="9"/>
  <c r="L195" i="9"/>
  <c r="C194" i="9"/>
  <c r="U193" i="9"/>
  <c r="T193" i="9"/>
  <c r="R193" i="9"/>
  <c r="Q193" i="9"/>
  <c r="L193" i="9"/>
  <c r="T192" i="9"/>
  <c r="R192" i="9"/>
  <c r="Q192" i="9"/>
  <c r="L192" i="9"/>
  <c r="T191" i="9"/>
  <c r="S191" i="9"/>
  <c r="Q191" i="9"/>
  <c r="L191" i="9"/>
  <c r="U190" i="9"/>
  <c r="T190" i="9"/>
  <c r="S190" i="9"/>
  <c r="Q190" i="9"/>
  <c r="P190" i="9"/>
  <c r="L190" i="9"/>
  <c r="U189" i="9"/>
  <c r="T189" i="9"/>
  <c r="S189" i="9"/>
  <c r="R189" i="9"/>
  <c r="Q189" i="9"/>
  <c r="P189" i="9"/>
  <c r="L189" i="9"/>
  <c r="U188" i="9"/>
  <c r="S188" i="9"/>
  <c r="R188" i="9"/>
  <c r="Q188" i="9"/>
  <c r="P188" i="9"/>
  <c r="L188" i="9"/>
  <c r="U187" i="9"/>
  <c r="T187" i="9"/>
  <c r="S187" i="9"/>
  <c r="R187" i="9"/>
  <c r="P187" i="9"/>
  <c r="L187" i="9"/>
  <c r="U186" i="9"/>
  <c r="T186" i="9"/>
  <c r="S186" i="9"/>
  <c r="R186" i="9"/>
  <c r="Q186" i="9"/>
  <c r="P186" i="9"/>
  <c r="L186" i="9"/>
  <c r="U185" i="9"/>
  <c r="T185" i="9"/>
  <c r="R185" i="9"/>
  <c r="Q185" i="9"/>
  <c r="P185" i="9"/>
  <c r="L185" i="9"/>
  <c r="U184" i="9"/>
  <c r="T184" i="9"/>
  <c r="S184" i="9"/>
  <c r="R184" i="9"/>
  <c r="Q184" i="9"/>
  <c r="L184" i="9"/>
  <c r="T183" i="9"/>
  <c r="S183" i="9"/>
  <c r="R183" i="9"/>
  <c r="Q183" i="9"/>
  <c r="P183" i="9"/>
  <c r="L183" i="9"/>
  <c r="U182" i="9"/>
  <c r="T182" i="9"/>
  <c r="S182" i="9"/>
  <c r="Q182" i="9"/>
  <c r="P182" i="9"/>
  <c r="L182" i="9"/>
  <c r="U181" i="9"/>
  <c r="T181" i="9"/>
  <c r="S181" i="9"/>
  <c r="R181" i="9"/>
  <c r="Q181" i="9"/>
  <c r="P181" i="9"/>
  <c r="L181" i="9"/>
  <c r="L180" i="9"/>
  <c r="C179" i="9"/>
  <c r="T175" i="9" s="1"/>
  <c r="T178" i="9"/>
  <c r="S178" i="9"/>
  <c r="R178" i="9"/>
  <c r="Q178" i="9"/>
  <c r="P178" i="9"/>
  <c r="L178" i="9"/>
  <c r="U177" i="9"/>
  <c r="T177" i="9"/>
  <c r="L177" i="9"/>
  <c r="S176" i="9"/>
  <c r="R176" i="9"/>
  <c r="Q176" i="9"/>
  <c r="L176" i="9"/>
  <c r="S175" i="9"/>
  <c r="R175" i="9"/>
  <c r="L175" i="9"/>
  <c r="Q174" i="9"/>
  <c r="P174" i="9"/>
  <c r="L174" i="9"/>
  <c r="U173" i="9"/>
  <c r="T173" i="9"/>
  <c r="R173" i="9"/>
  <c r="Q173" i="9"/>
  <c r="L173" i="9"/>
  <c r="Q172" i="9"/>
  <c r="P172" i="9"/>
  <c r="L172" i="9"/>
  <c r="U171" i="9"/>
  <c r="T171" i="9"/>
  <c r="R171" i="9"/>
  <c r="P171" i="9"/>
  <c r="L171" i="9"/>
  <c r="U170" i="9"/>
  <c r="P170" i="9"/>
  <c r="L170" i="9"/>
  <c r="T169" i="9"/>
  <c r="R169" i="9"/>
  <c r="P169" i="9"/>
  <c r="L169" i="9"/>
  <c r="U168" i="9"/>
  <c r="T168" i="9"/>
  <c r="S168" i="9"/>
  <c r="L168" i="9"/>
  <c r="R167" i="9"/>
  <c r="Q167" i="9"/>
  <c r="L167" i="9"/>
  <c r="U166" i="9"/>
  <c r="T166" i="9"/>
  <c r="S166" i="9"/>
  <c r="Q166" i="9"/>
  <c r="L166" i="9"/>
  <c r="L165" i="9"/>
  <c r="C164" i="9"/>
  <c r="S163" i="9"/>
  <c r="R163" i="9"/>
  <c r="P163" i="9"/>
  <c r="L163" i="9"/>
  <c r="U162" i="9"/>
  <c r="T162" i="9"/>
  <c r="S162" i="9"/>
  <c r="R162" i="9"/>
  <c r="Q162" i="9"/>
  <c r="P162" i="9"/>
  <c r="L162" i="9"/>
  <c r="U161" i="9"/>
  <c r="T161" i="9"/>
  <c r="R161" i="9"/>
  <c r="Q161" i="9"/>
  <c r="P161" i="9"/>
  <c r="L161" i="9"/>
  <c r="U160" i="9"/>
  <c r="T160" i="9"/>
  <c r="S160" i="9"/>
  <c r="R160" i="9"/>
  <c r="Q160" i="9"/>
  <c r="L160" i="9"/>
  <c r="T159" i="9"/>
  <c r="S159" i="9"/>
  <c r="R159" i="9"/>
  <c r="Q159" i="9"/>
  <c r="P159" i="9"/>
  <c r="L159" i="9"/>
  <c r="U158" i="9"/>
  <c r="T158" i="9"/>
  <c r="S158" i="9"/>
  <c r="Q158" i="9"/>
  <c r="P158" i="9"/>
  <c r="L158" i="9"/>
  <c r="U157" i="9"/>
  <c r="T157" i="9"/>
  <c r="S157" i="9"/>
  <c r="R157" i="9"/>
  <c r="Q157" i="9"/>
  <c r="P157" i="9"/>
  <c r="L157" i="9"/>
  <c r="U156" i="9"/>
  <c r="T156" i="9"/>
  <c r="S156" i="9"/>
  <c r="R156" i="9"/>
  <c r="Q156" i="9"/>
  <c r="P156" i="9"/>
  <c r="L156" i="9"/>
  <c r="U155" i="9"/>
  <c r="T155" i="9"/>
  <c r="S155" i="9"/>
  <c r="R155" i="9"/>
  <c r="Q155" i="9"/>
  <c r="P155" i="9"/>
  <c r="L155" i="9"/>
  <c r="U154" i="9"/>
  <c r="T154" i="9"/>
  <c r="S154" i="9"/>
  <c r="R154" i="9"/>
  <c r="Q154" i="9"/>
  <c r="P154" i="9"/>
  <c r="L154" i="9"/>
  <c r="U153" i="9"/>
  <c r="T153" i="9"/>
  <c r="S153" i="9"/>
  <c r="R153" i="9"/>
  <c r="Q153" i="9"/>
  <c r="P153" i="9"/>
  <c r="L153" i="9"/>
  <c r="U152" i="9"/>
  <c r="T152" i="9"/>
  <c r="S152" i="9"/>
  <c r="R152" i="9"/>
  <c r="Q152" i="9"/>
  <c r="P152" i="9"/>
  <c r="L152" i="9"/>
  <c r="U151" i="9"/>
  <c r="T151" i="9"/>
  <c r="S151" i="9"/>
  <c r="R151" i="9"/>
  <c r="Q151" i="9"/>
  <c r="P151" i="9"/>
  <c r="L151" i="9"/>
  <c r="U150" i="9"/>
  <c r="T150" i="9"/>
  <c r="S150" i="9"/>
  <c r="R150" i="9"/>
  <c r="Q150" i="9"/>
  <c r="P150" i="9"/>
  <c r="L150" i="9"/>
  <c r="U149" i="9"/>
  <c r="T149" i="9"/>
  <c r="S149" i="9"/>
  <c r="R149" i="9"/>
  <c r="Q149" i="9"/>
  <c r="P149" i="9"/>
  <c r="L149" i="9"/>
  <c r="U148" i="9"/>
  <c r="T148" i="9"/>
  <c r="S148" i="9"/>
  <c r="R148" i="9"/>
  <c r="Q148" i="9"/>
  <c r="P148" i="9"/>
  <c r="L148" i="9"/>
  <c r="U147" i="9"/>
  <c r="T147" i="9"/>
  <c r="S147" i="9"/>
  <c r="R147" i="9"/>
  <c r="Q147" i="9"/>
  <c r="P147" i="9"/>
  <c r="L147" i="9"/>
  <c r="U146" i="9"/>
  <c r="T146" i="9"/>
  <c r="S146" i="9"/>
  <c r="R146" i="9"/>
  <c r="Q146" i="9"/>
  <c r="P146" i="9"/>
  <c r="L146" i="9"/>
  <c r="L145" i="9"/>
  <c r="L144" i="9"/>
  <c r="L143" i="9"/>
  <c r="L142" i="9"/>
  <c r="L141" i="9"/>
  <c r="L140" i="9"/>
  <c r="L139" i="9"/>
  <c r="L138" i="9"/>
  <c r="C137" i="9"/>
  <c r="P133" i="9" s="1"/>
  <c r="U136" i="9"/>
  <c r="T136" i="9"/>
  <c r="S136" i="9"/>
  <c r="R136" i="9"/>
  <c r="Q136" i="9"/>
  <c r="L136" i="9"/>
  <c r="R135" i="9"/>
  <c r="Q135" i="9"/>
  <c r="P135" i="9"/>
  <c r="L135" i="9"/>
  <c r="U134" i="9"/>
  <c r="T134" i="9"/>
  <c r="S134" i="9"/>
  <c r="L134" i="9"/>
  <c r="T133" i="9"/>
  <c r="S133" i="9"/>
  <c r="R133" i="9"/>
  <c r="Q133" i="9"/>
  <c r="L133" i="9"/>
  <c r="U132" i="9"/>
  <c r="Q132" i="9"/>
  <c r="L132" i="9"/>
  <c r="U131" i="9"/>
  <c r="T131" i="9"/>
  <c r="S131" i="9"/>
  <c r="L131" i="9"/>
  <c r="S130" i="9"/>
  <c r="P130" i="9"/>
  <c r="L130" i="9"/>
  <c r="U129" i="9"/>
  <c r="L129" i="9"/>
  <c r="U128" i="9"/>
  <c r="T128" i="9"/>
  <c r="Q128" i="9"/>
  <c r="L128" i="9"/>
  <c r="Q127" i="9"/>
  <c r="P127" i="9"/>
  <c r="L127" i="9"/>
  <c r="U126" i="9"/>
  <c r="S126" i="9"/>
  <c r="L126" i="9"/>
  <c r="T125" i="9"/>
  <c r="R125" i="9"/>
  <c r="Q125" i="9"/>
  <c r="P125" i="9"/>
  <c r="L125" i="9"/>
  <c r="U124" i="9"/>
  <c r="Q124" i="9"/>
  <c r="P124" i="9"/>
  <c r="L124" i="9"/>
  <c r="T123" i="9"/>
  <c r="S123" i="9"/>
  <c r="R123" i="9"/>
  <c r="L123" i="9"/>
  <c r="S122" i="9"/>
  <c r="R122" i="9"/>
  <c r="Q122" i="9"/>
  <c r="P122" i="9"/>
  <c r="L122" i="9"/>
  <c r="U121" i="9"/>
  <c r="T121" i="9"/>
  <c r="P121" i="9"/>
  <c r="L121" i="9"/>
  <c r="U120" i="9"/>
  <c r="T120" i="9"/>
  <c r="S120" i="9"/>
  <c r="R120" i="9"/>
  <c r="Q120" i="9"/>
  <c r="L120" i="9"/>
  <c r="R119" i="9"/>
  <c r="Q119" i="9"/>
  <c r="P119" i="9"/>
  <c r="L119" i="9"/>
  <c r="U118" i="9"/>
  <c r="T118" i="9"/>
  <c r="S118" i="9"/>
  <c r="L118" i="9"/>
  <c r="T117" i="9"/>
  <c r="S117" i="9"/>
  <c r="R117" i="9"/>
  <c r="Q117" i="9"/>
  <c r="P117" i="9"/>
  <c r="L117" i="9"/>
  <c r="U116" i="9"/>
  <c r="T116" i="9"/>
  <c r="R116" i="9"/>
  <c r="Q116" i="9"/>
  <c r="P116" i="9"/>
  <c r="L116" i="9"/>
  <c r="U115" i="9"/>
  <c r="T115" i="9"/>
  <c r="S115" i="9"/>
  <c r="R115" i="9"/>
  <c r="Q115" i="9"/>
  <c r="L115" i="9"/>
  <c r="T114" i="9"/>
  <c r="S114" i="9"/>
  <c r="R114" i="9"/>
  <c r="Q114" i="9"/>
  <c r="P114" i="9"/>
  <c r="L114" i="9"/>
  <c r="U113" i="9"/>
  <c r="T113" i="9"/>
  <c r="S113" i="9"/>
  <c r="Q113" i="9"/>
  <c r="P113" i="9"/>
  <c r="L113" i="9"/>
  <c r="U112" i="9"/>
  <c r="T112" i="9"/>
  <c r="S112" i="9"/>
  <c r="R112" i="9"/>
  <c r="Q112" i="9"/>
  <c r="P112" i="9"/>
  <c r="L112" i="9"/>
  <c r="U111" i="9"/>
  <c r="S111" i="9"/>
  <c r="R111" i="9"/>
  <c r="Q111" i="9"/>
  <c r="P111" i="9"/>
  <c r="L111" i="9"/>
  <c r="U110" i="9"/>
  <c r="T110" i="9"/>
  <c r="S110" i="9"/>
  <c r="R110" i="9"/>
  <c r="P110" i="9"/>
  <c r="L110" i="9"/>
  <c r="U109" i="9"/>
  <c r="T109" i="9"/>
  <c r="S109" i="9"/>
  <c r="R109" i="9"/>
  <c r="Q109" i="9"/>
  <c r="P109" i="9"/>
  <c r="L109" i="9"/>
  <c r="U108" i="9"/>
  <c r="T108" i="9"/>
  <c r="S108" i="9"/>
  <c r="R108" i="9"/>
  <c r="Q108" i="9"/>
  <c r="P108" i="9"/>
  <c r="L108" i="9"/>
  <c r="U107" i="9"/>
  <c r="T107" i="9"/>
  <c r="S107" i="9"/>
  <c r="R107" i="9"/>
  <c r="Q107" i="9"/>
  <c r="P107" i="9"/>
  <c r="L107" i="9"/>
  <c r="U106" i="9"/>
  <c r="T106" i="9"/>
  <c r="S106" i="9"/>
  <c r="R106" i="9"/>
  <c r="Q106" i="9"/>
  <c r="P106" i="9"/>
  <c r="L106" i="9"/>
  <c r="U105" i="9"/>
  <c r="T105" i="9"/>
  <c r="S105" i="9"/>
  <c r="R105" i="9"/>
  <c r="Q105" i="9"/>
  <c r="P105" i="9"/>
  <c r="L105" i="9"/>
  <c r="U104" i="9"/>
  <c r="T104" i="9"/>
  <c r="S104" i="9"/>
  <c r="R104" i="9"/>
  <c r="Q104" i="9"/>
  <c r="P104" i="9"/>
  <c r="L104" i="9"/>
  <c r="U103" i="9"/>
  <c r="T103" i="9"/>
  <c r="S103" i="9"/>
  <c r="R103" i="9"/>
  <c r="Q103" i="9"/>
  <c r="P103" i="9"/>
  <c r="L103" i="9"/>
  <c r="U102" i="9"/>
  <c r="T102" i="9"/>
  <c r="S102" i="9"/>
  <c r="R102" i="9"/>
  <c r="Q102" i="9"/>
  <c r="P102" i="9"/>
  <c r="L102" i="9"/>
  <c r="U101" i="9"/>
  <c r="T101" i="9"/>
  <c r="S101" i="9"/>
  <c r="R101" i="9"/>
  <c r="Q101" i="9"/>
  <c r="P101" i="9"/>
  <c r="L101" i="9"/>
  <c r="U100" i="9"/>
  <c r="T100" i="9"/>
  <c r="S100" i="9"/>
  <c r="R100" i="9"/>
  <c r="Q100" i="9"/>
  <c r="P100" i="9"/>
  <c r="L100" i="9"/>
  <c r="U99" i="9"/>
  <c r="T99" i="9"/>
  <c r="S99" i="9"/>
  <c r="R99" i="9"/>
  <c r="Q99" i="9"/>
  <c r="P99" i="9"/>
  <c r="L99" i="9"/>
  <c r="U98" i="9"/>
  <c r="T98" i="9"/>
  <c r="S98" i="9"/>
  <c r="R98" i="9"/>
  <c r="Q98" i="9"/>
  <c r="P98" i="9"/>
  <c r="L98" i="9"/>
  <c r="L97" i="9"/>
  <c r="C96" i="9"/>
  <c r="U95" i="9"/>
  <c r="T95" i="9"/>
  <c r="S95" i="9"/>
  <c r="R95" i="9"/>
  <c r="Q95" i="9"/>
  <c r="P95" i="9"/>
  <c r="L95" i="9"/>
  <c r="U94" i="9"/>
  <c r="T94" i="9"/>
  <c r="S94" i="9"/>
  <c r="R94" i="9"/>
  <c r="Q94" i="9"/>
  <c r="P94" i="9"/>
  <c r="L94" i="9"/>
  <c r="U93" i="9"/>
  <c r="T93" i="9"/>
  <c r="S93" i="9"/>
  <c r="R93" i="9"/>
  <c r="Q93" i="9"/>
  <c r="P93" i="9"/>
  <c r="L93" i="9"/>
  <c r="U92" i="9"/>
  <c r="T92" i="9"/>
  <c r="S92" i="9"/>
  <c r="R92" i="9"/>
  <c r="Q92" i="9"/>
  <c r="P92" i="9"/>
  <c r="L92" i="9"/>
  <c r="U91" i="9"/>
  <c r="T91" i="9"/>
  <c r="S91" i="9"/>
  <c r="R91" i="9"/>
  <c r="Q91" i="9"/>
  <c r="P91" i="9"/>
  <c r="L91" i="9"/>
  <c r="U90" i="9"/>
  <c r="T90" i="9"/>
  <c r="S90" i="9"/>
  <c r="R90" i="9"/>
  <c r="Q90" i="9"/>
  <c r="P90" i="9"/>
  <c r="L90" i="9"/>
  <c r="U89" i="9"/>
  <c r="T89" i="9"/>
  <c r="S89" i="9"/>
  <c r="R89" i="9"/>
  <c r="Q89" i="9"/>
  <c r="P89" i="9"/>
  <c r="L89" i="9"/>
  <c r="U88" i="9"/>
  <c r="T88" i="9"/>
  <c r="S88" i="9"/>
  <c r="R88" i="9"/>
  <c r="Q88" i="9"/>
  <c r="P88" i="9"/>
  <c r="L88" i="9"/>
  <c r="U87" i="9"/>
  <c r="T87" i="9"/>
  <c r="S87" i="9"/>
  <c r="R87" i="9"/>
  <c r="Q87" i="9"/>
  <c r="P87" i="9"/>
  <c r="L87" i="9"/>
  <c r="U86" i="9"/>
  <c r="T86" i="9"/>
  <c r="S86" i="9"/>
  <c r="R86" i="9"/>
  <c r="Q86" i="9"/>
  <c r="P86" i="9"/>
  <c r="L86" i="9"/>
  <c r="U85" i="9"/>
  <c r="T85" i="9"/>
  <c r="S85" i="9"/>
  <c r="R85" i="9"/>
  <c r="Q85" i="9"/>
  <c r="P85" i="9"/>
  <c r="L85" i="9"/>
  <c r="U84" i="9"/>
  <c r="T84" i="9"/>
  <c r="S84" i="9"/>
  <c r="R84" i="9"/>
  <c r="Q84" i="9"/>
  <c r="P84" i="9"/>
  <c r="L84" i="9"/>
  <c r="U83" i="9"/>
  <c r="T83" i="9"/>
  <c r="S83" i="9"/>
  <c r="R83" i="9"/>
  <c r="Q83" i="9"/>
  <c r="P83" i="9"/>
  <c r="L83" i="9"/>
  <c r="U82" i="9"/>
  <c r="T82" i="9"/>
  <c r="S82" i="9"/>
  <c r="R82" i="9"/>
  <c r="Q82" i="9"/>
  <c r="P82" i="9"/>
  <c r="L82" i="9"/>
  <c r="U81" i="9"/>
  <c r="T81" i="9"/>
  <c r="S81" i="9"/>
  <c r="R81" i="9"/>
  <c r="Q81" i="9"/>
  <c r="P81" i="9"/>
  <c r="L81" i="9"/>
  <c r="U80" i="9"/>
  <c r="T80" i="9"/>
  <c r="S80" i="9"/>
  <c r="R80" i="9"/>
  <c r="Q80" i="9"/>
  <c r="P80" i="9"/>
  <c r="L80" i="9"/>
  <c r="U79" i="9"/>
  <c r="T79" i="9"/>
  <c r="S79" i="9"/>
  <c r="R79" i="9"/>
  <c r="Q79" i="9"/>
  <c r="P79" i="9"/>
  <c r="L79" i="9"/>
  <c r="U78" i="9"/>
  <c r="T78" i="9"/>
  <c r="T96" i="9" s="1"/>
  <c r="S78" i="9"/>
  <c r="R78" i="9"/>
  <c r="Q78" i="9"/>
  <c r="P78" i="9"/>
  <c r="L78" i="9"/>
  <c r="U77" i="9"/>
  <c r="U96" i="9" s="1"/>
  <c r="T77" i="9"/>
  <c r="S77" i="9"/>
  <c r="R77" i="9"/>
  <c r="Q77" i="9"/>
  <c r="P77" i="9"/>
  <c r="L77" i="9"/>
  <c r="C75" i="9"/>
  <c r="U74" i="9" s="1"/>
  <c r="T74" i="9"/>
  <c r="S74" i="9"/>
  <c r="P74" i="9"/>
  <c r="L74" i="9"/>
  <c r="U73" i="9"/>
  <c r="T73" i="9"/>
  <c r="S73" i="9"/>
  <c r="Q73" i="9"/>
  <c r="P73" i="9"/>
  <c r="L73" i="9"/>
  <c r="U72" i="9"/>
  <c r="R72" i="9"/>
  <c r="Q72" i="9"/>
  <c r="P72" i="9"/>
  <c r="L72" i="9"/>
  <c r="U71" i="9"/>
  <c r="S71" i="9"/>
  <c r="R71" i="9"/>
  <c r="L71" i="9"/>
  <c r="T70" i="9"/>
  <c r="S70" i="9"/>
  <c r="R70" i="9"/>
  <c r="P70" i="9"/>
  <c r="L70" i="9"/>
  <c r="U69" i="9"/>
  <c r="T69" i="9"/>
  <c r="Q69" i="9"/>
  <c r="P69" i="9"/>
  <c r="L69" i="9"/>
  <c r="U68" i="9"/>
  <c r="T68" i="9"/>
  <c r="R68" i="9"/>
  <c r="Q68" i="9"/>
  <c r="L68" i="9"/>
  <c r="S67" i="9"/>
  <c r="R67" i="9"/>
  <c r="Q67" i="9"/>
  <c r="L67" i="9"/>
  <c r="T66" i="9"/>
  <c r="S66" i="9"/>
  <c r="P66" i="9"/>
  <c r="L66" i="9"/>
  <c r="U65" i="9"/>
  <c r="T65" i="9"/>
  <c r="S65" i="9"/>
  <c r="Q65" i="9"/>
  <c r="P65" i="9"/>
  <c r="L65" i="9"/>
  <c r="C63" i="9"/>
  <c r="U62" i="9"/>
  <c r="T62" i="9"/>
  <c r="S62" i="9"/>
  <c r="R62" i="9"/>
  <c r="Q62" i="9"/>
  <c r="L62" i="9"/>
  <c r="U61" i="9"/>
  <c r="T61" i="9"/>
  <c r="S61" i="9"/>
  <c r="R61" i="9"/>
  <c r="Q61" i="9"/>
  <c r="L61" i="9"/>
  <c r="U60" i="9"/>
  <c r="T60" i="9"/>
  <c r="S60" i="9"/>
  <c r="R60" i="9"/>
  <c r="Q60" i="9"/>
  <c r="L60" i="9"/>
  <c r="U59" i="9"/>
  <c r="T59" i="9"/>
  <c r="S59" i="9"/>
  <c r="R59" i="9"/>
  <c r="Q59" i="9"/>
  <c r="P59" i="9"/>
  <c r="L59" i="9"/>
  <c r="U58" i="9"/>
  <c r="T58" i="9"/>
  <c r="S58" i="9"/>
  <c r="R58" i="9"/>
  <c r="Q58" i="9"/>
  <c r="P58" i="9"/>
  <c r="L58" i="9"/>
  <c r="U57" i="9"/>
  <c r="T57" i="9"/>
  <c r="S57" i="9"/>
  <c r="R57" i="9"/>
  <c r="Q57" i="9"/>
  <c r="P57" i="9"/>
  <c r="L57" i="9"/>
  <c r="U56" i="9"/>
  <c r="T56" i="9"/>
  <c r="S56" i="9"/>
  <c r="R56" i="9"/>
  <c r="Q56" i="9"/>
  <c r="P56" i="9"/>
  <c r="L56" i="9"/>
  <c r="U55" i="9"/>
  <c r="T55" i="9"/>
  <c r="S55" i="9"/>
  <c r="R55" i="9"/>
  <c r="Q55" i="9"/>
  <c r="P55" i="9"/>
  <c r="L55" i="9"/>
  <c r="U54" i="9"/>
  <c r="T54" i="9"/>
  <c r="S54" i="9"/>
  <c r="R54" i="9"/>
  <c r="Q54" i="9"/>
  <c r="P54" i="9"/>
  <c r="L54" i="9"/>
  <c r="U53" i="9"/>
  <c r="T53" i="9"/>
  <c r="S53" i="9"/>
  <c r="R53" i="9"/>
  <c r="Q53" i="9"/>
  <c r="P53" i="9"/>
  <c r="L53" i="9"/>
  <c r="U52" i="9"/>
  <c r="T52" i="9"/>
  <c r="S52" i="9"/>
  <c r="R52" i="9"/>
  <c r="Q52" i="9"/>
  <c r="P52" i="9"/>
  <c r="L52" i="9"/>
  <c r="U51" i="9"/>
  <c r="T51" i="9"/>
  <c r="S51" i="9"/>
  <c r="R51" i="9"/>
  <c r="Q51" i="9"/>
  <c r="P51" i="9"/>
  <c r="L51" i="9"/>
  <c r="U50" i="9"/>
  <c r="T50" i="9"/>
  <c r="S50" i="9"/>
  <c r="R50" i="9"/>
  <c r="Q50" i="9"/>
  <c r="P50" i="9"/>
  <c r="L50" i="9"/>
  <c r="U49" i="9"/>
  <c r="T49" i="9"/>
  <c r="S49" i="9"/>
  <c r="R49" i="9"/>
  <c r="Q49" i="9"/>
  <c r="P49" i="9"/>
  <c r="L49" i="9"/>
  <c r="U48" i="9"/>
  <c r="T48" i="9"/>
  <c r="S48" i="9"/>
  <c r="R48" i="9"/>
  <c r="Q48" i="9"/>
  <c r="P48" i="9"/>
  <c r="L48" i="9"/>
  <c r="U47" i="9"/>
  <c r="T47" i="9"/>
  <c r="S47" i="9"/>
  <c r="R47" i="9"/>
  <c r="Q47" i="9"/>
  <c r="P47" i="9"/>
  <c r="L47" i="9"/>
  <c r="U46" i="9"/>
  <c r="U63" i="9" s="1"/>
  <c r="T46" i="9"/>
  <c r="S46" i="9"/>
  <c r="R46" i="9"/>
  <c r="Q46" i="9"/>
  <c r="P46" i="9"/>
  <c r="L46" i="9"/>
  <c r="U45" i="9"/>
  <c r="T45" i="9"/>
  <c r="S45" i="9"/>
  <c r="R45" i="9"/>
  <c r="R63" i="9" s="1"/>
  <c r="Q45" i="9"/>
  <c r="P45" i="9"/>
  <c r="L45" i="9"/>
  <c r="U44" i="9"/>
  <c r="T44" i="9"/>
  <c r="S44" i="9"/>
  <c r="R44" i="9"/>
  <c r="Q44" i="9"/>
  <c r="Q63" i="9" s="1"/>
  <c r="P44" i="9"/>
  <c r="L44" i="9"/>
  <c r="L43" i="9"/>
  <c r="C42" i="9"/>
  <c r="R39" i="9" s="1"/>
  <c r="L41" i="9"/>
  <c r="P40" i="9"/>
  <c r="L40" i="9"/>
  <c r="L39" i="9"/>
  <c r="L38" i="9"/>
  <c r="R37" i="9"/>
  <c r="L37" i="9"/>
  <c r="P36" i="9"/>
  <c r="L36" i="9"/>
  <c r="T35" i="9"/>
  <c r="L35" i="9"/>
  <c r="L34" i="9"/>
  <c r="Q33" i="9"/>
  <c r="L33" i="9"/>
  <c r="L32" i="9"/>
  <c r="S31" i="9"/>
  <c r="P31" i="9"/>
  <c r="L30" i="9"/>
  <c r="L29" i="9"/>
  <c r="L28" i="9"/>
  <c r="L27" i="9"/>
  <c r="L26" i="9"/>
  <c r="P25" i="9"/>
  <c r="L25" i="9"/>
  <c r="L24" i="9"/>
  <c r="R23" i="9"/>
  <c r="L23" i="9"/>
  <c r="L22" i="9"/>
  <c r="L21" i="9"/>
  <c r="L20" i="9"/>
  <c r="L19" i="9"/>
  <c r="P18" i="9"/>
  <c r="L18" i="9"/>
  <c r="U17" i="9"/>
  <c r="P17" i="9"/>
  <c r="L17" i="9"/>
  <c r="U16" i="9"/>
  <c r="T16" i="9"/>
  <c r="R16" i="9"/>
  <c r="L16" i="9"/>
  <c r="Q15" i="9"/>
  <c r="L15" i="9"/>
  <c r="T14" i="9"/>
  <c r="P14" i="9"/>
  <c r="L14" i="9"/>
  <c r="U13" i="9"/>
  <c r="T13" i="9"/>
  <c r="S13" i="9"/>
  <c r="Q13" i="9"/>
  <c r="L13" i="9"/>
  <c r="R12" i="9"/>
  <c r="Q12" i="9"/>
  <c r="P12" i="9"/>
  <c r="L12" i="9"/>
  <c r="U11" i="9"/>
  <c r="S11" i="9"/>
  <c r="L11" i="9"/>
  <c r="T10" i="9"/>
  <c r="S10" i="9"/>
  <c r="R10" i="9"/>
  <c r="P10" i="9"/>
  <c r="L10" i="9"/>
  <c r="U9" i="9"/>
  <c r="Q9" i="9"/>
  <c r="P9" i="9"/>
  <c r="L9" i="9"/>
  <c r="T8" i="9"/>
  <c r="R8" i="9"/>
  <c r="Q8" i="9"/>
  <c r="P8" i="9"/>
  <c r="L8" i="9"/>
  <c r="U7" i="9"/>
  <c r="S7" i="9"/>
  <c r="R7" i="9"/>
  <c r="Q7" i="9"/>
  <c r="L7" i="9"/>
  <c r="Z181" i="8"/>
  <c r="AN180" i="8"/>
  <c r="AK179" i="8"/>
  <c r="AI179" i="8"/>
  <c r="AL177" i="8"/>
  <c r="AK177" i="8"/>
  <c r="AM175" i="8"/>
  <c r="AL175" i="8"/>
  <c r="AI174" i="8"/>
  <c r="AN173" i="8"/>
  <c r="AM172" i="8"/>
  <c r="AL172" i="8"/>
  <c r="AK171" i="8"/>
  <c r="AJ171" i="8"/>
  <c r="AI170" i="8"/>
  <c r="AN169" i="8"/>
  <c r="AM168" i="8"/>
  <c r="AL168" i="8"/>
  <c r="AK167" i="8"/>
  <c r="AJ167" i="8"/>
  <c r="AI166" i="8"/>
  <c r="AN165" i="8"/>
  <c r="AM164" i="8"/>
  <c r="AL164" i="8"/>
  <c r="AK163" i="8"/>
  <c r="AJ163" i="8"/>
  <c r="AI162" i="8"/>
  <c r="AN161" i="8"/>
  <c r="AM160" i="8"/>
  <c r="AL160" i="8"/>
  <c r="AK159" i="8"/>
  <c r="AJ159" i="8"/>
  <c r="AI158" i="8"/>
  <c r="AN157" i="8"/>
  <c r="AM156" i="8"/>
  <c r="AL156" i="8"/>
  <c r="AK155" i="8"/>
  <c r="AJ155" i="8"/>
  <c r="AI154" i="8"/>
  <c r="AN153" i="8"/>
  <c r="AM152" i="8"/>
  <c r="AL152" i="8"/>
  <c r="AK151" i="8"/>
  <c r="AJ151" i="8"/>
  <c r="AI150" i="8"/>
  <c r="AN149" i="8"/>
  <c r="AM148" i="8"/>
  <c r="AL148" i="8"/>
  <c r="AK147" i="8"/>
  <c r="AJ147" i="8"/>
  <c r="AI146" i="8"/>
  <c r="AN145" i="8"/>
  <c r="AM144" i="8"/>
  <c r="AL144" i="8"/>
  <c r="AK143" i="8"/>
  <c r="AJ143" i="8"/>
  <c r="AI142" i="8"/>
  <c r="AN141" i="8"/>
  <c r="AM140" i="8"/>
  <c r="AL140" i="8"/>
  <c r="AK139" i="8"/>
  <c r="AJ139" i="8"/>
  <c r="AI138" i="8"/>
  <c r="AN137" i="8"/>
  <c r="AM136" i="8"/>
  <c r="AL136" i="8"/>
  <c r="AK135" i="8"/>
  <c r="AJ135" i="8"/>
  <c r="AI134" i="8"/>
  <c r="AN133" i="8"/>
  <c r="AM132" i="8"/>
  <c r="AL132" i="8"/>
  <c r="AK132" i="8"/>
  <c r="AI132" i="8"/>
  <c r="AN131" i="8"/>
  <c r="AM131" i="8"/>
  <c r="AL131" i="8"/>
  <c r="AK131" i="8"/>
  <c r="AJ131" i="8"/>
  <c r="AI131" i="8"/>
  <c r="AM130" i="8"/>
  <c r="AL130" i="8"/>
  <c r="AK130" i="8"/>
  <c r="AJ130" i="8"/>
  <c r="AI130" i="8"/>
  <c r="AN129" i="8"/>
  <c r="AM129" i="8"/>
  <c r="AK129" i="8"/>
  <c r="AJ129" i="8"/>
  <c r="AI129" i="8"/>
  <c r="AN128" i="8"/>
  <c r="AM128" i="8"/>
  <c r="AL128" i="8"/>
  <c r="AK128" i="8"/>
  <c r="AI128" i="8"/>
  <c r="AN127" i="8"/>
  <c r="AM127" i="8"/>
  <c r="AL127" i="8"/>
  <c r="AK127" i="8"/>
  <c r="AJ127" i="8"/>
  <c r="AI127" i="8"/>
  <c r="AM126" i="8"/>
  <c r="AL126" i="8"/>
  <c r="AK126" i="8"/>
  <c r="AJ126" i="8"/>
  <c r="AI126" i="8"/>
  <c r="AN125" i="8"/>
  <c r="AM125" i="8"/>
  <c r="AK125" i="8"/>
  <c r="AJ125" i="8"/>
  <c r="AI125" i="8"/>
  <c r="AN124" i="8"/>
  <c r="AM124" i="8"/>
  <c r="AL124" i="8"/>
  <c r="AK124" i="8"/>
  <c r="AI124" i="8"/>
  <c r="AN123" i="8"/>
  <c r="AM123" i="8"/>
  <c r="AL123" i="8"/>
  <c r="AK123" i="8"/>
  <c r="AJ123" i="8"/>
  <c r="AI123" i="8"/>
  <c r="AM122" i="8"/>
  <c r="AL122" i="8"/>
  <c r="AK122" i="8"/>
  <c r="AJ122" i="8"/>
  <c r="AI122" i="8"/>
  <c r="AN121" i="8"/>
  <c r="AM121" i="8"/>
  <c r="AK121" i="8"/>
  <c r="AJ121" i="8"/>
  <c r="AI121" i="8"/>
  <c r="AN120" i="8"/>
  <c r="AM120" i="8"/>
  <c r="AL120" i="8"/>
  <c r="AK120" i="8"/>
  <c r="AI120" i="8"/>
  <c r="AN119" i="8"/>
  <c r="AM119" i="8"/>
  <c r="AL119" i="8"/>
  <c r="AK119" i="8"/>
  <c r="AJ119" i="8"/>
  <c r="AI119" i="8"/>
  <c r="AM118" i="8"/>
  <c r="AL118" i="8"/>
  <c r="AK118" i="8"/>
  <c r="AJ118" i="8"/>
  <c r="AI118" i="8"/>
  <c r="AN117" i="8"/>
  <c r="AM117" i="8"/>
  <c r="AK117" i="8"/>
  <c r="AJ117" i="8"/>
  <c r="AI117" i="8"/>
  <c r="AN116" i="8"/>
  <c r="AM116" i="8"/>
  <c r="AL116" i="8"/>
  <c r="AK116" i="8"/>
  <c r="AI116" i="8"/>
  <c r="AN115" i="8"/>
  <c r="AM115" i="8"/>
  <c r="AL115" i="8"/>
  <c r="AK115" i="8"/>
  <c r="AJ115" i="8"/>
  <c r="AI115" i="8"/>
  <c r="AN114" i="8"/>
  <c r="AM114" i="8"/>
  <c r="AL114" i="8"/>
  <c r="AK114" i="8"/>
  <c r="AJ114" i="8"/>
  <c r="AI114" i="8"/>
  <c r="AN113" i="8"/>
  <c r="AM113" i="8"/>
  <c r="AL113" i="8"/>
  <c r="AK113" i="8"/>
  <c r="AJ113" i="8"/>
  <c r="AI113" i="8"/>
  <c r="AN112" i="8"/>
  <c r="AM112" i="8"/>
  <c r="AL112" i="8"/>
  <c r="AK112" i="8"/>
  <c r="AJ112" i="8"/>
  <c r="AI112" i="8"/>
  <c r="AN111" i="8"/>
  <c r="AM111" i="8"/>
  <c r="AL111" i="8"/>
  <c r="AK111" i="8"/>
  <c r="AJ111" i="8"/>
  <c r="AI111" i="8"/>
  <c r="AN110" i="8"/>
  <c r="AM110" i="8"/>
  <c r="AL110" i="8"/>
  <c r="AK110" i="8"/>
  <c r="AJ110" i="8"/>
  <c r="AI110" i="8"/>
  <c r="AN109" i="8"/>
  <c r="AM109" i="8"/>
  <c r="AL109" i="8"/>
  <c r="AK109" i="8"/>
  <c r="AJ109" i="8"/>
  <c r="AI109" i="8"/>
  <c r="AN108" i="8"/>
  <c r="AM108" i="8"/>
  <c r="AL108" i="8"/>
  <c r="AK108" i="8"/>
  <c r="AJ108" i="8"/>
  <c r="AI108" i="8"/>
  <c r="AN107" i="8"/>
  <c r="AM107" i="8"/>
  <c r="AL107" i="8"/>
  <c r="AK107" i="8"/>
  <c r="AJ107" i="8"/>
  <c r="AI107" i="8"/>
  <c r="AN106" i="8"/>
  <c r="AM106" i="8"/>
  <c r="AL106" i="8"/>
  <c r="AK106" i="8"/>
  <c r="AJ106" i="8"/>
  <c r="AI106" i="8"/>
  <c r="AN105" i="8"/>
  <c r="AM105" i="8"/>
  <c r="AL105" i="8"/>
  <c r="AK105" i="8"/>
  <c r="AJ105" i="8"/>
  <c r="AI105" i="8"/>
  <c r="AN104" i="8"/>
  <c r="AM104" i="8"/>
  <c r="AL104" i="8"/>
  <c r="AK104" i="8"/>
  <c r="AJ104" i="8"/>
  <c r="AI104" i="8"/>
  <c r="AN103" i="8"/>
  <c r="AM103" i="8"/>
  <c r="AL103" i="8"/>
  <c r="AK103" i="8"/>
  <c r="AJ103" i="8"/>
  <c r="AI103" i="8"/>
  <c r="AN102" i="8"/>
  <c r="AM102" i="8"/>
  <c r="AL102" i="8"/>
  <c r="AK102" i="8"/>
  <c r="AJ102" i="8"/>
  <c r="AI102" i="8"/>
  <c r="AN101" i="8"/>
  <c r="AM101" i="8"/>
  <c r="AL101" i="8"/>
  <c r="AK101" i="8"/>
  <c r="AJ101" i="8"/>
  <c r="AI101" i="8"/>
  <c r="AN100" i="8"/>
  <c r="AM100" i="8"/>
  <c r="AL100" i="8"/>
  <c r="AK100" i="8"/>
  <c r="AJ100" i="8"/>
  <c r="AI100" i="8"/>
  <c r="AN99" i="8"/>
  <c r="AM99" i="8"/>
  <c r="AL99" i="8"/>
  <c r="AK99" i="8"/>
  <c r="AJ99" i="8"/>
  <c r="AI99" i="8"/>
  <c r="AN98" i="8"/>
  <c r="AM98" i="8"/>
  <c r="AL98" i="8"/>
  <c r="AK98" i="8"/>
  <c r="AJ98" i="8"/>
  <c r="AI98" i="8"/>
  <c r="AN97" i="8"/>
  <c r="AM97" i="8"/>
  <c r="AL97" i="8"/>
  <c r="AK97" i="8"/>
  <c r="AJ97" i="8"/>
  <c r="AI97" i="8"/>
  <c r="AN96" i="8"/>
  <c r="AM96" i="8"/>
  <c r="AL96" i="8"/>
  <c r="AK96" i="8"/>
  <c r="AJ96" i="8"/>
  <c r="AI96" i="8"/>
  <c r="AN95" i="8"/>
  <c r="AM95" i="8"/>
  <c r="AL95" i="8"/>
  <c r="AK95" i="8"/>
  <c r="AJ95" i="8"/>
  <c r="AI95" i="8"/>
  <c r="AN94" i="8"/>
  <c r="AM94" i="8"/>
  <c r="AL94" i="8"/>
  <c r="AK94" i="8"/>
  <c r="AJ94" i="8"/>
  <c r="AI94" i="8"/>
  <c r="AN93" i="8"/>
  <c r="AM93" i="8"/>
  <c r="AL93" i="8"/>
  <c r="AK93" i="8"/>
  <c r="AJ93" i="8"/>
  <c r="AI93" i="8"/>
  <c r="AN92" i="8"/>
  <c r="AM92" i="8"/>
  <c r="AL92" i="8"/>
  <c r="AK92" i="8"/>
  <c r="AJ92" i="8"/>
  <c r="AI92" i="8"/>
  <c r="AN91" i="8"/>
  <c r="AM91" i="8"/>
  <c r="AL91" i="8"/>
  <c r="AK91" i="8"/>
  <c r="AJ91" i="8"/>
  <c r="AI91" i="8"/>
  <c r="AN90" i="8"/>
  <c r="AM90" i="8"/>
  <c r="AL90" i="8"/>
  <c r="AK90" i="8"/>
  <c r="AJ90" i="8"/>
  <c r="AI90" i="8"/>
  <c r="AN89" i="8"/>
  <c r="AM89" i="8"/>
  <c r="AL89" i="8"/>
  <c r="AK89" i="8"/>
  <c r="AJ89" i="8"/>
  <c r="AI89" i="8"/>
  <c r="AN88" i="8"/>
  <c r="AM88" i="8"/>
  <c r="AL88" i="8"/>
  <c r="AK88" i="8"/>
  <c r="AJ88" i="8"/>
  <c r="AI88" i="8"/>
  <c r="AN87" i="8"/>
  <c r="AM87" i="8"/>
  <c r="AL87" i="8"/>
  <c r="AK87" i="8"/>
  <c r="AJ87" i="8"/>
  <c r="AI87" i="8"/>
  <c r="AN86" i="8"/>
  <c r="AM86" i="8"/>
  <c r="AL86" i="8"/>
  <c r="AK86" i="8"/>
  <c r="AJ86" i="8"/>
  <c r="AI86" i="8"/>
  <c r="AN85" i="8"/>
  <c r="AM85" i="8"/>
  <c r="AL85" i="8"/>
  <c r="AK85" i="8"/>
  <c r="AJ85" i="8"/>
  <c r="AI85" i="8"/>
  <c r="AN84" i="8"/>
  <c r="AM84" i="8"/>
  <c r="AL84" i="8"/>
  <c r="AK84" i="8"/>
  <c r="AJ84" i="8"/>
  <c r="AI84" i="8"/>
  <c r="AN83" i="8"/>
  <c r="AM83" i="8"/>
  <c r="AL83" i="8"/>
  <c r="AK83" i="8"/>
  <c r="AJ83" i="8"/>
  <c r="AI83" i="8"/>
  <c r="AN82" i="8"/>
  <c r="AM82" i="8"/>
  <c r="AL82" i="8"/>
  <c r="AK82" i="8"/>
  <c r="AJ82" i="8"/>
  <c r="AI82" i="8"/>
  <c r="AN81" i="8"/>
  <c r="AM81" i="8"/>
  <c r="AL81" i="8"/>
  <c r="AK81" i="8"/>
  <c r="AJ81" i="8"/>
  <c r="AI81" i="8"/>
  <c r="AN80" i="8"/>
  <c r="AM80" i="8"/>
  <c r="AL80" i="8"/>
  <c r="AK80" i="8"/>
  <c r="AJ80" i="8"/>
  <c r="AI80" i="8"/>
  <c r="AN79" i="8"/>
  <c r="AM79" i="8"/>
  <c r="AL79" i="8"/>
  <c r="AK79" i="8"/>
  <c r="AJ79" i="8"/>
  <c r="AI79" i="8"/>
  <c r="AN78" i="8"/>
  <c r="AM78" i="8"/>
  <c r="AL78" i="8"/>
  <c r="AK78" i="8"/>
  <c r="AJ78" i="8"/>
  <c r="AI78" i="8"/>
  <c r="AN77" i="8"/>
  <c r="AM77" i="8"/>
  <c r="AL77" i="8"/>
  <c r="AK77" i="8"/>
  <c r="AJ77" i="8"/>
  <c r="AI77" i="8"/>
  <c r="AN76" i="8"/>
  <c r="AM76" i="8"/>
  <c r="AL76" i="8"/>
  <c r="AK76" i="8"/>
  <c r="AJ76" i="8"/>
  <c r="AI76" i="8"/>
  <c r="AN75" i="8"/>
  <c r="AM75" i="8"/>
  <c r="AL75" i="8"/>
  <c r="AK75" i="8"/>
  <c r="AJ75" i="8"/>
  <c r="AI75" i="8"/>
  <c r="AN74" i="8"/>
  <c r="AM74" i="8"/>
  <c r="AL74" i="8"/>
  <c r="AK74" i="8"/>
  <c r="AJ74" i="8"/>
  <c r="AI74" i="8"/>
  <c r="AN73" i="8"/>
  <c r="AM73" i="8"/>
  <c r="AL73" i="8"/>
  <c r="AK73" i="8"/>
  <c r="AJ73" i="8"/>
  <c r="AI73" i="8"/>
  <c r="AN72" i="8"/>
  <c r="AM72" i="8"/>
  <c r="AL72" i="8"/>
  <c r="AK72" i="8"/>
  <c r="AJ72" i="8"/>
  <c r="AI72" i="8"/>
  <c r="AN71" i="8"/>
  <c r="AM71" i="8"/>
  <c r="AL71" i="8"/>
  <c r="AK71" i="8"/>
  <c r="AJ71" i="8"/>
  <c r="AI71" i="8"/>
  <c r="AN70" i="8"/>
  <c r="AM70" i="8"/>
  <c r="AL70" i="8"/>
  <c r="AK70" i="8"/>
  <c r="AJ70" i="8"/>
  <c r="AI70" i="8"/>
  <c r="AN69" i="8"/>
  <c r="AM69" i="8"/>
  <c r="AL69" i="8"/>
  <c r="AK69" i="8"/>
  <c r="AJ69" i="8"/>
  <c r="AI69" i="8"/>
  <c r="AN68" i="8"/>
  <c r="AM68" i="8"/>
  <c r="AL68" i="8"/>
  <c r="AK68" i="8"/>
  <c r="AJ68" i="8"/>
  <c r="AI68" i="8"/>
  <c r="AN67" i="8"/>
  <c r="AM67" i="8"/>
  <c r="AL67" i="8"/>
  <c r="AK67" i="8"/>
  <c r="AJ67" i="8"/>
  <c r="AI67" i="8"/>
  <c r="AN66" i="8"/>
  <c r="AM66" i="8"/>
  <c r="AL66" i="8"/>
  <c r="AK66" i="8"/>
  <c r="AJ66" i="8"/>
  <c r="AI66" i="8"/>
  <c r="AN65" i="8"/>
  <c r="AM65" i="8"/>
  <c r="AL65" i="8"/>
  <c r="AK65" i="8"/>
  <c r="AJ65" i="8"/>
  <c r="AI65" i="8"/>
  <c r="AN64" i="8"/>
  <c r="AM64" i="8"/>
  <c r="AL64" i="8"/>
  <c r="AK64" i="8"/>
  <c r="AJ64" i="8"/>
  <c r="AI64" i="8"/>
  <c r="AN63" i="8"/>
  <c r="AM63" i="8"/>
  <c r="AL63" i="8"/>
  <c r="AK63" i="8"/>
  <c r="AJ63" i="8"/>
  <c r="AI63" i="8"/>
  <c r="AN62" i="8"/>
  <c r="AM62" i="8"/>
  <c r="AL62" i="8"/>
  <c r="AK62" i="8"/>
  <c r="AJ62" i="8"/>
  <c r="AI62" i="8"/>
  <c r="AN61" i="8"/>
  <c r="AM61" i="8"/>
  <c r="AL61" i="8"/>
  <c r="AK61" i="8"/>
  <c r="AJ61" i="8"/>
  <c r="AI61" i="8"/>
  <c r="AN60" i="8"/>
  <c r="AM60" i="8"/>
  <c r="AL60" i="8"/>
  <c r="AK60" i="8"/>
  <c r="AJ60" i="8"/>
  <c r="AI60" i="8"/>
  <c r="AN59" i="8"/>
  <c r="AM59" i="8"/>
  <c r="AL59" i="8"/>
  <c r="AK59" i="8"/>
  <c r="AJ59" i="8"/>
  <c r="AI59" i="8"/>
  <c r="AN58" i="8"/>
  <c r="AM58" i="8"/>
  <c r="AL58" i="8"/>
  <c r="AK58" i="8"/>
  <c r="AJ58" i="8"/>
  <c r="AI58" i="8"/>
  <c r="AN57" i="8"/>
  <c r="AM57" i="8"/>
  <c r="AL57" i="8"/>
  <c r="AK57" i="8"/>
  <c r="AJ57" i="8"/>
  <c r="AI57" i="8"/>
  <c r="AN56" i="8"/>
  <c r="AM56" i="8"/>
  <c r="AL56" i="8"/>
  <c r="AK56" i="8"/>
  <c r="AJ56" i="8"/>
  <c r="AI56" i="8"/>
  <c r="AN55" i="8"/>
  <c r="AM55" i="8"/>
  <c r="AL55" i="8"/>
  <c r="AK55" i="8"/>
  <c r="AJ55" i="8"/>
  <c r="AI55" i="8"/>
  <c r="AN54" i="8"/>
  <c r="AM54" i="8"/>
  <c r="AL54" i="8"/>
  <c r="AK54" i="8"/>
  <c r="AJ54" i="8"/>
  <c r="AI54" i="8"/>
  <c r="AN53" i="8"/>
  <c r="AM53" i="8"/>
  <c r="AL53" i="8"/>
  <c r="AK53" i="8"/>
  <c r="AJ53" i="8"/>
  <c r="AI53" i="8"/>
  <c r="AN52" i="8"/>
  <c r="AM52" i="8"/>
  <c r="AL52" i="8"/>
  <c r="AK52" i="8"/>
  <c r="AJ52" i="8"/>
  <c r="AI52" i="8"/>
  <c r="AN51" i="8"/>
  <c r="AM51" i="8"/>
  <c r="AL51" i="8"/>
  <c r="AK51" i="8"/>
  <c r="AJ51" i="8"/>
  <c r="AI51" i="8"/>
  <c r="AN50" i="8"/>
  <c r="AM50" i="8"/>
  <c r="AL50" i="8"/>
  <c r="AK50" i="8"/>
  <c r="AJ50" i="8"/>
  <c r="AI50" i="8"/>
  <c r="AN49" i="8"/>
  <c r="AM49" i="8"/>
  <c r="AL49" i="8"/>
  <c r="AK49" i="8"/>
  <c r="AJ49" i="8"/>
  <c r="AI49" i="8"/>
  <c r="AN48" i="8"/>
  <c r="AM48" i="8"/>
  <c r="AL48" i="8"/>
  <c r="AK48" i="8"/>
  <c r="AJ48" i="8"/>
  <c r="AI48" i="8"/>
  <c r="AN47" i="8"/>
  <c r="AM47" i="8"/>
  <c r="AL47" i="8"/>
  <c r="AK47" i="8"/>
  <c r="AJ47" i="8"/>
  <c r="AI47" i="8"/>
  <c r="AN46" i="8"/>
  <c r="AM46" i="8"/>
  <c r="AL46" i="8"/>
  <c r="AK46" i="8"/>
  <c r="AJ46" i="8"/>
  <c r="AI46" i="8"/>
  <c r="AN45" i="8"/>
  <c r="AM45" i="8"/>
  <c r="AL45" i="8"/>
  <c r="AK45" i="8"/>
  <c r="AJ45" i="8"/>
  <c r="AI45" i="8"/>
  <c r="AN44" i="8"/>
  <c r="AM44" i="8"/>
  <c r="AL44" i="8"/>
  <c r="AK44" i="8"/>
  <c r="AJ44" i="8"/>
  <c r="AI44" i="8"/>
  <c r="AN43" i="8"/>
  <c r="AM43" i="8"/>
  <c r="AL43" i="8"/>
  <c r="AK43" i="8"/>
  <c r="AJ43" i="8"/>
  <c r="AI43" i="8"/>
  <c r="AN42" i="8"/>
  <c r="AM42" i="8"/>
  <c r="AL42" i="8"/>
  <c r="AK42" i="8"/>
  <c r="AJ42" i="8"/>
  <c r="AI42" i="8"/>
  <c r="AN41" i="8"/>
  <c r="AM41" i="8"/>
  <c r="AL41" i="8"/>
  <c r="AK41" i="8"/>
  <c r="AJ41" i="8"/>
  <c r="AI41" i="8"/>
  <c r="AN40" i="8"/>
  <c r="AM40" i="8"/>
  <c r="AL40" i="8"/>
  <c r="AK40" i="8"/>
  <c r="AJ40" i="8"/>
  <c r="AI40" i="8"/>
  <c r="AN39" i="8"/>
  <c r="AM39" i="8"/>
  <c r="AL39" i="8"/>
  <c r="AK39" i="8"/>
  <c r="AJ39" i="8"/>
  <c r="AI39" i="8"/>
  <c r="AN38" i="8"/>
  <c r="AM38" i="8"/>
  <c r="AL38" i="8"/>
  <c r="AK38" i="8"/>
  <c r="AJ38" i="8"/>
  <c r="AI38" i="8"/>
  <c r="AN37" i="8"/>
  <c r="AM37" i="8"/>
  <c r="AL37" i="8"/>
  <c r="AK37" i="8"/>
  <c r="AJ37" i="8"/>
  <c r="AI37" i="8"/>
  <c r="AN36" i="8"/>
  <c r="AM36" i="8"/>
  <c r="AL36" i="8"/>
  <c r="AK36" i="8"/>
  <c r="AJ36" i="8"/>
  <c r="AI36" i="8"/>
  <c r="AN35" i="8"/>
  <c r="AM35" i="8"/>
  <c r="AL35" i="8"/>
  <c r="AK35" i="8"/>
  <c r="AJ35" i="8"/>
  <c r="AI35" i="8"/>
  <c r="AN34" i="8"/>
  <c r="AM34" i="8"/>
  <c r="AL34" i="8"/>
  <c r="AK34" i="8"/>
  <c r="AJ34" i="8"/>
  <c r="AI34" i="8"/>
  <c r="AN33" i="8"/>
  <c r="AM33" i="8"/>
  <c r="AL33" i="8"/>
  <c r="AK33" i="8"/>
  <c r="AJ33" i="8"/>
  <c r="AI33" i="8"/>
  <c r="AN32" i="8"/>
  <c r="AM32" i="8"/>
  <c r="AL32" i="8"/>
  <c r="AK32" i="8"/>
  <c r="AJ32" i="8"/>
  <c r="AI32" i="8"/>
  <c r="AN31" i="8"/>
  <c r="AM31" i="8"/>
  <c r="AL31" i="8"/>
  <c r="AK31" i="8"/>
  <c r="AJ31" i="8"/>
  <c r="AI31" i="8"/>
  <c r="AN30" i="8"/>
  <c r="AM30" i="8"/>
  <c r="AL30" i="8"/>
  <c r="AK30" i="8"/>
  <c r="AJ30" i="8"/>
  <c r="AI30" i="8"/>
  <c r="AN29" i="8"/>
  <c r="AM29" i="8"/>
  <c r="AL29" i="8"/>
  <c r="AK29" i="8"/>
  <c r="AJ29" i="8"/>
  <c r="AI29" i="8"/>
  <c r="AN28" i="8"/>
  <c r="AM28" i="8"/>
  <c r="AL28" i="8"/>
  <c r="AK28" i="8"/>
  <c r="AJ28" i="8"/>
  <c r="AI28" i="8"/>
  <c r="AN27" i="8"/>
  <c r="AM27" i="8"/>
  <c r="AL27" i="8"/>
  <c r="AK27" i="8"/>
  <c r="AJ27" i="8"/>
  <c r="AI27" i="8"/>
  <c r="AN26" i="8"/>
  <c r="AM26" i="8"/>
  <c r="AL26" i="8"/>
  <c r="AK26" i="8"/>
  <c r="AJ26" i="8"/>
  <c r="AI26" i="8"/>
  <c r="AN25" i="8"/>
  <c r="AM25" i="8"/>
  <c r="AL25" i="8"/>
  <c r="AK25" i="8"/>
  <c r="AJ25" i="8"/>
  <c r="AI25" i="8"/>
  <c r="AN24" i="8"/>
  <c r="AM24" i="8"/>
  <c r="AL24" i="8"/>
  <c r="AK24" i="8"/>
  <c r="AJ24" i="8"/>
  <c r="AI24" i="8"/>
  <c r="AN23" i="8"/>
  <c r="AM23" i="8"/>
  <c r="AL23" i="8"/>
  <c r="AK23" i="8"/>
  <c r="AJ23" i="8"/>
  <c r="AI23" i="8"/>
  <c r="AN22" i="8"/>
  <c r="AM22" i="8"/>
  <c r="AL22" i="8"/>
  <c r="AK22" i="8"/>
  <c r="AJ22" i="8"/>
  <c r="AI22" i="8"/>
  <c r="AN21" i="8"/>
  <c r="AM21" i="8"/>
  <c r="AL21" i="8"/>
  <c r="AK21" i="8"/>
  <c r="AJ21" i="8"/>
  <c r="AI21" i="8"/>
  <c r="AN20" i="8"/>
  <c r="AM20" i="8"/>
  <c r="AL20" i="8"/>
  <c r="AK20" i="8"/>
  <c r="AJ20" i="8"/>
  <c r="AI20" i="8"/>
  <c r="AN19" i="8"/>
  <c r="AM19" i="8"/>
  <c r="AL19" i="8"/>
  <c r="AK19" i="8"/>
  <c r="AJ19" i="8"/>
  <c r="AI19" i="8"/>
  <c r="AN18" i="8"/>
  <c r="AM18" i="8"/>
  <c r="AL18" i="8"/>
  <c r="AK18" i="8"/>
  <c r="AJ18" i="8"/>
  <c r="AI18" i="8"/>
  <c r="AN17" i="8"/>
  <c r="AM17" i="8"/>
  <c r="AL17" i="8"/>
  <c r="AK17" i="8"/>
  <c r="AJ17" i="8"/>
  <c r="AI17" i="8"/>
  <c r="AN16" i="8"/>
  <c r="AM16" i="8"/>
  <c r="AL16" i="8"/>
  <c r="AK16" i="8"/>
  <c r="AJ16" i="8"/>
  <c r="AI16" i="8"/>
  <c r="AN15" i="8"/>
  <c r="AM15" i="8"/>
  <c r="AL15" i="8"/>
  <c r="AK15" i="8"/>
  <c r="AJ15" i="8"/>
  <c r="AI15" i="8"/>
  <c r="AN14" i="8"/>
  <c r="AM14" i="8"/>
  <c r="AL14" i="8"/>
  <c r="AK14" i="8"/>
  <c r="AJ14" i="8"/>
  <c r="AI14" i="8"/>
  <c r="AN13" i="8"/>
  <c r="AM13" i="8"/>
  <c r="AL13" i="8"/>
  <c r="AK13" i="8"/>
  <c r="AJ13" i="8"/>
  <c r="AI13" i="8"/>
  <c r="AN12" i="8"/>
  <c r="AM12" i="8"/>
  <c r="AL12" i="8"/>
  <c r="AK12" i="8"/>
  <c r="AJ12" i="8"/>
  <c r="AI12" i="8"/>
  <c r="AN11" i="8"/>
  <c r="AM11" i="8"/>
  <c r="AL11" i="8"/>
  <c r="AK11" i="8"/>
  <c r="AJ11" i="8"/>
  <c r="AI11" i="8"/>
  <c r="AN10" i="8"/>
  <c r="AM10" i="8"/>
  <c r="AL10" i="8"/>
  <c r="AK10" i="8"/>
  <c r="AJ10" i="8"/>
  <c r="AI10" i="8"/>
  <c r="AN9" i="8"/>
  <c r="AM9" i="8"/>
  <c r="AL9" i="8"/>
  <c r="AK9" i="8"/>
  <c r="AJ9" i="8"/>
  <c r="AI9" i="8"/>
  <c r="AN8" i="8"/>
  <c r="AM8" i="8"/>
  <c r="AL8" i="8"/>
  <c r="AK8" i="8"/>
  <c r="AJ8" i="8"/>
  <c r="AI8" i="8"/>
  <c r="G8" i="8"/>
  <c r="F8" i="8"/>
  <c r="E8" i="8"/>
  <c r="AN7" i="8"/>
  <c r="AM7" i="8"/>
  <c r="AL7" i="8"/>
  <c r="AK7" i="8"/>
  <c r="AJ7" i="8"/>
  <c r="AI7" i="8"/>
  <c r="AN6" i="8"/>
  <c r="AM6" i="8"/>
  <c r="AL6" i="8"/>
  <c r="AK6" i="8"/>
  <c r="AJ6" i="8"/>
  <c r="AI6" i="8"/>
  <c r="AN5" i="8"/>
  <c r="AM5" i="8"/>
  <c r="AL5" i="8"/>
  <c r="AK5" i="8"/>
  <c r="AJ5" i="8"/>
  <c r="AI5" i="8"/>
  <c r="AN4" i="8"/>
  <c r="AM4" i="8"/>
  <c r="AL4" i="8"/>
  <c r="AK4" i="8"/>
  <c r="AJ4" i="8"/>
  <c r="AI4" i="8"/>
  <c r="AN3" i="8"/>
  <c r="AM3" i="8"/>
  <c r="AL3" i="8"/>
  <c r="AK3" i="8"/>
  <c r="AJ3" i="8"/>
  <c r="AI3" i="8"/>
  <c r="AL180" i="7"/>
  <c r="AL179" i="7"/>
  <c r="AL178" i="7"/>
  <c r="AL177" i="7"/>
  <c r="AL176" i="7"/>
  <c r="AL175" i="7"/>
  <c r="AL174" i="7"/>
  <c r="AL173" i="7"/>
  <c r="AL172" i="7"/>
  <c r="AL171" i="7"/>
  <c r="AL170" i="7"/>
  <c r="AL169" i="7"/>
  <c r="AL168" i="7"/>
  <c r="AL167" i="7"/>
  <c r="AL166" i="7"/>
  <c r="AL165" i="7"/>
  <c r="AL164" i="7"/>
  <c r="AL163" i="7"/>
  <c r="AL162" i="7"/>
  <c r="AL161" i="7"/>
  <c r="AL160" i="7"/>
  <c r="AL159" i="7"/>
  <c r="AL158" i="7"/>
  <c r="AL157" i="7"/>
  <c r="AL156" i="7"/>
  <c r="AL155" i="7"/>
  <c r="AL154" i="7"/>
  <c r="AL153" i="7"/>
  <c r="AL152" i="7"/>
  <c r="AL151" i="7"/>
  <c r="AL150" i="7"/>
  <c r="AL149" i="7"/>
  <c r="AL148" i="7"/>
  <c r="AL147" i="7"/>
  <c r="AL146" i="7"/>
  <c r="AL145" i="7"/>
  <c r="AL144" i="7"/>
  <c r="AL143" i="7"/>
  <c r="AL142" i="7"/>
  <c r="AL141" i="7"/>
  <c r="AL140" i="7"/>
  <c r="AL139" i="7"/>
  <c r="AL138" i="7"/>
  <c r="AL137" i="7"/>
  <c r="AL136" i="7"/>
  <c r="AL135" i="7"/>
  <c r="AL134" i="7"/>
  <c r="AL133" i="7"/>
  <c r="AL132" i="7"/>
  <c r="AL131" i="7"/>
  <c r="AL130" i="7"/>
  <c r="AL129" i="7"/>
  <c r="AL128" i="7"/>
  <c r="AL127" i="7"/>
  <c r="AL126" i="7"/>
  <c r="AL125" i="7"/>
  <c r="AL124" i="7"/>
  <c r="AL123" i="7"/>
  <c r="AL122" i="7"/>
  <c r="AL121" i="7"/>
  <c r="AL120" i="7"/>
  <c r="AL119" i="7"/>
  <c r="AL118" i="7"/>
  <c r="AL117" i="7"/>
  <c r="AL116" i="7"/>
  <c r="AL115" i="7"/>
  <c r="AL114" i="7"/>
  <c r="AL113" i="7"/>
  <c r="AL112" i="7"/>
  <c r="AL111" i="7"/>
  <c r="AL110" i="7"/>
  <c r="AL109" i="7"/>
  <c r="AL108" i="7"/>
  <c r="AL107" i="7"/>
  <c r="AL106" i="7"/>
  <c r="AL105" i="7"/>
  <c r="AL104" i="7"/>
  <c r="AL103" i="7"/>
  <c r="AL102" i="7"/>
  <c r="AL101" i="7"/>
  <c r="AL100" i="7"/>
  <c r="AL99" i="7"/>
  <c r="AL98" i="7"/>
  <c r="AL97" i="7"/>
  <c r="AL96" i="7"/>
  <c r="AL95" i="7"/>
  <c r="AL94" i="7"/>
  <c r="AL93" i="7"/>
  <c r="AL92" i="7"/>
  <c r="AL91" i="7"/>
  <c r="AL90" i="7"/>
  <c r="AL89" i="7"/>
  <c r="AL88" i="7"/>
  <c r="AL87" i="7"/>
  <c r="AL86" i="7"/>
  <c r="AL85" i="7"/>
  <c r="AL84" i="7"/>
  <c r="AL83" i="7"/>
  <c r="AL82" i="7"/>
  <c r="AL81" i="7"/>
  <c r="AL80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62" i="7"/>
  <c r="AL61" i="7"/>
  <c r="AL60" i="7"/>
  <c r="AL59" i="7"/>
  <c r="AL58" i="7"/>
  <c r="AL57" i="7"/>
  <c r="AL56" i="7"/>
  <c r="AL55" i="7"/>
  <c r="AL54" i="7"/>
  <c r="AL53" i="7"/>
  <c r="AL52" i="7"/>
  <c r="AL51" i="7"/>
  <c r="AL50" i="7"/>
  <c r="AL49" i="7"/>
  <c r="AL48" i="7"/>
  <c r="AL47" i="7"/>
  <c r="AL46" i="7"/>
  <c r="AL45" i="7"/>
  <c r="AL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9" i="7"/>
  <c r="AL8" i="7"/>
  <c r="AL7" i="7"/>
  <c r="AL6" i="7"/>
  <c r="L6" i="7"/>
  <c r="AL5" i="7"/>
  <c r="AL4" i="7"/>
  <c r="M4" i="7"/>
  <c r="H4" i="7"/>
  <c r="AL3" i="7"/>
  <c r="M3" i="7"/>
  <c r="H3" i="7"/>
  <c r="AK2" i="7"/>
  <c r="AJ2" i="7"/>
  <c r="AI2" i="7"/>
  <c r="AH2" i="7"/>
  <c r="AG2" i="7"/>
  <c r="M2" i="7"/>
  <c r="M6" i="7" s="1"/>
  <c r="H2" i="7"/>
  <c r="H6" i="7" s="1"/>
  <c r="AH180" i="6"/>
  <c r="AC180" i="6"/>
  <c r="AH179" i="6"/>
  <c r="AC179" i="6"/>
  <c r="AH178" i="6"/>
  <c r="AC178" i="6"/>
  <c r="AH177" i="6"/>
  <c r="AC177" i="6"/>
  <c r="AH176" i="6"/>
  <c r="AC176" i="6"/>
  <c r="AH175" i="6"/>
  <c r="AC175" i="6"/>
  <c r="AH174" i="6"/>
  <c r="AC174" i="6"/>
  <c r="AH173" i="6"/>
  <c r="AC173" i="6"/>
  <c r="AH172" i="6"/>
  <c r="AC172" i="6"/>
  <c r="AH171" i="6"/>
  <c r="AC171" i="6"/>
  <c r="AH170" i="6"/>
  <c r="AC170" i="6"/>
  <c r="AH169" i="6"/>
  <c r="AC169" i="6"/>
  <c r="AH168" i="6"/>
  <c r="AC168" i="6"/>
  <c r="AH167" i="6"/>
  <c r="AC167" i="6"/>
  <c r="AH166" i="6"/>
  <c r="AC166" i="6"/>
  <c r="AH165" i="6"/>
  <c r="AC165" i="6"/>
  <c r="AH164" i="6"/>
  <c r="Q5" i="6" s="1"/>
  <c r="AC164" i="6"/>
  <c r="AH163" i="6"/>
  <c r="AC163" i="6"/>
  <c r="AH162" i="6"/>
  <c r="AC162" i="6"/>
  <c r="AH161" i="6"/>
  <c r="AC161" i="6"/>
  <c r="AH160" i="6"/>
  <c r="AC160" i="6"/>
  <c r="K160" i="6"/>
  <c r="G160" i="6"/>
  <c r="AH159" i="6"/>
  <c r="AC159" i="6"/>
  <c r="K159" i="6"/>
  <c r="G159" i="6"/>
  <c r="AH158" i="6"/>
  <c r="AC158" i="6"/>
  <c r="K158" i="6"/>
  <c r="G158" i="6"/>
  <c r="AH157" i="6"/>
  <c r="AC157" i="6"/>
  <c r="K157" i="6"/>
  <c r="G157" i="6"/>
  <c r="AH156" i="6"/>
  <c r="AC156" i="6"/>
  <c r="K156" i="6"/>
  <c r="G156" i="6"/>
  <c r="AH155" i="6"/>
  <c r="AC155" i="6"/>
  <c r="K155" i="6"/>
  <c r="G155" i="6"/>
  <c r="AH154" i="6"/>
  <c r="AC154" i="6"/>
  <c r="K154" i="6"/>
  <c r="G154" i="6"/>
  <c r="AH153" i="6"/>
  <c r="AC153" i="6"/>
  <c r="K153" i="6"/>
  <c r="G153" i="6"/>
  <c r="AH152" i="6"/>
  <c r="AC152" i="6"/>
  <c r="K152" i="6"/>
  <c r="G152" i="6"/>
  <c r="AH151" i="6"/>
  <c r="AC151" i="6"/>
  <c r="K151" i="6"/>
  <c r="G151" i="6"/>
  <c r="AH150" i="6"/>
  <c r="AC150" i="6"/>
  <c r="K150" i="6"/>
  <c r="G150" i="6"/>
  <c r="AH149" i="6"/>
  <c r="AC149" i="6"/>
  <c r="K149" i="6"/>
  <c r="G149" i="6"/>
  <c r="AH148" i="6"/>
  <c r="AC148" i="6"/>
  <c r="K148" i="6"/>
  <c r="G148" i="6"/>
  <c r="AH147" i="6"/>
  <c r="AC147" i="6"/>
  <c r="K147" i="6"/>
  <c r="G147" i="6"/>
  <c r="AH146" i="6"/>
  <c r="AC146" i="6"/>
  <c r="K146" i="6"/>
  <c r="G146" i="6"/>
  <c r="AH145" i="6"/>
  <c r="AC145" i="6"/>
  <c r="K145" i="6"/>
  <c r="G145" i="6"/>
  <c r="AH144" i="6"/>
  <c r="AC144" i="6"/>
  <c r="K144" i="6"/>
  <c r="G144" i="6"/>
  <c r="AH143" i="6"/>
  <c r="AC143" i="6"/>
  <c r="K143" i="6"/>
  <c r="G143" i="6"/>
  <c r="AH142" i="6"/>
  <c r="AC142" i="6"/>
  <c r="K142" i="6"/>
  <c r="G142" i="6"/>
  <c r="AH141" i="6"/>
  <c r="AC141" i="6"/>
  <c r="K141" i="6"/>
  <c r="G141" i="6"/>
  <c r="AH140" i="6"/>
  <c r="AC140" i="6"/>
  <c r="K140" i="6"/>
  <c r="G140" i="6"/>
  <c r="AH139" i="6"/>
  <c r="AC139" i="6"/>
  <c r="K139" i="6"/>
  <c r="G139" i="6"/>
  <c r="AH138" i="6"/>
  <c r="AC138" i="6"/>
  <c r="K138" i="6"/>
  <c r="G138" i="6"/>
  <c r="AH137" i="6"/>
  <c r="AC137" i="6"/>
  <c r="K137" i="6"/>
  <c r="G137" i="6"/>
  <c r="AH136" i="6"/>
  <c r="AC136" i="6"/>
  <c r="K136" i="6"/>
  <c r="G136" i="6"/>
  <c r="AH135" i="6"/>
  <c r="AC135" i="6"/>
  <c r="K135" i="6"/>
  <c r="G135" i="6"/>
  <c r="AH134" i="6"/>
  <c r="AC134" i="6"/>
  <c r="K134" i="6"/>
  <c r="G134" i="6"/>
  <c r="AH133" i="6"/>
  <c r="AC133" i="6"/>
  <c r="K133" i="6"/>
  <c r="G133" i="6"/>
  <c r="AH132" i="6"/>
  <c r="AC132" i="6"/>
  <c r="K132" i="6"/>
  <c r="G132" i="6"/>
  <c r="AH131" i="6"/>
  <c r="AC131" i="6"/>
  <c r="K131" i="6"/>
  <c r="G131" i="6"/>
  <c r="AH130" i="6"/>
  <c r="AC130" i="6"/>
  <c r="K130" i="6"/>
  <c r="G130" i="6"/>
  <c r="AH129" i="6"/>
  <c r="AC129" i="6"/>
  <c r="K129" i="6"/>
  <c r="G129" i="6"/>
  <c r="AH128" i="6"/>
  <c r="AC128" i="6"/>
  <c r="K128" i="6"/>
  <c r="G128" i="6"/>
  <c r="AH127" i="6"/>
  <c r="AC127" i="6"/>
  <c r="K127" i="6"/>
  <c r="G127" i="6"/>
  <c r="AH126" i="6"/>
  <c r="AC126" i="6"/>
  <c r="K126" i="6"/>
  <c r="G126" i="6"/>
  <c r="AH125" i="6"/>
  <c r="AC125" i="6"/>
  <c r="K125" i="6"/>
  <c r="G125" i="6"/>
  <c r="AH124" i="6"/>
  <c r="AC124" i="6"/>
  <c r="K124" i="6"/>
  <c r="G124" i="6"/>
  <c r="AH123" i="6"/>
  <c r="AC123" i="6"/>
  <c r="K123" i="6"/>
  <c r="G123" i="6"/>
  <c r="AH122" i="6"/>
  <c r="AC122" i="6"/>
  <c r="K122" i="6"/>
  <c r="G122" i="6"/>
  <c r="AH121" i="6"/>
  <c r="AC121" i="6"/>
  <c r="K121" i="6"/>
  <c r="G121" i="6"/>
  <c r="AH120" i="6"/>
  <c r="AC120" i="6"/>
  <c r="K120" i="6"/>
  <c r="G120" i="6"/>
  <c r="AH119" i="6"/>
  <c r="AC119" i="6"/>
  <c r="K119" i="6"/>
  <c r="G119" i="6"/>
  <c r="AH118" i="6"/>
  <c r="AC118" i="6"/>
  <c r="K118" i="6"/>
  <c r="G118" i="6"/>
  <c r="AH117" i="6"/>
  <c r="AC117" i="6"/>
  <c r="K117" i="6"/>
  <c r="G117" i="6"/>
  <c r="AH116" i="6"/>
  <c r="AC116" i="6"/>
  <c r="K116" i="6"/>
  <c r="G116" i="6"/>
  <c r="AH115" i="6"/>
  <c r="AC115" i="6"/>
  <c r="K115" i="6"/>
  <c r="G115" i="6"/>
  <c r="AH114" i="6"/>
  <c r="AC114" i="6"/>
  <c r="K114" i="6"/>
  <c r="G114" i="6"/>
  <c r="AH113" i="6"/>
  <c r="AC113" i="6"/>
  <c r="K113" i="6"/>
  <c r="G113" i="6"/>
  <c r="AH112" i="6"/>
  <c r="AC112" i="6"/>
  <c r="K112" i="6"/>
  <c r="G112" i="6"/>
  <c r="AH111" i="6"/>
  <c r="AC111" i="6"/>
  <c r="K111" i="6"/>
  <c r="G111" i="6"/>
  <c r="AH110" i="6"/>
  <c r="AC110" i="6"/>
  <c r="K110" i="6"/>
  <c r="G110" i="6"/>
  <c r="AH109" i="6"/>
  <c r="AC109" i="6"/>
  <c r="K109" i="6"/>
  <c r="G109" i="6"/>
  <c r="AH108" i="6"/>
  <c r="AC108" i="6"/>
  <c r="K108" i="6"/>
  <c r="G108" i="6"/>
  <c r="AH107" i="6"/>
  <c r="AC107" i="6"/>
  <c r="K107" i="6"/>
  <c r="G107" i="6"/>
  <c r="AH106" i="6"/>
  <c r="AC106" i="6"/>
  <c r="K106" i="6"/>
  <c r="G106" i="6"/>
  <c r="AH105" i="6"/>
  <c r="AC105" i="6"/>
  <c r="K105" i="6"/>
  <c r="G105" i="6"/>
  <c r="AH104" i="6"/>
  <c r="AC104" i="6"/>
  <c r="K104" i="6"/>
  <c r="G104" i="6"/>
  <c r="AH103" i="6"/>
  <c r="AC103" i="6"/>
  <c r="K103" i="6"/>
  <c r="G103" i="6"/>
  <c r="AH102" i="6"/>
  <c r="AC102" i="6"/>
  <c r="K102" i="6"/>
  <c r="G102" i="6"/>
  <c r="AH101" i="6"/>
  <c r="AC101" i="6"/>
  <c r="K101" i="6"/>
  <c r="G101" i="6"/>
  <c r="AH100" i="6"/>
  <c r="AC100" i="6"/>
  <c r="K100" i="6"/>
  <c r="G100" i="6"/>
  <c r="AH99" i="6"/>
  <c r="AC99" i="6"/>
  <c r="K99" i="6"/>
  <c r="G99" i="6"/>
  <c r="AH98" i="6"/>
  <c r="AC98" i="6"/>
  <c r="K98" i="6"/>
  <c r="G98" i="6"/>
  <c r="AH97" i="6"/>
  <c r="AC97" i="6"/>
  <c r="K97" i="6"/>
  <c r="G97" i="6"/>
  <c r="AH96" i="6"/>
  <c r="AC96" i="6"/>
  <c r="K96" i="6"/>
  <c r="G96" i="6"/>
  <c r="AH95" i="6"/>
  <c r="AC95" i="6"/>
  <c r="K95" i="6"/>
  <c r="G95" i="6"/>
  <c r="AH94" i="6"/>
  <c r="AC94" i="6"/>
  <c r="K94" i="6"/>
  <c r="G94" i="6"/>
  <c r="AH93" i="6"/>
  <c r="AC93" i="6"/>
  <c r="K93" i="6"/>
  <c r="G93" i="6"/>
  <c r="AH92" i="6"/>
  <c r="AC92" i="6"/>
  <c r="K92" i="6"/>
  <c r="G92" i="6"/>
  <c r="AH91" i="6"/>
  <c r="AC91" i="6"/>
  <c r="K91" i="6"/>
  <c r="G91" i="6"/>
  <c r="AH90" i="6"/>
  <c r="AC90" i="6"/>
  <c r="K90" i="6"/>
  <c r="G90" i="6"/>
  <c r="AH89" i="6"/>
  <c r="AC89" i="6"/>
  <c r="K89" i="6"/>
  <c r="G89" i="6"/>
  <c r="AH88" i="6"/>
  <c r="AC88" i="6"/>
  <c r="K88" i="6"/>
  <c r="G88" i="6"/>
  <c r="AH87" i="6"/>
  <c r="AC87" i="6"/>
  <c r="K87" i="6"/>
  <c r="G87" i="6"/>
  <c r="AH86" i="6"/>
  <c r="AC86" i="6"/>
  <c r="K86" i="6"/>
  <c r="G86" i="6"/>
  <c r="AH85" i="6"/>
  <c r="AC85" i="6"/>
  <c r="K85" i="6"/>
  <c r="G85" i="6"/>
  <c r="AH84" i="6"/>
  <c r="AC84" i="6"/>
  <c r="K84" i="6"/>
  <c r="G84" i="6"/>
  <c r="AH83" i="6"/>
  <c r="AC83" i="6"/>
  <c r="K83" i="6"/>
  <c r="G83" i="6"/>
  <c r="AH82" i="6"/>
  <c r="AC82" i="6"/>
  <c r="K82" i="6"/>
  <c r="G82" i="6"/>
  <c r="AH81" i="6"/>
  <c r="AC81" i="6"/>
  <c r="K81" i="6"/>
  <c r="G81" i="6"/>
  <c r="AH80" i="6"/>
  <c r="AC80" i="6"/>
  <c r="K80" i="6"/>
  <c r="G80" i="6"/>
  <c r="AH79" i="6"/>
  <c r="AC79" i="6"/>
  <c r="K79" i="6"/>
  <c r="G79" i="6"/>
  <c r="AH78" i="6"/>
  <c r="AC78" i="6"/>
  <c r="K78" i="6"/>
  <c r="G78" i="6"/>
  <c r="AH77" i="6"/>
  <c r="AC77" i="6"/>
  <c r="K77" i="6"/>
  <c r="G77" i="6"/>
  <c r="AH76" i="6"/>
  <c r="AC76" i="6"/>
  <c r="K76" i="6"/>
  <c r="G76" i="6"/>
  <c r="AH75" i="6"/>
  <c r="AC75" i="6"/>
  <c r="K75" i="6"/>
  <c r="G75" i="6"/>
  <c r="AH74" i="6"/>
  <c r="AC74" i="6"/>
  <c r="K74" i="6"/>
  <c r="G74" i="6"/>
  <c r="AH73" i="6"/>
  <c r="AC73" i="6"/>
  <c r="K73" i="6"/>
  <c r="G73" i="6"/>
  <c r="AH72" i="6"/>
  <c r="AC72" i="6"/>
  <c r="K72" i="6"/>
  <c r="G72" i="6"/>
  <c r="AH71" i="6"/>
  <c r="AC71" i="6"/>
  <c r="K71" i="6"/>
  <c r="G71" i="6"/>
  <c r="AH70" i="6"/>
  <c r="AC70" i="6"/>
  <c r="K70" i="6"/>
  <c r="G70" i="6"/>
  <c r="AH69" i="6"/>
  <c r="AC69" i="6"/>
  <c r="K69" i="6"/>
  <c r="G69" i="6"/>
  <c r="AH68" i="6"/>
  <c r="AC68" i="6"/>
  <c r="K68" i="6"/>
  <c r="G68" i="6"/>
  <c r="AH67" i="6"/>
  <c r="AC67" i="6"/>
  <c r="K67" i="6"/>
  <c r="G67" i="6"/>
  <c r="AH66" i="6"/>
  <c r="AC66" i="6"/>
  <c r="K66" i="6"/>
  <c r="G66" i="6"/>
  <c r="AH65" i="6"/>
  <c r="AC65" i="6"/>
  <c r="K65" i="6"/>
  <c r="G65" i="6"/>
  <c r="AH64" i="6"/>
  <c r="AC64" i="6"/>
  <c r="K64" i="6"/>
  <c r="G64" i="6"/>
  <c r="AH63" i="6"/>
  <c r="AC63" i="6"/>
  <c r="K63" i="6"/>
  <c r="G63" i="6"/>
  <c r="AH62" i="6"/>
  <c r="AC62" i="6"/>
  <c r="K62" i="6"/>
  <c r="G62" i="6"/>
  <c r="AH61" i="6"/>
  <c r="AC61" i="6"/>
  <c r="K61" i="6"/>
  <c r="G61" i="6"/>
  <c r="AH60" i="6"/>
  <c r="AC60" i="6"/>
  <c r="K60" i="6"/>
  <c r="G60" i="6"/>
  <c r="AH59" i="6"/>
  <c r="AC59" i="6"/>
  <c r="K59" i="6"/>
  <c r="G59" i="6"/>
  <c r="AH58" i="6"/>
  <c r="AC58" i="6"/>
  <c r="K58" i="6"/>
  <c r="G58" i="6"/>
  <c r="AH57" i="6"/>
  <c r="AC57" i="6"/>
  <c r="K57" i="6"/>
  <c r="G57" i="6"/>
  <c r="AH56" i="6"/>
  <c r="AC56" i="6"/>
  <c r="K56" i="6"/>
  <c r="G56" i="6"/>
  <c r="AH55" i="6"/>
  <c r="AC55" i="6"/>
  <c r="K55" i="6"/>
  <c r="G55" i="6"/>
  <c r="AH54" i="6"/>
  <c r="AC54" i="6"/>
  <c r="K54" i="6"/>
  <c r="G54" i="6"/>
  <c r="AH53" i="6"/>
  <c r="AC53" i="6"/>
  <c r="K53" i="6"/>
  <c r="G53" i="6"/>
  <c r="AH52" i="6"/>
  <c r="AC52" i="6"/>
  <c r="K52" i="6"/>
  <c r="G52" i="6"/>
  <c r="AH51" i="6"/>
  <c r="AC51" i="6"/>
  <c r="K51" i="6"/>
  <c r="G51" i="6"/>
  <c r="AH50" i="6"/>
  <c r="AC50" i="6"/>
  <c r="K50" i="6"/>
  <c r="G50" i="6"/>
  <c r="AH49" i="6"/>
  <c r="AC49" i="6"/>
  <c r="K49" i="6"/>
  <c r="G49" i="6"/>
  <c r="AH48" i="6"/>
  <c r="AC48" i="6"/>
  <c r="K48" i="6"/>
  <c r="G48" i="6"/>
  <c r="AH47" i="6"/>
  <c r="AC47" i="6"/>
  <c r="K47" i="6"/>
  <c r="G47" i="6"/>
  <c r="AH46" i="6"/>
  <c r="Q4" i="6" s="1"/>
  <c r="AC46" i="6"/>
  <c r="K46" i="6"/>
  <c r="G46" i="6"/>
  <c r="AH45" i="6"/>
  <c r="AC45" i="6"/>
  <c r="K45" i="6"/>
  <c r="G45" i="6"/>
  <c r="AH44" i="6"/>
  <c r="AC44" i="6"/>
  <c r="K44" i="6"/>
  <c r="G44" i="6"/>
  <c r="AH43" i="6"/>
  <c r="AC43" i="6"/>
  <c r="K43" i="6"/>
  <c r="G43" i="6"/>
  <c r="AH42" i="6"/>
  <c r="AC42" i="6"/>
  <c r="K42" i="6"/>
  <c r="G42" i="6"/>
  <c r="AH41" i="6"/>
  <c r="AC41" i="6"/>
  <c r="K41" i="6"/>
  <c r="G41" i="6"/>
  <c r="AH40" i="6"/>
  <c r="AC40" i="6"/>
  <c r="K40" i="6"/>
  <c r="G40" i="6"/>
  <c r="AH39" i="6"/>
  <c r="AC39" i="6"/>
  <c r="K39" i="6"/>
  <c r="G39" i="6"/>
  <c r="AH38" i="6"/>
  <c r="AC38" i="6"/>
  <c r="K38" i="6"/>
  <c r="G38" i="6"/>
  <c r="AH37" i="6"/>
  <c r="AC37" i="6"/>
  <c r="K37" i="6"/>
  <c r="G37" i="6"/>
  <c r="AH36" i="6"/>
  <c r="AC36" i="6"/>
  <c r="K36" i="6"/>
  <c r="G36" i="6"/>
  <c r="AH35" i="6"/>
  <c r="AC35" i="6"/>
  <c r="K35" i="6"/>
  <c r="G35" i="6"/>
  <c r="AH34" i="6"/>
  <c r="AC34" i="6"/>
  <c r="K34" i="6"/>
  <c r="G34" i="6"/>
  <c r="AH33" i="6"/>
  <c r="AC33" i="6"/>
  <c r="K33" i="6"/>
  <c r="G33" i="6"/>
  <c r="AH32" i="6"/>
  <c r="AC32" i="6"/>
  <c r="K32" i="6"/>
  <c r="G32" i="6"/>
  <c r="AH31" i="6"/>
  <c r="AC31" i="6"/>
  <c r="K31" i="6"/>
  <c r="G31" i="6"/>
  <c r="AH30" i="6"/>
  <c r="AC30" i="6"/>
  <c r="K30" i="6"/>
  <c r="G30" i="6"/>
  <c r="AH29" i="6"/>
  <c r="AC29" i="6"/>
  <c r="K29" i="6"/>
  <c r="G29" i="6"/>
  <c r="AH28" i="6"/>
  <c r="AC28" i="6"/>
  <c r="K28" i="6"/>
  <c r="G28" i="6"/>
  <c r="AH27" i="6"/>
  <c r="AC27" i="6"/>
  <c r="K27" i="6"/>
  <c r="G27" i="6"/>
  <c r="AH26" i="6"/>
  <c r="AC26" i="6"/>
  <c r="K26" i="6"/>
  <c r="G26" i="6"/>
  <c r="AH25" i="6"/>
  <c r="AC25" i="6"/>
  <c r="K25" i="6"/>
  <c r="G25" i="6"/>
  <c r="AH24" i="6"/>
  <c r="AC24" i="6"/>
  <c r="K24" i="6"/>
  <c r="G24" i="6"/>
  <c r="AH23" i="6"/>
  <c r="AC23" i="6"/>
  <c r="K23" i="6"/>
  <c r="G23" i="6"/>
  <c r="AH22" i="6"/>
  <c r="AC22" i="6"/>
  <c r="K22" i="6"/>
  <c r="G22" i="6"/>
  <c r="AH21" i="6"/>
  <c r="AC21" i="6"/>
  <c r="K21" i="6"/>
  <c r="G21" i="6"/>
  <c r="AH20" i="6"/>
  <c r="AC20" i="6"/>
  <c r="K20" i="6"/>
  <c r="G20" i="6"/>
  <c r="AH19" i="6"/>
  <c r="AC19" i="6"/>
  <c r="K19" i="6"/>
  <c r="G19" i="6"/>
  <c r="AH18" i="6"/>
  <c r="AC18" i="6"/>
  <c r="K18" i="6"/>
  <c r="G18" i="6"/>
  <c r="AH17" i="6"/>
  <c r="AC17" i="6"/>
  <c r="K17" i="6"/>
  <c r="G17" i="6"/>
  <c r="AH16" i="6"/>
  <c r="AC16" i="6"/>
  <c r="K16" i="6"/>
  <c r="G16" i="6"/>
  <c r="AH15" i="6"/>
  <c r="AC15" i="6"/>
  <c r="K15" i="6"/>
  <c r="G15" i="6"/>
  <c r="AH14" i="6"/>
  <c r="AC14" i="6"/>
  <c r="K14" i="6"/>
  <c r="G14" i="6"/>
  <c r="AH13" i="6"/>
  <c r="AC13" i="6"/>
  <c r="K13" i="6"/>
  <c r="G13" i="6"/>
  <c r="AH12" i="6"/>
  <c r="AC12" i="6"/>
  <c r="K12" i="6"/>
  <c r="G12" i="6"/>
  <c r="AH11" i="6"/>
  <c r="AC11" i="6"/>
  <c r="K11" i="6"/>
  <c r="G11" i="6"/>
  <c r="AH10" i="6"/>
  <c r="AC10" i="6"/>
  <c r="K10" i="6"/>
  <c r="G10" i="6"/>
  <c r="AH9" i="6"/>
  <c r="AC9" i="6"/>
  <c r="K9" i="6"/>
  <c r="G9" i="6"/>
  <c r="AH8" i="6"/>
  <c r="AC8" i="6"/>
  <c r="K8" i="6"/>
  <c r="G8" i="6"/>
  <c r="AH7" i="6"/>
  <c r="AC7" i="6"/>
  <c r="K7" i="6"/>
  <c r="G7" i="6"/>
  <c r="AH6" i="6"/>
  <c r="AC6" i="6"/>
  <c r="T6" i="6"/>
  <c r="K6" i="6"/>
  <c r="G6" i="6"/>
  <c r="AH5" i="6"/>
  <c r="AC5" i="6"/>
  <c r="U5" i="6"/>
  <c r="S5" i="6"/>
  <c r="K5" i="6"/>
  <c r="G5" i="6"/>
  <c r="AH4" i="6"/>
  <c r="AC4" i="6"/>
  <c r="U4" i="6"/>
  <c r="S4" i="6"/>
  <c r="K4" i="6"/>
  <c r="G4" i="6"/>
  <c r="AH3" i="6"/>
  <c r="Q3" i="6" s="1"/>
  <c r="AC3" i="6"/>
  <c r="U3" i="6"/>
  <c r="U6" i="6" s="1"/>
  <c r="S3" i="6"/>
  <c r="K3" i="6"/>
  <c r="G3" i="6"/>
  <c r="AO180" i="5"/>
  <c r="AO179" i="5"/>
  <c r="AO178" i="5"/>
  <c r="AO177" i="5"/>
  <c r="AO176" i="5"/>
  <c r="AO175" i="5"/>
  <c r="AO174" i="5"/>
  <c r="AO173" i="5"/>
  <c r="AO172" i="5"/>
  <c r="AO171" i="5"/>
  <c r="AO170" i="5"/>
  <c r="AO169" i="5"/>
  <c r="AO168" i="5"/>
  <c r="AO167" i="5"/>
  <c r="AO166" i="5"/>
  <c r="AO165" i="5"/>
  <c r="AO164" i="5"/>
  <c r="AO163" i="5"/>
  <c r="AO162" i="5"/>
  <c r="AO161" i="5"/>
  <c r="I161" i="5"/>
  <c r="AO160" i="5"/>
  <c r="G160" i="5"/>
  <c r="C160" i="5"/>
  <c r="AO159" i="5"/>
  <c r="G159" i="5"/>
  <c r="C159" i="5"/>
  <c r="AO158" i="5"/>
  <c r="G158" i="5"/>
  <c r="C158" i="5"/>
  <c r="AO157" i="5"/>
  <c r="G157" i="5"/>
  <c r="C157" i="5"/>
  <c r="AO156" i="5"/>
  <c r="G156" i="5"/>
  <c r="C156" i="5"/>
  <c r="AO155" i="5"/>
  <c r="G155" i="5"/>
  <c r="C155" i="5"/>
  <c r="AO154" i="5"/>
  <c r="G154" i="5"/>
  <c r="C154" i="5"/>
  <c r="AO153" i="5"/>
  <c r="G153" i="5"/>
  <c r="C153" i="5"/>
  <c r="AO152" i="5"/>
  <c r="G152" i="5"/>
  <c r="C152" i="5"/>
  <c r="AO151" i="5"/>
  <c r="G151" i="5"/>
  <c r="C151" i="5"/>
  <c r="AO150" i="5"/>
  <c r="G150" i="5"/>
  <c r="C150" i="5"/>
  <c r="AO149" i="5"/>
  <c r="G149" i="5"/>
  <c r="C149" i="5"/>
  <c r="AO148" i="5"/>
  <c r="G148" i="5"/>
  <c r="C148" i="5"/>
  <c r="AO147" i="5"/>
  <c r="G147" i="5"/>
  <c r="C147" i="5"/>
  <c r="AO146" i="5"/>
  <c r="G146" i="5"/>
  <c r="C146" i="5"/>
  <c r="AO145" i="5"/>
  <c r="G145" i="5"/>
  <c r="C145" i="5"/>
  <c r="AO144" i="5"/>
  <c r="G144" i="5"/>
  <c r="C144" i="5"/>
  <c r="AO143" i="5"/>
  <c r="G143" i="5"/>
  <c r="C143" i="5"/>
  <c r="AO142" i="5"/>
  <c r="G142" i="5"/>
  <c r="C142" i="5"/>
  <c r="AO141" i="5"/>
  <c r="G141" i="5"/>
  <c r="C141" i="5"/>
  <c r="AO140" i="5"/>
  <c r="G140" i="5"/>
  <c r="C140" i="5"/>
  <c r="AO139" i="5"/>
  <c r="G139" i="5"/>
  <c r="C139" i="5"/>
  <c r="AO138" i="5"/>
  <c r="G138" i="5"/>
  <c r="C138" i="5"/>
  <c r="AO137" i="5"/>
  <c r="G137" i="5"/>
  <c r="C137" i="5"/>
  <c r="AO136" i="5"/>
  <c r="G136" i="5"/>
  <c r="C136" i="5"/>
  <c r="AO135" i="5"/>
  <c r="G135" i="5"/>
  <c r="C135" i="5"/>
  <c r="AO134" i="5"/>
  <c r="G134" i="5"/>
  <c r="C134" i="5"/>
  <c r="AO133" i="5"/>
  <c r="G133" i="5"/>
  <c r="C133" i="5"/>
  <c r="AO132" i="5"/>
  <c r="G132" i="5"/>
  <c r="C132" i="5"/>
  <c r="AO131" i="5"/>
  <c r="G131" i="5"/>
  <c r="C131" i="5"/>
  <c r="AO130" i="5"/>
  <c r="G130" i="5"/>
  <c r="C130" i="5"/>
  <c r="AO129" i="5"/>
  <c r="G129" i="5"/>
  <c r="C129" i="5"/>
  <c r="AO128" i="5"/>
  <c r="G128" i="5"/>
  <c r="C128" i="5"/>
  <c r="AO127" i="5"/>
  <c r="G127" i="5"/>
  <c r="C127" i="5"/>
  <c r="AO126" i="5"/>
  <c r="G126" i="5"/>
  <c r="C126" i="5"/>
  <c r="AO125" i="5"/>
  <c r="G125" i="5"/>
  <c r="C125" i="5"/>
  <c r="AO124" i="5"/>
  <c r="G124" i="5"/>
  <c r="C124" i="5"/>
  <c r="AO123" i="5"/>
  <c r="G123" i="5"/>
  <c r="C123" i="5"/>
  <c r="AO122" i="5"/>
  <c r="G122" i="5"/>
  <c r="C122" i="5"/>
  <c r="AO121" i="5"/>
  <c r="G121" i="5"/>
  <c r="C121" i="5"/>
  <c r="AO120" i="5"/>
  <c r="G120" i="5"/>
  <c r="C120" i="5"/>
  <c r="AO119" i="5"/>
  <c r="G119" i="5"/>
  <c r="C119" i="5"/>
  <c r="AO118" i="5"/>
  <c r="G118" i="5"/>
  <c r="C118" i="5"/>
  <c r="AO117" i="5"/>
  <c r="G117" i="5"/>
  <c r="C117" i="5"/>
  <c r="AO116" i="5"/>
  <c r="G116" i="5"/>
  <c r="C116" i="5"/>
  <c r="AO115" i="5"/>
  <c r="G115" i="5"/>
  <c r="C115" i="5"/>
  <c r="AO114" i="5"/>
  <c r="G114" i="5"/>
  <c r="C114" i="5"/>
  <c r="AO113" i="5"/>
  <c r="G113" i="5"/>
  <c r="C113" i="5"/>
  <c r="AO112" i="5"/>
  <c r="G112" i="5"/>
  <c r="C112" i="5"/>
  <c r="AO111" i="5"/>
  <c r="G111" i="5"/>
  <c r="C111" i="5"/>
  <c r="AO110" i="5"/>
  <c r="G110" i="5"/>
  <c r="C110" i="5"/>
  <c r="AO109" i="5"/>
  <c r="G109" i="5"/>
  <c r="C109" i="5"/>
  <c r="AO108" i="5"/>
  <c r="G108" i="5"/>
  <c r="C108" i="5"/>
  <c r="AO107" i="5"/>
  <c r="G107" i="5"/>
  <c r="C107" i="5"/>
  <c r="AO106" i="5"/>
  <c r="G106" i="5"/>
  <c r="C106" i="5"/>
  <c r="AO105" i="5"/>
  <c r="G105" i="5"/>
  <c r="C105" i="5"/>
  <c r="AO104" i="5"/>
  <c r="G104" i="5"/>
  <c r="C104" i="5"/>
  <c r="AO103" i="5"/>
  <c r="G103" i="5"/>
  <c r="C103" i="5"/>
  <c r="AO102" i="5"/>
  <c r="G102" i="5"/>
  <c r="C102" i="5"/>
  <c r="AO101" i="5"/>
  <c r="G101" i="5"/>
  <c r="C101" i="5"/>
  <c r="AO100" i="5"/>
  <c r="G100" i="5"/>
  <c r="C100" i="5"/>
  <c r="AO99" i="5"/>
  <c r="G99" i="5"/>
  <c r="C99" i="5"/>
  <c r="AO98" i="5"/>
  <c r="G98" i="5"/>
  <c r="C98" i="5"/>
  <c r="AO97" i="5"/>
  <c r="G97" i="5"/>
  <c r="C97" i="5"/>
  <c r="AO96" i="5"/>
  <c r="G96" i="5"/>
  <c r="C96" i="5"/>
  <c r="AO95" i="5"/>
  <c r="G95" i="5"/>
  <c r="C95" i="5"/>
  <c r="AO94" i="5"/>
  <c r="G94" i="5"/>
  <c r="C94" i="5"/>
  <c r="AO93" i="5"/>
  <c r="G93" i="5"/>
  <c r="C93" i="5"/>
  <c r="AO92" i="5"/>
  <c r="G92" i="5"/>
  <c r="C92" i="5"/>
  <c r="AO91" i="5"/>
  <c r="G91" i="5"/>
  <c r="C91" i="5"/>
  <c r="AO90" i="5"/>
  <c r="G90" i="5"/>
  <c r="C90" i="5"/>
  <c r="AO89" i="5"/>
  <c r="G89" i="5"/>
  <c r="C89" i="5"/>
  <c r="AO88" i="5"/>
  <c r="G88" i="5"/>
  <c r="C88" i="5"/>
  <c r="AO87" i="5"/>
  <c r="G87" i="5"/>
  <c r="C87" i="5"/>
  <c r="AO86" i="5"/>
  <c r="G86" i="5"/>
  <c r="C86" i="5"/>
  <c r="AO85" i="5"/>
  <c r="G85" i="5"/>
  <c r="C85" i="5"/>
  <c r="AO84" i="5"/>
  <c r="G84" i="5"/>
  <c r="C84" i="5"/>
  <c r="AO83" i="5"/>
  <c r="G83" i="5"/>
  <c r="C83" i="5"/>
  <c r="AO82" i="5"/>
  <c r="G82" i="5"/>
  <c r="C82" i="5"/>
  <c r="AO81" i="5"/>
  <c r="G81" i="5"/>
  <c r="C81" i="5"/>
  <c r="AO80" i="5"/>
  <c r="G80" i="5"/>
  <c r="C80" i="5"/>
  <c r="AO79" i="5"/>
  <c r="G79" i="5"/>
  <c r="C79" i="5"/>
  <c r="AO78" i="5"/>
  <c r="G78" i="5"/>
  <c r="C78" i="5"/>
  <c r="AO77" i="5"/>
  <c r="G77" i="5"/>
  <c r="C77" i="5"/>
  <c r="AO76" i="5"/>
  <c r="G76" i="5"/>
  <c r="C76" i="5"/>
  <c r="AO75" i="5"/>
  <c r="G75" i="5"/>
  <c r="C75" i="5"/>
  <c r="AO74" i="5"/>
  <c r="G74" i="5"/>
  <c r="C74" i="5"/>
  <c r="AO73" i="5"/>
  <c r="G73" i="5"/>
  <c r="C73" i="5"/>
  <c r="AO72" i="5"/>
  <c r="G72" i="5"/>
  <c r="C72" i="5"/>
  <c r="AO71" i="5"/>
  <c r="G71" i="5"/>
  <c r="C71" i="5"/>
  <c r="AO70" i="5"/>
  <c r="G70" i="5"/>
  <c r="C70" i="5"/>
  <c r="AO69" i="5"/>
  <c r="G69" i="5"/>
  <c r="C69" i="5"/>
  <c r="AO68" i="5"/>
  <c r="G68" i="5"/>
  <c r="C68" i="5"/>
  <c r="AO67" i="5"/>
  <c r="G67" i="5"/>
  <c r="C67" i="5"/>
  <c r="AO66" i="5"/>
  <c r="G66" i="5"/>
  <c r="C66" i="5"/>
  <c r="AO65" i="5"/>
  <c r="G65" i="5"/>
  <c r="C65" i="5"/>
  <c r="AO64" i="5"/>
  <c r="G64" i="5"/>
  <c r="C64" i="5"/>
  <c r="AO63" i="5"/>
  <c r="G63" i="5"/>
  <c r="C63" i="5"/>
  <c r="AO62" i="5"/>
  <c r="G62" i="5"/>
  <c r="C62" i="5"/>
  <c r="AO61" i="5"/>
  <c r="G61" i="5"/>
  <c r="C61" i="5"/>
  <c r="AO60" i="5"/>
  <c r="G60" i="5"/>
  <c r="C60" i="5"/>
  <c r="AO59" i="5"/>
  <c r="G59" i="5"/>
  <c r="C59" i="5"/>
  <c r="AO58" i="5"/>
  <c r="G58" i="5"/>
  <c r="C58" i="5"/>
  <c r="AO57" i="5"/>
  <c r="G57" i="5"/>
  <c r="C57" i="5"/>
  <c r="AO56" i="5"/>
  <c r="G56" i="5"/>
  <c r="C56" i="5"/>
  <c r="AO55" i="5"/>
  <c r="G55" i="5"/>
  <c r="C55" i="5"/>
  <c r="AO54" i="5"/>
  <c r="G54" i="5"/>
  <c r="C54" i="5"/>
  <c r="AO53" i="5"/>
  <c r="G53" i="5"/>
  <c r="C53" i="5"/>
  <c r="AO52" i="5"/>
  <c r="G52" i="5"/>
  <c r="C52" i="5"/>
  <c r="AO51" i="5"/>
  <c r="G51" i="5"/>
  <c r="C51" i="5"/>
  <c r="AO50" i="5"/>
  <c r="G50" i="5"/>
  <c r="C50" i="5"/>
  <c r="AO49" i="5"/>
  <c r="G49" i="5"/>
  <c r="C49" i="5"/>
  <c r="AO48" i="5"/>
  <c r="G48" i="5"/>
  <c r="C48" i="5"/>
  <c r="AO47" i="5"/>
  <c r="G47" i="5"/>
  <c r="C47" i="5"/>
  <c r="AO46" i="5"/>
  <c r="G46" i="5"/>
  <c r="C46" i="5"/>
  <c r="AO45" i="5"/>
  <c r="G45" i="5"/>
  <c r="C45" i="5"/>
  <c r="AO44" i="5"/>
  <c r="G44" i="5"/>
  <c r="C44" i="5"/>
  <c r="AO43" i="5"/>
  <c r="G43" i="5"/>
  <c r="C43" i="5"/>
  <c r="AO42" i="5"/>
  <c r="G42" i="5"/>
  <c r="C42" i="5"/>
  <c r="AO41" i="5"/>
  <c r="G41" i="5"/>
  <c r="C41" i="5"/>
  <c r="AO40" i="5"/>
  <c r="G40" i="5"/>
  <c r="C40" i="5"/>
  <c r="AO39" i="5"/>
  <c r="G39" i="5"/>
  <c r="C39" i="5"/>
  <c r="AO38" i="5"/>
  <c r="G38" i="5"/>
  <c r="C38" i="5"/>
  <c r="AO37" i="5"/>
  <c r="G37" i="5"/>
  <c r="C37" i="5"/>
  <c r="AO36" i="5"/>
  <c r="G36" i="5"/>
  <c r="C36" i="5"/>
  <c r="AO35" i="5"/>
  <c r="G35" i="5"/>
  <c r="C35" i="5"/>
  <c r="AO34" i="5"/>
  <c r="G34" i="5"/>
  <c r="C34" i="5"/>
  <c r="AO33" i="5"/>
  <c r="G33" i="5"/>
  <c r="C33" i="5"/>
  <c r="AO32" i="5"/>
  <c r="G32" i="5"/>
  <c r="C32" i="5"/>
  <c r="AO31" i="5"/>
  <c r="G31" i="5"/>
  <c r="C31" i="5"/>
  <c r="AO30" i="5"/>
  <c r="G30" i="5"/>
  <c r="C30" i="5"/>
  <c r="AO29" i="5"/>
  <c r="G29" i="5"/>
  <c r="C29" i="5"/>
  <c r="AO28" i="5"/>
  <c r="G28" i="5"/>
  <c r="C28" i="5"/>
  <c r="AO27" i="5"/>
  <c r="G27" i="5"/>
  <c r="C27" i="5"/>
  <c r="AO26" i="5"/>
  <c r="G26" i="5"/>
  <c r="C26" i="5"/>
  <c r="AO25" i="5"/>
  <c r="G25" i="5"/>
  <c r="C25" i="5"/>
  <c r="AO24" i="5"/>
  <c r="G24" i="5"/>
  <c r="C24" i="5"/>
  <c r="AO23" i="5"/>
  <c r="G23" i="5"/>
  <c r="C23" i="5"/>
  <c r="AO22" i="5"/>
  <c r="G22" i="5"/>
  <c r="C22" i="5"/>
  <c r="AO21" i="5"/>
  <c r="G21" i="5"/>
  <c r="C21" i="5"/>
  <c r="AO20" i="5"/>
  <c r="G20" i="5"/>
  <c r="C20" i="5"/>
  <c r="AO19" i="5"/>
  <c r="G19" i="5"/>
  <c r="C19" i="5"/>
  <c r="AO18" i="5"/>
  <c r="G18" i="5"/>
  <c r="C18" i="5"/>
  <c r="AO17" i="5"/>
  <c r="G17" i="5"/>
  <c r="C17" i="5"/>
  <c r="AO16" i="5"/>
  <c r="G16" i="5"/>
  <c r="C16" i="5"/>
  <c r="AO15" i="5"/>
  <c r="G15" i="5"/>
  <c r="C15" i="5"/>
  <c r="AO14" i="5"/>
  <c r="G14" i="5"/>
  <c r="C14" i="5"/>
  <c r="AO13" i="5"/>
  <c r="G13" i="5"/>
  <c r="C13" i="5"/>
  <c r="AO12" i="5"/>
  <c r="G12" i="5"/>
  <c r="C12" i="5"/>
  <c r="AO11" i="5"/>
  <c r="G11" i="5"/>
  <c r="C11" i="5"/>
  <c r="AO10" i="5"/>
  <c r="G10" i="5"/>
  <c r="C10" i="5"/>
  <c r="AO9" i="5"/>
  <c r="G9" i="5"/>
  <c r="C9" i="5"/>
  <c r="AO8" i="5"/>
  <c r="G8" i="5"/>
  <c r="C8" i="5"/>
  <c r="AO7" i="5"/>
  <c r="G7" i="5"/>
  <c r="C7" i="5"/>
  <c r="AO6" i="5"/>
  <c r="G6" i="5"/>
  <c r="C6" i="5"/>
  <c r="AO5" i="5"/>
  <c r="U5" i="5"/>
  <c r="R5" i="5"/>
  <c r="N5" i="5"/>
  <c r="M5" i="5"/>
  <c r="G5" i="5"/>
  <c r="C5" i="5"/>
  <c r="AO4" i="5"/>
  <c r="R4" i="5"/>
  <c r="U4" i="5" s="1"/>
  <c r="N4" i="5"/>
  <c r="M4" i="5"/>
  <c r="G4" i="5"/>
  <c r="C4" i="5"/>
  <c r="AO3" i="5"/>
  <c r="R3" i="5"/>
  <c r="U3" i="5" s="1"/>
  <c r="N3" i="5"/>
  <c r="M3" i="5"/>
  <c r="G3" i="5"/>
  <c r="C3" i="5"/>
  <c r="N183" i="4"/>
  <c r="E4" i="4" s="1"/>
  <c r="B162" i="4"/>
  <c r="N85" i="4"/>
  <c r="B75" i="4"/>
  <c r="E3" i="4"/>
  <c r="L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50" i="3" s="1"/>
  <c r="Q6" i="6" l="1"/>
  <c r="P3" i="6"/>
  <c r="E5" i="4"/>
  <c r="F4" i="4" s="1"/>
  <c r="P4" i="6"/>
  <c r="P5" i="6"/>
  <c r="G4" i="7"/>
  <c r="G3" i="7"/>
  <c r="G2" i="7"/>
  <c r="G6" i="7" s="1"/>
  <c r="F3" i="4"/>
  <c r="M6" i="5"/>
  <c r="O3" i="5" s="1"/>
  <c r="AL180" i="8"/>
  <c r="AJ179" i="8"/>
  <c r="AN177" i="8"/>
  <c r="AL176" i="8"/>
  <c r="AJ175" i="8"/>
  <c r="AN179" i="8"/>
  <c r="AL178" i="8"/>
  <c r="AJ177" i="8"/>
  <c r="AN175" i="8"/>
  <c r="AL174" i="8"/>
  <c r="N6" i="5"/>
  <c r="P3" i="5" s="1"/>
  <c r="AN132" i="8"/>
  <c r="AJ134" i="8"/>
  <c r="AL135" i="8"/>
  <c r="AN136" i="8"/>
  <c r="AJ138" i="8"/>
  <c r="AL139" i="8"/>
  <c r="AN140" i="8"/>
  <c r="AJ142" i="8"/>
  <c r="AL143" i="8"/>
  <c r="AN144" i="8"/>
  <c r="AJ146" i="8"/>
  <c r="AL147" i="8"/>
  <c r="AN148" i="8"/>
  <c r="AJ150" i="8"/>
  <c r="AL151" i="8"/>
  <c r="AN152" i="8"/>
  <c r="AJ154" i="8"/>
  <c r="AL155" i="8"/>
  <c r="AN156" i="8"/>
  <c r="AJ158" i="8"/>
  <c r="AL159" i="8"/>
  <c r="AN160" i="8"/>
  <c r="AJ162" i="8"/>
  <c r="AL163" i="8"/>
  <c r="AN164" i="8"/>
  <c r="AJ166" i="8"/>
  <c r="AL167" i="8"/>
  <c r="AN168" i="8"/>
  <c r="AJ170" i="8"/>
  <c r="AL171" i="8"/>
  <c r="AN172" i="8"/>
  <c r="AJ174" i="8"/>
  <c r="AI176" i="8"/>
  <c r="AM177" i="8"/>
  <c r="AL179" i="8"/>
  <c r="S19" i="9"/>
  <c r="Q21" i="9"/>
  <c r="U25" i="9"/>
  <c r="S27" i="9"/>
  <c r="Q29" i="9"/>
  <c r="T40" i="9"/>
  <c r="AI133" i="8"/>
  <c r="AK134" i="8"/>
  <c r="AM135" i="8"/>
  <c r="AI137" i="8"/>
  <c r="AK138" i="8"/>
  <c r="AM139" i="8"/>
  <c r="AI141" i="8"/>
  <c r="AK142" i="8"/>
  <c r="AM143" i="8"/>
  <c r="AI145" i="8"/>
  <c r="AK146" i="8"/>
  <c r="AM147" i="8"/>
  <c r="AI149" i="8"/>
  <c r="AK150" i="8"/>
  <c r="AM151" i="8"/>
  <c r="AI153" i="8"/>
  <c r="AK154" i="8"/>
  <c r="AM155" i="8"/>
  <c r="AI157" i="8"/>
  <c r="AK158" i="8"/>
  <c r="AM159" i="8"/>
  <c r="AI161" i="8"/>
  <c r="AK162" i="8"/>
  <c r="AM163" i="8"/>
  <c r="AI165" i="8"/>
  <c r="AK166" i="8"/>
  <c r="AM167" i="8"/>
  <c r="AI169" i="8"/>
  <c r="AK170" i="8"/>
  <c r="AM171" i="8"/>
  <c r="AI173" i="8"/>
  <c r="AK174" i="8"/>
  <c r="AJ176" i="8"/>
  <c r="AI178" i="8"/>
  <c r="AM179" i="8"/>
  <c r="T21" i="9"/>
  <c r="T29" i="9"/>
  <c r="AJ133" i="8"/>
  <c r="AL134" i="8"/>
  <c r="AN135" i="8"/>
  <c r="AJ137" i="8"/>
  <c r="AL138" i="8"/>
  <c r="AN139" i="8"/>
  <c r="AJ141" i="8"/>
  <c r="AJ181" i="8" s="1"/>
  <c r="D3" i="8" s="1"/>
  <c r="AL142" i="8"/>
  <c r="AN143" i="8"/>
  <c r="AJ145" i="8"/>
  <c r="AL146" i="8"/>
  <c r="AN147" i="8"/>
  <c r="AJ149" i="8"/>
  <c r="AL150" i="8"/>
  <c r="AN151" i="8"/>
  <c r="AJ153" i="8"/>
  <c r="AL154" i="8"/>
  <c r="AN155" i="8"/>
  <c r="AJ157" i="8"/>
  <c r="AL158" i="8"/>
  <c r="AN159" i="8"/>
  <c r="AJ161" i="8"/>
  <c r="AL162" i="8"/>
  <c r="AN163" i="8"/>
  <c r="AJ165" i="8"/>
  <c r="AL166" i="8"/>
  <c r="AN167" i="8"/>
  <c r="AJ169" i="8"/>
  <c r="AL170" i="8"/>
  <c r="AN171" i="8"/>
  <c r="AJ173" i="8"/>
  <c r="AM174" i="8"/>
  <c r="AK176" i="8"/>
  <c r="AJ178" i="8"/>
  <c r="AI180" i="8"/>
  <c r="AK133" i="8"/>
  <c r="AK181" i="8" s="1"/>
  <c r="D4" i="8" s="1"/>
  <c r="AM134" i="8"/>
  <c r="AI136" i="8"/>
  <c r="AI181" i="8" s="1"/>
  <c r="AK137" i="8"/>
  <c r="AM138" i="8"/>
  <c r="AI140" i="8"/>
  <c r="AK141" i="8"/>
  <c r="AM142" i="8"/>
  <c r="AI144" i="8"/>
  <c r="AK145" i="8"/>
  <c r="AM146" i="8"/>
  <c r="AI148" i="8"/>
  <c r="AK149" i="8"/>
  <c r="AM150" i="8"/>
  <c r="AI152" i="8"/>
  <c r="AK153" i="8"/>
  <c r="AM154" i="8"/>
  <c r="AI156" i="8"/>
  <c r="AK157" i="8"/>
  <c r="AM158" i="8"/>
  <c r="AI160" i="8"/>
  <c r="AK161" i="8"/>
  <c r="AM162" i="8"/>
  <c r="AI164" i="8"/>
  <c r="AK165" i="8"/>
  <c r="AM166" i="8"/>
  <c r="AI168" i="8"/>
  <c r="AK169" i="8"/>
  <c r="AM170" i="8"/>
  <c r="AI172" i="8"/>
  <c r="AK173" i="8"/>
  <c r="AN174" i="8"/>
  <c r="AM176" i="8"/>
  <c r="AK178" i="8"/>
  <c r="AJ180" i="8"/>
  <c r="R24" i="9"/>
  <c r="P26" i="9"/>
  <c r="S32" i="9"/>
  <c r="Q34" i="9"/>
  <c r="T36" i="9"/>
  <c r="R41" i="9"/>
  <c r="S96" i="9"/>
  <c r="AJ116" i="8"/>
  <c r="AL117" i="8"/>
  <c r="AL181" i="8" s="1"/>
  <c r="D5" i="8" s="1"/>
  <c r="AN118" i="8"/>
  <c r="AN181" i="8" s="1"/>
  <c r="D7" i="8" s="1"/>
  <c r="AJ120" i="8"/>
  <c r="AL121" i="8"/>
  <c r="AN122" i="8"/>
  <c r="AJ124" i="8"/>
  <c r="AL125" i="8"/>
  <c r="AN126" i="8"/>
  <c r="AJ128" i="8"/>
  <c r="AL129" i="8"/>
  <c r="AN130" i="8"/>
  <c r="AJ132" i="8"/>
  <c r="AL133" i="8"/>
  <c r="AN134" i="8"/>
  <c r="AJ136" i="8"/>
  <c r="AL137" i="8"/>
  <c r="AN138" i="8"/>
  <c r="AJ140" i="8"/>
  <c r="AL141" i="8"/>
  <c r="AN142" i="8"/>
  <c r="AJ144" i="8"/>
  <c r="AL145" i="8"/>
  <c r="AN146" i="8"/>
  <c r="AJ148" i="8"/>
  <c r="AL149" i="8"/>
  <c r="AN150" i="8"/>
  <c r="AJ152" i="8"/>
  <c r="AL153" i="8"/>
  <c r="AN154" i="8"/>
  <c r="AJ156" i="8"/>
  <c r="AL157" i="8"/>
  <c r="AN158" i="8"/>
  <c r="AJ160" i="8"/>
  <c r="AL161" i="8"/>
  <c r="AN162" i="8"/>
  <c r="AJ164" i="8"/>
  <c r="AL165" i="8"/>
  <c r="AN166" i="8"/>
  <c r="AJ168" i="8"/>
  <c r="AL169" i="8"/>
  <c r="AN170" i="8"/>
  <c r="AJ172" i="8"/>
  <c r="AL173" i="8"/>
  <c r="AI175" i="8"/>
  <c r="AN176" i="8"/>
  <c r="AM178" i="8"/>
  <c r="AK180" i="8"/>
  <c r="U8" i="9"/>
  <c r="U42" i="9" s="1"/>
  <c r="R15" i="9"/>
  <c r="S18" i="9"/>
  <c r="Q20" i="9"/>
  <c r="T22" i="9"/>
  <c r="U24" i="9"/>
  <c r="S26" i="9"/>
  <c r="Q28" i="9"/>
  <c r="T30" i="9"/>
  <c r="T34" i="9"/>
  <c r="R96" i="9"/>
  <c r="AM133" i="8"/>
  <c r="AM181" i="8" s="1"/>
  <c r="D6" i="8" s="1"/>
  <c r="AI135" i="8"/>
  <c r="AK136" i="8"/>
  <c r="AM137" i="8"/>
  <c r="AI139" i="8"/>
  <c r="AK140" i="8"/>
  <c r="AM141" i="8"/>
  <c r="AI143" i="8"/>
  <c r="AK144" i="8"/>
  <c r="AM145" i="8"/>
  <c r="AI147" i="8"/>
  <c r="AK148" i="8"/>
  <c r="AM149" i="8"/>
  <c r="AI151" i="8"/>
  <c r="AK152" i="8"/>
  <c r="AM153" i="8"/>
  <c r="AI155" i="8"/>
  <c r="AK156" i="8"/>
  <c r="AM157" i="8"/>
  <c r="AI159" i="8"/>
  <c r="AK160" i="8"/>
  <c r="AM161" i="8"/>
  <c r="AI163" i="8"/>
  <c r="AK164" i="8"/>
  <c r="AM165" i="8"/>
  <c r="AI167" i="8"/>
  <c r="AK168" i="8"/>
  <c r="AM169" i="8"/>
  <c r="AI171" i="8"/>
  <c r="AK172" i="8"/>
  <c r="AM173" i="8"/>
  <c r="AK175" i="8"/>
  <c r="AI177" i="8"/>
  <c r="AN178" i="8"/>
  <c r="AM180" i="8"/>
  <c r="C202" i="9"/>
  <c r="P62" i="9"/>
  <c r="Q41" i="9"/>
  <c r="S39" i="9"/>
  <c r="P38" i="9"/>
  <c r="U37" i="9"/>
  <c r="R36" i="9"/>
  <c r="U41" i="9"/>
  <c r="R40" i="9"/>
  <c r="T38" i="9"/>
  <c r="Q37" i="9"/>
  <c r="P61" i="9"/>
  <c r="Q39" i="9"/>
  <c r="U38" i="9"/>
  <c r="S35" i="9"/>
  <c r="P34" i="9"/>
  <c r="U33" i="9"/>
  <c r="R32" i="9"/>
  <c r="S30" i="9"/>
  <c r="P29" i="9"/>
  <c r="U28" i="9"/>
  <c r="R27" i="9"/>
  <c r="T25" i="9"/>
  <c r="Q24" i="9"/>
  <c r="S22" i="9"/>
  <c r="P21" i="9"/>
  <c r="U20" i="9"/>
  <c r="R19" i="9"/>
  <c r="T17" i="9"/>
  <c r="Q16" i="9"/>
  <c r="S14" i="9"/>
  <c r="P13" i="9"/>
  <c r="U12" i="9"/>
  <c r="R11" i="9"/>
  <c r="T9" i="9"/>
  <c r="P39" i="9"/>
  <c r="S38" i="9"/>
  <c r="R35" i="9"/>
  <c r="T33" i="9"/>
  <c r="Q32" i="9"/>
  <c r="R30" i="9"/>
  <c r="T28" i="9"/>
  <c r="Q27" i="9"/>
  <c r="S25" i="9"/>
  <c r="P24" i="9"/>
  <c r="U23" i="9"/>
  <c r="R22" i="9"/>
  <c r="T20" i="9"/>
  <c r="Q19" i="9"/>
  <c r="S17" i="9"/>
  <c r="P16" i="9"/>
  <c r="U15" i="9"/>
  <c r="R14" i="9"/>
  <c r="T12" i="9"/>
  <c r="Q11" i="9"/>
  <c r="S9" i="9"/>
  <c r="P60" i="9"/>
  <c r="T41" i="9"/>
  <c r="R38" i="9"/>
  <c r="T37" i="9"/>
  <c r="Q35" i="9"/>
  <c r="S33" i="9"/>
  <c r="P32" i="9"/>
  <c r="U31" i="9"/>
  <c r="Q30" i="9"/>
  <c r="S28" i="9"/>
  <c r="P27" i="9"/>
  <c r="U26" i="9"/>
  <c r="R25" i="9"/>
  <c r="T23" i="9"/>
  <c r="Q22" i="9"/>
  <c r="S20" i="9"/>
  <c r="P19" i="9"/>
  <c r="U18" i="9"/>
  <c r="R17" i="9"/>
  <c r="T15" i="9"/>
  <c r="Q14" i="9"/>
  <c r="S12" i="9"/>
  <c r="P11" i="9"/>
  <c r="U10" i="9"/>
  <c r="R9" i="9"/>
  <c r="R42" i="9" s="1"/>
  <c r="T7" i="9"/>
  <c r="S41" i="9"/>
  <c r="U40" i="9"/>
  <c r="Q38" i="9"/>
  <c r="S37" i="9"/>
  <c r="U36" i="9"/>
  <c r="P35" i="9"/>
  <c r="U34" i="9"/>
  <c r="R33" i="9"/>
  <c r="T31" i="9"/>
  <c r="P30" i="9"/>
  <c r="U29" i="9"/>
  <c r="R28" i="9"/>
  <c r="T26" i="9"/>
  <c r="Q25" i="9"/>
  <c r="S23" i="9"/>
  <c r="P22" i="9"/>
  <c r="U21" i="9"/>
  <c r="R20" i="9"/>
  <c r="T18" i="9"/>
  <c r="Q17" i="9"/>
  <c r="S15" i="9"/>
  <c r="P41" i="9"/>
  <c r="S40" i="9"/>
  <c r="U39" i="9"/>
  <c r="P37" i="9"/>
  <c r="S36" i="9"/>
  <c r="S34" i="9"/>
  <c r="P33" i="9"/>
  <c r="U32" i="9"/>
  <c r="R31" i="9"/>
  <c r="S29" i="9"/>
  <c r="P28" i="9"/>
  <c r="U27" i="9"/>
  <c r="R26" i="9"/>
  <c r="T24" i="9"/>
  <c r="Q23" i="9"/>
  <c r="S21" i="9"/>
  <c r="P20" i="9"/>
  <c r="U19" i="9"/>
  <c r="R18" i="9"/>
  <c r="Q40" i="9"/>
  <c r="T39" i="9"/>
  <c r="Q36" i="9"/>
  <c r="U35" i="9"/>
  <c r="R34" i="9"/>
  <c r="T32" i="9"/>
  <c r="Q31" i="9"/>
  <c r="U30" i="9"/>
  <c r="R29" i="9"/>
  <c r="T27" i="9"/>
  <c r="Q26" i="9"/>
  <c r="S24" i="9"/>
  <c r="P23" i="9"/>
  <c r="U22" i="9"/>
  <c r="R21" i="9"/>
  <c r="T19" i="9"/>
  <c r="Q18" i="9"/>
  <c r="S16" i="9"/>
  <c r="P15" i="9"/>
  <c r="U14" i="9"/>
  <c r="R13" i="9"/>
  <c r="T11" i="9"/>
  <c r="Q10" i="9"/>
  <c r="Q42" i="9" s="1"/>
  <c r="S8" i="9"/>
  <c r="S42" i="9" s="1"/>
  <c r="P7" i="9"/>
  <c r="T63" i="9"/>
  <c r="U164" i="9"/>
  <c r="Q8" i="10"/>
  <c r="P7" i="10" s="1"/>
  <c r="P4" i="10"/>
  <c r="P63" i="9"/>
  <c r="P96" i="9"/>
  <c r="S63" i="9"/>
  <c r="Q96" i="9"/>
  <c r="P6" i="10"/>
  <c r="Q66" i="9"/>
  <c r="Q75" i="9" s="1"/>
  <c r="T67" i="9"/>
  <c r="R69" i="9"/>
  <c r="U70" i="9"/>
  <c r="P71" i="9"/>
  <c r="S72" i="9"/>
  <c r="Q74" i="9"/>
  <c r="S164" i="9"/>
  <c r="R66" i="9"/>
  <c r="U67" i="9"/>
  <c r="P68" i="9"/>
  <c r="S69" i="9"/>
  <c r="Q71" i="9"/>
  <c r="T72" i="9"/>
  <c r="T75" i="9" s="1"/>
  <c r="R74" i="9"/>
  <c r="R65" i="9"/>
  <c r="U66" i="9"/>
  <c r="U75" i="9" s="1"/>
  <c r="P67" i="9"/>
  <c r="P75" i="9" s="1"/>
  <c r="S68" i="9"/>
  <c r="Q70" i="9"/>
  <c r="T71" i="9"/>
  <c r="R73" i="9"/>
  <c r="T164" i="9"/>
  <c r="U4" i="10"/>
  <c r="Q110" i="9"/>
  <c r="Q137" i="9" s="1"/>
  <c r="T111" i="9"/>
  <c r="T137" i="9" s="1"/>
  <c r="R113" i="9"/>
  <c r="R137" i="9" s="1"/>
  <c r="U114" i="9"/>
  <c r="P115" i="9"/>
  <c r="S116" i="9"/>
  <c r="S137" i="9" s="1"/>
  <c r="U123" i="9"/>
  <c r="S125" i="9"/>
  <c r="T126" i="9"/>
  <c r="R127" i="9"/>
  <c r="R128" i="9"/>
  <c r="P129" i="9"/>
  <c r="Q130" i="9"/>
  <c r="P167" i="9"/>
  <c r="Q169" i="9"/>
  <c r="T170" i="9"/>
  <c r="S171" i="9"/>
  <c r="S173" i="9"/>
  <c r="Q198" i="9"/>
  <c r="S128" i="9"/>
  <c r="T129" i="9"/>
  <c r="R130" i="9"/>
  <c r="R131" i="9"/>
  <c r="P132" i="9"/>
  <c r="P136" i="9"/>
  <c r="U135" i="9"/>
  <c r="R134" i="9"/>
  <c r="T132" i="9"/>
  <c r="Q131" i="9"/>
  <c r="S129" i="9"/>
  <c r="P128" i="9"/>
  <c r="U127" i="9"/>
  <c r="R126" i="9"/>
  <c r="T124" i="9"/>
  <c r="Q123" i="9"/>
  <c r="S121" i="9"/>
  <c r="P120" i="9"/>
  <c r="P137" i="9" s="1"/>
  <c r="U119" i="9"/>
  <c r="R118" i="9"/>
  <c r="T135" i="9"/>
  <c r="Q134" i="9"/>
  <c r="S132" i="9"/>
  <c r="P131" i="9"/>
  <c r="U130" i="9"/>
  <c r="R129" i="9"/>
  <c r="T127" i="9"/>
  <c r="Q126" i="9"/>
  <c r="S124" i="9"/>
  <c r="P123" i="9"/>
  <c r="U122" i="9"/>
  <c r="R121" i="9"/>
  <c r="T119" i="9"/>
  <c r="Q118" i="9"/>
  <c r="S135" i="9"/>
  <c r="P134" i="9"/>
  <c r="U133" i="9"/>
  <c r="R132" i="9"/>
  <c r="T130" i="9"/>
  <c r="Q129" i="9"/>
  <c r="S127" i="9"/>
  <c r="P126" i="9"/>
  <c r="U125" i="9"/>
  <c r="R124" i="9"/>
  <c r="T122" i="9"/>
  <c r="Q121" i="9"/>
  <c r="S119" i="9"/>
  <c r="P118" i="9"/>
  <c r="U117" i="9"/>
  <c r="U137" i="9" s="1"/>
  <c r="S177" i="9"/>
  <c r="P176" i="9"/>
  <c r="U175" i="9"/>
  <c r="R174" i="9"/>
  <c r="T172" i="9"/>
  <c r="Q171" i="9"/>
  <c r="S169" i="9"/>
  <c r="P168" i="9"/>
  <c r="U167" i="9"/>
  <c r="U179" i="9" s="1"/>
  <c r="R166" i="9"/>
  <c r="R177" i="9"/>
  <c r="Q175" i="9"/>
  <c r="U174" i="9"/>
  <c r="P173" i="9"/>
  <c r="U172" i="9"/>
  <c r="S170" i="9"/>
  <c r="R168" i="9"/>
  <c r="P166" i="9"/>
  <c r="P179" i="9" s="1"/>
  <c r="Q177" i="9"/>
  <c r="U176" i="9"/>
  <c r="P175" i="9"/>
  <c r="T174" i="9"/>
  <c r="S172" i="9"/>
  <c r="R170" i="9"/>
  <c r="Q168" i="9"/>
  <c r="Q179" i="9" s="1"/>
  <c r="T167" i="9"/>
  <c r="T179" i="9" s="1"/>
  <c r="U178" i="9"/>
  <c r="P177" i="9"/>
  <c r="T176" i="9"/>
  <c r="S174" i="9"/>
  <c r="R172" i="9"/>
  <c r="Q170" i="9"/>
  <c r="U169" i="9"/>
  <c r="S167" i="9"/>
  <c r="S179" i="9" s="1"/>
  <c r="U200" i="9"/>
  <c r="R199" i="9"/>
  <c r="T197" i="9"/>
  <c r="Q196" i="9"/>
  <c r="S200" i="9"/>
  <c r="S201" i="9" s="1"/>
  <c r="P199" i="9"/>
  <c r="U198" i="9"/>
  <c r="U201" i="9" s="1"/>
  <c r="R197" i="9"/>
  <c r="P200" i="9"/>
  <c r="U199" i="9"/>
  <c r="R198" i="9"/>
  <c r="T196" i="9"/>
  <c r="P197" i="9"/>
  <c r="R196" i="9"/>
  <c r="P196" i="9"/>
  <c r="T200" i="9"/>
  <c r="T199" i="9"/>
  <c r="T198" i="9"/>
  <c r="U7" i="10"/>
  <c r="U5" i="11"/>
  <c r="P3" i="11"/>
  <c r="P5" i="11"/>
  <c r="Q163" i="9"/>
  <c r="Q164" i="9" s="1"/>
  <c r="S161" i="9"/>
  <c r="P160" i="9"/>
  <c r="P164" i="9" s="1"/>
  <c r="U159" i="9"/>
  <c r="R158" i="9"/>
  <c r="R164" i="9" s="1"/>
  <c r="U6" i="10"/>
  <c r="K162" i="13"/>
  <c r="T163" i="9"/>
  <c r="Q194" i="9"/>
  <c r="P193" i="9"/>
  <c r="U192" i="9"/>
  <c r="R191" i="9"/>
  <c r="S192" i="9"/>
  <c r="P191" i="9"/>
  <c r="S193" i="9"/>
  <c r="P192" i="9"/>
  <c r="U191" i="9"/>
  <c r="R190" i="9"/>
  <c r="T188" i="9"/>
  <c r="T194" i="9" s="1"/>
  <c r="Q187" i="9"/>
  <c r="S185" i="9"/>
  <c r="S194" i="9" s="1"/>
  <c r="P184" i="9"/>
  <c r="P194" i="9" s="1"/>
  <c r="U183" i="9"/>
  <c r="R182" i="9"/>
  <c r="P5" i="10"/>
  <c r="U163" i="9"/>
  <c r="U5" i="10"/>
  <c r="V6" i="11"/>
  <c r="U4" i="11" s="1"/>
  <c r="U3" i="14"/>
  <c r="U5" i="14"/>
  <c r="P4" i="11"/>
  <c r="W137" i="9" l="1"/>
  <c r="V137" i="9"/>
  <c r="V3" i="5"/>
  <c r="W194" i="9"/>
  <c r="W75" i="9"/>
  <c r="V75" i="9"/>
  <c r="S3" i="5"/>
  <c r="V164" i="9"/>
  <c r="W164" i="9"/>
  <c r="AO181" i="8"/>
  <c r="D2" i="8"/>
  <c r="D8" i="8" s="1"/>
  <c r="W179" i="9"/>
  <c r="R179" i="9"/>
  <c r="V179" i="9" s="1"/>
  <c r="F5" i="4"/>
  <c r="P201" i="9"/>
  <c r="R194" i="9"/>
  <c r="V194" i="9" s="1"/>
  <c r="R201" i="9"/>
  <c r="U8" i="10"/>
  <c r="S75" i="9"/>
  <c r="W63" i="9"/>
  <c r="V63" i="9"/>
  <c r="P42" i="9"/>
  <c r="P4" i="5"/>
  <c r="V4" i="5" s="1"/>
  <c r="P5" i="5"/>
  <c r="V5" i="5" s="1"/>
  <c r="P6" i="11"/>
  <c r="P8" i="10"/>
  <c r="T42" i="9"/>
  <c r="O4" i="5"/>
  <c r="S4" i="5" s="1"/>
  <c r="O5" i="5"/>
  <c r="S5" i="5" s="1"/>
  <c r="T201" i="9"/>
  <c r="Q201" i="9"/>
  <c r="AB199" i="9"/>
  <c r="Y198" i="9"/>
  <c r="AA196" i="9"/>
  <c r="Z193" i="9"/>
  <c r="AB191" i="9"/>
  <c r="Y190" i="9"/>
  <c r="AC200" i="9"/>
  <c r="Z199" i="9"/>
  <c r="AB197" i="9"/>
  <c r="Y196" i="9"/>
  <c r="X193" i="9"/>
  <c r="AC192" i="9"/>
  <c r="Z191" i="9"/>
  <c r="Z200" i="9"/>
  <c r="AB198" i="9"/>
  <c r="Y197" i="9"/>
  <c r="AC193" i="9"/>
  <c r="Z192" i="9"/>
  <c r="AB190" i="9"/>
  <c r="Y189" i="9"/>
  <c r="AA187" i="9"/>
  <c r="X186" i="9"/>
  <c r="AC185" i="9"/>
  <c r="Z184" i="9"/>
  <c r="AB182" i="9"/>
  <c r="Y181" i="9"/>
  <c r="X178" i="9"/>
  <c r="AC177" i="9"/>
  <c r="Z176" i="9"/>
  <c r="AB174" i="9"/>
  <c r="Y173" i="9"/>
  <c r="AA171" i="9"/>
  <c r="X170" i="9"/>
  <c r="AC169" i="9"/>
  <c r="Z168" i="9"/>
  <c r="AB166" i="9"/>
  <c r="AA163" i="9"/>
  <c r="X162" i="9"/>
  <c r="AC161" i="9"/>
  <c r="Z160" i="9"/>
  <c r="AB158" i="9"/>
  <c r="Y157" i="9"/>
  <c r="AB200" i="9"/>
  <c r="AC199" i="9"/>
  <c r="AC198" i="9"/>
  <c r="X189" i="9"/>
  <c r="AC188" i="9"/>
  <c r="X187" i="9"/>
  <c r="AB186" i="9"/>
  <c r="AA184" i="9"/>
  <c r="Y182" i="9"/>
  <c r="AC181" i="9"/>
  <c r="Z178" i="9"/>
  <c r="X176" i="9"/>
  <c r="AB175" i="9"/>
  <c r="AA173" i="9"/>
  <c r="Z171" i="9"/>
  <c r="Y169" i="9"/>
  <c r="AC168" i="9"/>
  <c r="X167" i="9"/>
  <c r="AA166" i="9"/>
  <c r="AA162" i="9"/>
  <c r="Y160" i="9"/>
  <c r="AC159" i="9"/>
  <c r="X158" i="9"/>
  <c r="AB157" i="9"/>
  <c r="X156" i="9"/>
  <c r="AC155" i="9"/>
  <c r="Z154" i="9"/>
  <c r="AB152" i="9"/>
  <c r="Y151" i="9"/>
  <c r="AA149" i="9"/>
  <c r="X148" i="9"/>
  <c r="AC147" i="9"/>
  <c r="Z146" i="9"/>
  <c r="AC143" i="9"/>
  <c r="AB142" i="9"/>
  <c r="AA141" i="9"/>
  <c r="Z140" i="9"/>
  <c r="Y139" i="9"/>
  <c r="Z136" i="9"/>
  <c r="AB134" i="9"/>
  <c r="Y133" i="9"/>
  <c r="AA131" i="9"/>
  <c r="X130" i="9"/>
  <c r="AC129" i="9"/>
  <c r="Z128" i="9"/>
  <c r="AB126" i="9"/>
  <c r="Y125" i="9"/>
  <c r="AA123" i="9"/>
  <c r="X122" i="9"/>
  <c r="AC121" i="9"/>
  <c r="Z120" i="9"/>
  <c r="AB118" i="9"/>
  <c r="Y117" i="9"/>
  <c r="AA200" i="9"/>
  <c r="AA199" i="9"/>
  <c r="AA198" i="9"/>
  <c r="AC197" i="9"/>
  <c r="AB188" i="9"/>
  <c r="AA186" i="9"/>
  <c r="Y184" i="9"/>
  <c r="AC183" i="9"/>
  <c r="X182" i="9"/>
  <c r="AB181" i="9"/>
  <c r="Y178" i="9"/>
  <c r="AB177" i="9"/>
  <c r="AA175" i="9"/>
  <c r="Z173" i="9"/>
  <c r="Y171" i="9"/>
  <c r="AC170" i="9"/>
  <c r="X169" i="9"/>
  <c r="AB168" i="9"/>
  <c r="Z166" i="9"/>
  <c r="Z162" i="9"/>
  <c r="X160" i="9"/>
  <c r="AB159" i="9"/>
  <c r="AA157" i="9"/>
  <c r="AB155" i="9"/>
  <c r="Y154" i="9"/>
  <c r="AA152" i="9"/>
  <c r="X151" i="9"/>
  <c r="AC150" i="9"/>
  <c r="Z149" i="9"/>
  <c r="AB147" i="9"/>
  <c r="Y146" i="9"/>
  <c r="AC144" i="9"/>
  <c r="AB143" i="9"/>
  <c r="AA142" i="9"/>
  <c r="Z141" i="9"/>
  <c r="Y140" i="9"/>
  <c r="X139" i="9"/>
  <c r="Y136" i="9"/>
  <c r="AA134" i="9"/>
  <c r="X133" i="9"/>
  <c r="AC132" i="9"/>
  <c r="Z131" i="9"/>
  <c r="AB129" i="9"/>
  <c r="Y128" i="9"/>
  <c r="AA126" i="9"/>
  <c r="X125" i="9"/>
  <c r="AC124" i="9"/>
  <c r="Z123" i="9"/>
  <c r="AB121" i="9"/>
  <c r="Y120" i="9"/>
  <c r="AA118" i="9"/>
  <c r="X117" i="9"/>
  <c r="Y200" i="9"/>
  <c r="Y199" i="9"/>
  <c r="Z198" i="9"/>
  <c r="AA197" i="9"/>
  <c r="AC196" i="9"/>
  <c r="AB193" i="9"/>
  <c r="AB192" i="9"/>
  <c r="AC191" i="9"/>
  <c r="AC190" i="9"/>
  <c r="AA188" i="9"/>
  <c r="Z186" i="9"/>
  <c r="X184" i="9"/>
  <c r="AB183" i="9"/>
  <c r="AA181" i="9"/>
  <c r="AA177" i="9"/>
  <c r="Z175" i="9"/>
  <c r="X173" i="9"/>
  <c r="AC172" i="9"/>
  <c r="X171" i="9"/>
  <c r="AB170" i="9"/>
  <c r="AA168" i="9"/>
  <c r="Y166" i="9"/>
  <c r="Y162" i="9"/>
  <c r="AB161" i="9"/>
  <c r="AA159" i="9"/>
  <c r="Z157" i="9"/>
  <c r="AA155" i="9"/>
  <c r="X154" i="9"/>
  <c r="AC153" i="9"/>
  <c r="Z152" i="9"/>
  <c r="AB150" i="9"/>
  <c r="Y149" i="9"/>
  <c r="AA147" i="9"/>
  <c r="X146" i="9"/>
  <c r="AC145" i="9"/>
  <c r="AB144" i="9"/>
  <c r="AA143" i="9"/>
  <c r="Z142" i="9"/>
  <c r="Y141" i="9"/>
  <c r="X140" i="9"/>
  <c r="X136" i="9"/>
  <c r="AC135" i="9"/>
  <c r="Z134" i="9"/>
  <c r="AB132" i="9"/>
  <c r="Y131" i="9"/>
  <c r="AA129" i="9"/>
  <c r="X128" i="9"/>
  <c r="AC127" i="9"/>
  <c r="Z126" i="9"/>
  <c r="AB124" i="9"/>
  <c r="Y123" i="9"/>
  <c r="AA121" i="9"/>
  <c r="X120" i="9"/>
  <c r="AC119" i="9"/>
  <c r="Z118" i="9"/>
  <c r="AB116" i="9"/>
  <c r="X197" i="9"/>
  <c r="Z196" i="9"/>
  <c r="Y193" i="9"/>
  <c r="Y192" i="9"/>
  <c r="Y191" i="9"/>
  <c r="Z190" i="9"/>
  <c r="AC189" i="9"/>
  <c r="Y188" i="9"/>
  <c r="X190" i="9"/>
  <c r="AA189" i="9"/>
  <c r="X185" i="9"/>
  <c r="AB184" i="9"/>
  <c r="Z183" i="9"/>
  <c r="AC176" i="9"/>
  <c r="AC175" i="9"/>
  <c r="AA174" i="9"/>
  <c r="AB173" i="9"/>
  <c r="AA172" i="9"/>
  <c r="AB171" i="9"/>
  <c r="Z170" i="9"/>
  <c r="Z169" i="9"/>
  <c r="Y167" i="9"/>
  <c r="X161" i="9"/>
  <c r="AB160" i="9"/>
  <c r="Z159" i="9"/>
  <c r="Y156" i="9"/>
  <c r="Z155" i="9"/>
  <c r="X153" i="9"/>
  <c r="AC152" i="9"/>
  <c r="X150" i="9"/>
  <c r="AC149" i="9"/>
  <c r="X147" i="9"/>
  <c r="AC146" i="9"/>
  <c r="AA144" i="9"/>
  <c r="Z139" i="9"/>
  <c r="Y130" i="9"/>
  <c r="X129" i="9"/>
  <c r="Z127" i="9"/>
  <c r="Y126" i="9"/>
  <c r="AA125" i="9"/>
  <c r="AA124" i="9"/>
  <c r="AC123" i="9"/>
  <c r="AC122" i="9"/>
  <c r="X116" i="9"/>
  <c r="AC115" i="9"/>
  <c r="Z114" i="9"/>
  <c r="AB112" i="9"/>
  <c r="Y111" i="9"/>
  <c r="AA109" i="9"/>
  <c r="X108" i="9"/>
  <c r="AC107" i="9"/>
  <c r="Z106" i="9"/>
  <c r="AB104" i="9"/>
  <c r="Y103" i="9"/>
  <c r="AA101" i="9"/>
  <c r="X100" i="9"/>
  <c r="AC99" i="9"/>
  <c r="Z98" i="9"/>
  <c r="X191" i="9"/>
  <c r="X188" i="9"/>
  <c r="AB187" i="9"/>
  <c r="X183" i="9"/>
  <c r="AA182" i="9"/>
  <c r="Z181" i="9"/>
  <c r="AB178" i="9"/>
  <c r="Z177" i="9"/>
  <c r="AA176" i="9"/>
  <c r="X175" i="9"/>
  <c r="Y174" i="9"/>
  <c r="Y172" i="9"/>
  <c r="X159" i="9"/>
  <c r="AA158" i="9"/>
  <c r="X155" i="9"/>
  <c r="AC154" i="9"/>
  <c r="X152" i="9"/>
  <c r="AC151" i="9"/>
  <c r="X149" i="9"/>
  <c r="AC148" i="9"/>
  <c r="AA146" i="9"/>
  <c r="AB145" i="9"/>
  <c r="Y144" i="9"/>
  <c r="Y142" i="9"/>
  <c r="AB140" i="9"/>
  <c r="AB136" i="9"/>
  <c r="AB135" i="9"/>
  <c r="AC133" i="9"/>
  <c r="X127" i="9"/>
  <c r="Y124" i="9"/>
  <c r="X123" i="9"/>
  <c r="AA122" i="9"/>
  <c r="Z121" i="9"/>
  <c r="AB120" i="9"/>
  <c r="AB119" i="9"/>
  <c r="AC117" i="9"/>
  <c r="AA115" i="9"/>
  <c r="X114" i="9"/>
  <c r="AC113" i="9"/>
  <c r="Z112" i="9"/>
  <c r="AB110" i="9"/>
  <c r="Y109" i="9"/>
  <c r="AA107" i="9"/>
  <c r="X106" i="9"/>
  <c r="AC105" i="9"/>
  <c r="Z104" i="9"/>
  <c r="AB102" i="9"/>
  <c r="Y101" i="9"/>
  <c r="AA99" i="9"/>
  <c r="X98" i="9"/>
  <c r="AB94" i="9"/>
  <c r="Y93" i="9"/>
  <c r="AB196" i="9"/>
  <c r="AA192" i="9"/>
  <c r="Z187" i="9"/>
  <c r="AC186" i="9"/>
  <c r="Z182" i="9"/>
  <c r="X181" i="9"/>
  <c r="AA178" i="9"/>
  <c r="Y177" i="9"/>
  <c r="Y176" i="9"/>
  <c r="X174" i="9"/>
  <c r="X172" i="9"/>
  <c r="AC163" i="9"/>
  <c r="Z158" i="9"/>
  <c r="AC157" i="9"/>
  <c r="AB154" i="9"/>
  <c r="AB151" i="9"/>
  <c r="AB148" i="9"/>
  <c r="AA145" i="9"/>
  <c r="X144" i="9"/>
  <c r="X142" i="9"/>
  <c r="AA140" i="9"/>
  <c r="AA136" i="9"/>
  <c r="AA135" i="9"/>
  <c r="AC134" i="9"/>
  <c r="AB133" i="9"/>
  <c r="X124" i="9"/>
  <c r="Z122" i="9"/>
  <c r="Y121" i="9"/>
  <c r="AA120" i="9"/>
  <c r="AA119" i="9"/>
  <c r="AC118" i="9"/>
  <c r="AB117" i="9"/>
  <c r="Z115" i="9"/>
  <c r="AB113" i="9"/>
  <c r="Y112" i="9"/>
  <c r="AA110" i="9"/>
  <c r="X109" i="9"/>
  <c r="AC108" i="9"/>
  <c r="Z107" i="9"/>
  <c r="AB105" i="9"/>
  <c r="Y104" i="9"/>
  <c r="AA102" i="9"/>
  <c r="X101" i="9"/>
  <c r="AC100" i="9"/>
  <c r="Z99" i="9"/>
  <c r="AA94" i="9"/>
  <c r="X93" i="9"/>
  <c r="AC92" i="9"/>
  <c r="Z91" i="9"/>
  <c r="AB89" i="9"/>
  <c r="Y88" i="9"/>
  <c r="AA86" i="9"/>
  <c r="X85" i="9"/>
  <c r="AC84" i="9"/>
  <c r="Z83" i="9"/>
  <c r="AB81" i="9"/>
  <c r="Y80" i="9"/>
  <c r="AA78" i="9"/>
  <c r="X77" i="9"/>
  <c r="X196" i="9"/>
  <c r="X192" i="9"/>
  <c r="Y187" i="9"/>
  <c r="Y186" i="9"/>
  <c r="AB185" i="9"/>
  <c r="X177" i="9"/>
  <c r="AC167" i="9"/>
  <c r="AB163" i="9"/>
  <c r="AC162" i="9"/>
  <c r="Y158" i="9"/>
  <c r="X157" i="9"/>
  <c r="AC156" i="9"/>
  <c r="AA154" i="9"/>
  <c r="AB153" i="9"/>
  <c r="AA151" i="9"/>
  <c r="AA148" i="9"/>
  <c r="Z197" i="9"/>
  <c r="Z185" i="9"/>
  <c r="AB169" i="9"/>
  <c r="Y168" i="9"/>
  <c r="AA167" i="9"/>
  <c r="X166" i="9"/>
  <c r="Y163" i="9"/>
  <c r="Z161" i="9"/>
  <c r="AA156" i="9"/>
  <c r="Z153" i="9"/>
  <c r="Z150" i="9"/>
  <c r="Y148" i="9"/>
  <c r="Z147" i="9"/>
  <c r="Z174" i="9"/>
  <c r="Z156" i="9"/>
  <c r="Y155" i="9"/>
  <c r="Y153" i="9"/>
  <c r="Y152" i="9"/>
  <c r="Z151" i="9"/>
  <c r="AA150" i="9"/>
  <c r="Y143" i="9"/>
  <c r="AA132" i="9"/>
  <c r="AB131" i="9"/>
  <c r="AA130" i="9"/>
  <c r="AB127" i="9"/>
  <c r="AB123" i="9"/>
  <c r="Z119" i="9"/>
  <c r="X118" i="9"/>
  <c r="Y116" i="9"/>
  <c r="Y115" i="9"/>
  <c r="AC114" i="9"/>
  <c r="AA111" i="9"/>
  <c r="Y108" i="9"/>
  <c r="AB107" i="9"/>
  <c r="X105" i="9"/>
  <c r="AC104" i="9"/>
  <c r="Y102" i="9"/>
  <c r="X99" i="9"/>
  <c r="AC98" i="9"/>
  <c r="Z94" i="9"/>
  <c r="Y92" i="9"/>
  <c r="Z90" i="9"/>
  <c r="AA88" i="9"/>
  <c r="AB86" i="9"/>
  <c r="AA84" i="9"/>
  <c r="AB82" i="9"/>
  <c r="X81" i="9"/>
  <c r="AC80" i="9"/>
  <c r="Y79" i="9"/>
  <c r="Z77" i="9"/>
  <c r="AB73" i="9"/>
  <c r="Y72" i="9"/>
  <c r="AA70" i="9"/>
  <c r="X69" i="9"/>
  <c r="AC68" i="9"/>
  <c r="Z67" i="9"/>
  <c r="AB65" i="9"/>
  <c r="Z62" i="9"/>
  <c r="AB60" i="9"/>
  <c r="Y59" i="9"/>
  <c r="AA57" i="9"/>
  <c r="X56" i="9"/>
  <c r="AC55" i="9"/>
  <c r="Z54" i="9"/>
  <c r="AB52" i="9"/>
  <c r="Y51" i="9"/>
  <c r="AA49" i="9"/>
  <c r="X48" i="9"/>
  <c r="AC47" i="9"/>
  <c r="Z46" i="9"/>
  <c r="AB44" i="9"/>
  <c r="AA41" i="9"/>
  <c r="X40" i="9"/>
  <c r="AC39" i="9"/>
  <c r="Z38" i="9"/>
  <c r="AB36" i="9"/>
  <c r="X198" i="9"/>
  <c r="AA191" i="9"/>
  <c r="AC166" i="9"/>
  <c r="AC158" i="9"/>
  <c r="Y150" i="9"/>
  <c r="AB149" i="9"/>
  <c r="Z148" i="9"/>
  <c r="Y147" i="9"/>
  <c r="AB146" i="9"/>
  <c r="Z145" i="9"/>
  <c r="X143" i="9"/>
  <c r="AC140" i="9"/>
  <c r="AA133" i="9"/>
  <c r="Z132" i="9"/>
  <c r="X131" i="9"/>
  <c r="Z130" i="9"/>
  <c r="AC128" i="9"/>
  <c r="AA127" i="9"/>
  <c r="AC120" i="9"/>
  <c r="Y119" i="9"/>
  <c r="X115" i="9"/>
  <c r="AB114" i="9"/>
  <c r="Z111" i="9"/>
  <c r="AC110" i="9"/>
  <c r="Y107" i="9"/>
  <c r="AA104" i="9"/>
  <c r="X102" i="9"/>
  <c r="AC101" i="9"/>
  <c r="AB98" i="9"/>
  <c r="Y94" i="9"/>
  <c r="X92" i="9"/>
  <c r="AC91" i="9"/>
  <c r="Y90" i="9"/>
  <c r="Z88" i="9"/>
  <c r="Z86" i="9"/>
  <c r="Z84" i="9"/>
  <c r="AA82" i="9"/>
  <c r="AB80" i="9"/>
  <c r="X79" i="9"/>
  <c r="AC78" i="9"/>
  <c r="Y77" i="9"/>
  <c r="AA73" i="9"/>
  <c r="X72" i="9"/>
  <c r="AC71" i="9"/>
  <c r="Z70" i="9"/>
  <c r="AB68" i="9"/>
  <c r="Y67" i="9"/>
  <c r="AA65" i="9"/>
  <c r="AA185" i="9"/>
  <c r="AC184" i="9"/>
  <c r="Y183" i="9"/>
  <c r="Y175" i="9"/>
  <c r="Z172" i="9"/>
  <c r="Y161" i="9"/>
  <c r="AA160" i="9"/>
  <c r="X145" i="9"/>
  <c r="AC142" i="9"/>
  <c r="AC139" i="9"/>
  <c r="Y134" i="9"/>
  <c r="X132" i="9"/>
  <c r="AA128" i="9"/>
  <c r="AC125" i="9"/>
  <c r="Z124" i="9"/>
  <c r="Y114" i="9"/>
  <c r="Z113" i="9"/>
  <c r="Y110" i="9"/>
  <c r="AC109" i="9"/>
  <c r="AB106" i="9"/>
  <c r="AB103" i="9"/>
  <c r="Z101" i="9"/>
  <c r="AB100" i="9"/>
  <c r="Y98" i="9"/>
  <c r="AB95" i="9"/>
  <c r="AB93" i="9"/>
  <c r="AA91" i="9"/>
  <c r="AA89" i="9"/>
  <c r="AB87" i="9"/>
  <c r="X86" i="9"/>
  <c r="AC85" i="9"/>
  <c r="X84" i="9"/>
  <c r="AC83" i="9"/>
  <c r="Y82" i="9"/>
  <c r="Z80" i="9"/>
  <c r="Z78" i="9"/>
  <c r="AB74" i="9"/>
  <c r="Y73" i="9"/>
  <c r="AA71" i="9"/>
  <c r="X70" i="9"/>
  <c r="AC69" i="9"/>
  <c r="Z68" i="9"/>
  <c r="AB66" i="9"/>
  <c r="Y65" i="9"/>
  <c r="AB61" i="9"/>
  <c r="Y60" i="9"/>
  <c r="AA58" i="9"/>
  <c r="X57" i="9"/>
  <c r="AC56" i="9"/>
  <c r="Z55" i="9"/>
  <c r="AB53" i="9"/>
  <c r="Y52" i="9"/>
  <c r="AA50" i="9"/>
  <c r="Y185" i="9"/>
  <c r="AC178" i="9"/>
  <c r="AC173" i="9"/>
  <c r="AB167" i="9"/>
  <c r="Z163" i="9"/>
  <c r="AB139" i="9"/>
  <c r="Z135" i="9"/>
  <c r="X134" i="9"/>
  <c r="AB125" i="9"/>
  <c r="X121" i="9"/>
  <c r="Y113" i="9"/>
  <c r="AC112" i="9"/>
  <c r="X110" i="9"/>
  <c r="AB109" i="9"/>
  <c r="AA106" i="9"/>
  <c r="AA103" i="9"/>
  <c r="AA100" i="9"/>
  <c r="AA95" i="9"/>
  <c r="AA93" i="9"/>
  <c r="Y91" i="9"/>
  <c r="Z89" i="9"/>
  <c r="AA87" i="9"/>
  <c r="AB85" i="9"/>
  <c r="AB83" i="9"/>
  <c r="X82" i="9"/>
  <c r="AC81" i="9"/>
  <c r="X80" i="9"/>
  <c r="AC79" i="9"/>
  <c r="Y78" i="9"/>
  <c r="AA74" i="9"/>
  <c r="X73" i="9"/>
  <c r="AC72" i="9"/>
  <c r="Z71" i="9"/>
  <c r="AB69" i="9"/>
  <c r="Y68" i="9"/>
  <c r="AA66" i="9"/>
  <c r="X65" i="9"/>
  <c r="AA61" i="9"/>
  <c r="X60" i="9"/>
  <c r="AC59" i="9"/>
  <c r="Z58" i="9"/>
  <c r="AB56" i="9"/>
  <c r="Y55" i="9"/>
  <c r="AA53" i="9"/>
  <c r="X52" i="9"/>
  <c r="AC51" i="9"/>
  <c r="Z50" i="9"/>
  <c r="AB48" i="9"/>
  <c r="Y47" i="9"/>
  <c r="AA45" i="9"/>
  <c r="X44" i="9"/>
  <c r="AB40" i="9"/>
  <c r="Y39" i="9"/>
  <c r="AA37" i="9"/>
  <c r="X36" i="9"/>
  <c r="AC35" i="9"/>
  <c r="AB172" i="9"/>
  <c r="Y159" i="9"/>
  <c r="Z105" i="9"/>
  <c r="Z93" i="9"/>
  <c r="AB92" i="9"/>
  <c r="X89" i="9"/>
  <c r="AC88" i="9"/>
  <c r="Y85" i="9"/>
  <c r="AB84" i="9"/>
  <c r="Z79" i="9"/>
  <c r="AB78" i="9"/>
  <c r="AC74" i="9"/>
  <c r="AC73" i="9"/>
  <c r="AB72" i="9"/>
  <c r="AB71" i="9"/>
  <c r="AB70" i="9"/>
  <c r="Z69" i="9"/>
  <c r="X68" i="9"/>
  <c r="AA67" i="9"/>
  <c r="Y66" i="9"/>
  <c r="X62" i="9"/>
  <c r="Z61" i="9"/>
  <c r="AB58" i="9"/>
  <c r="AA55" i="9"/>
  <c r="X53" i="9"/>
  <c r="AC52" i="9"/>
  <c r="X50" i="9"/>
  <c r="AC49" i="9"/>
  <c r="AA47" i="9"/>
  <c r="Z45" i="9"/>
  <c r="Y41" i="9"/>
  <c r="AA40" i="9"/>
  <c r="Y37" i="9"/>
  <c r="AA36" i="9"/>
  <c r="Z34" i="9"/>
  <c r="AB32" i="9"/>
  <c r="Y31" i="9"/>
  <c r="AC30" i="9"/>
  <c r="Z29" i="9"/>
  <c r="AB27" i="9"/>
  <c r="Y26" i="9"/>
  <c r="AA24" i="9"/>
  <c r="X23" i="9"/>
  <c r="AC22" i="9"/>
  <c r="Z21" i="9"/>
  <c r="AB19" i="9"/>
  <c r="Y18" i="9"/>
  <c r="AA16" i="9"/>
  <c r="X15" i="9"/>
  <c r="AC14" i="9"/>
  <c r="Z13" i="9"/>
  <c r="AB11" i="9"/>
  <c r="Y10" i="9"/>
  <c r="Z167" i="9"/>
  <c r="AC160" i="9"/>
  <c r="Z129" i="9"/>
  <c r="AB122" i="9"/>
  <c r="Y105" i="9"/>
  <c r="X104" i="9"/>
  <c r="AC103" i="9"/>
  <c r="AA92" i="9"/>
  <c r="AB88" i="9"/>
  <c r="Y84" i="9"/>
  <c r="AA83" i="9"/>
  <c r="X78" i="9"/>
  <c r="AC77" i="9"/>
  <c r="Z74" i="9"/>
  <c r="Z73" i="9"/>
  <c r="AA72" i="9"/>
  <c r="Y71" i="9"/>
  <c r="Y70" i="9"/>
  <c r="Y69" i="9"/>
  <c r="X67" i="9"/>
  <c r="X66" i="9"/>
  <c r="Y61" i="9"/>
  <c r="Y58" i="9"/>
  <c r="X55" i="9"/>
  <c r="AC54" i="9"/>
  <c r="AA52" i="9"/>
  <c r="AB49" i="9"/>
  <c r="Z47" i="9"/>
  <c r="Y45" i="9"/>
  <c r="X41" i="9"/>
  <c r="Z40" i="9"/>
  <c r="AB39" i="9"/>
  <c r="X37" i="9"/>
  <c r="Z36" i="9"/>
  <c r="AB35" i="9"/>
  <c r="Y34" i="9"/>
  <c r="AA32" i="9"/>
  <c r="X31" i="9"/>
  <c r="AB30" i="9"/>
  <c r="Y29" i="9"/>
  <c r="AA27" i="9"/>
  <c r="X26" i="9"/>
  <c r="AC25" i="9"/>
  <c r="Z24" i="9"/>
  <c r="AB22" i="9"/>
  <c r="Y21" i="9"/>
  <c r="AA19" i="9"/>
  <c r="X18" i="9"/>
  <c r="AC17" i="9"/>
  <c r="Z16" i="9"/>
  <c r="AB14" i="9"/>
  <c r="Y13" i="9"/>
  <c r="AA11" i="9"/>
  <c r="X10" i="9"/>
  <c r="AC9" i="9"/>
  <c r="Z8" i="9"/>
  <c r="AA170" i="9"/>
  <c r="AB162" i="9"/>
  <c r="AA161" i="9"/>
  <c r="AA153" i="9"/>
  <c r="AC141" i="9"/>
  <c r="Y129" i="9"/>
  <c r="Y127" i="9"/>
  <c r="Y122" i="9"/>
  <c r="X119" i="9"/>
  <c r="Z103" i="9"/>
  <c r="Z92" i="9"/>
  <c r="AB91" i="9"/>
  <c r="X88" i="9"/>
  <c r="AC87" i="9"/>
  <c r="Y83" i="9"/>
  <c r="AB77" i="9"/>
  <c r="Y74" i="9"/>
  <c r="Z72" i="9"/>
  <c r="X71" i="9"/>
  <c r="X61" i="9"/>
  <c r="AC60" i="9"/>
  <c r="X58" i="9"/>
  <c r="AC57" i="9"/>
  <c r="AB54" i="9"/>
  <c r="Z52" i="9"/>
  <c r="AB51" i="9"/>
  <c r="Z49" i="9"/>
  <c r="X47" i="9"/>
  <c r="AC46" i="9"/>
  <c r="X45" i="9"/>
  <c r="AC44" i="9"/>
  <c r="Y40" i="9"/>
  <c r="AA39" i="9"/>
  <c r="Y36" i="9"/>
  <c r="AA35" i="9"/>
  <c r="X34" i="9"/>
  <c r="AC33" i="9"/>
  <c r="Z32" i="9"/>
  <c r="AA30" i="9"/>
  <c r="X29" i="9"/>
  <c r="AC28" i="9"/>
  <c r="Z27" i="9"/>
  <c r="AB25" i="9"/>
  <c r="Y24" i="9"/>
  <c r="AA22" i="9"/>
  <c r="X21" i="9"/>
  <c r="AC20" i="9"/>
  <c r="Z19" i="9"/>
  <c r="AB17" i="9"/>
  <c r="Y16" i="9"/>
  <c r="AA14" i="9"/>
  <c r="X13" i="9"/>
  <c r="AC12" i="9"/>
  <c r="Z11" i="9"/>
  <c r="AB9" i="9"/>
  <c r="Y8" i="9"/>
  <c r="X200" i="9"/>
  <c r="Y170" i="9"/>
  <c r="Y145" i="9"/>
  <c r="AB141" i="9"/>
  <c r="Y135" i="9"/>
  <c r="Y132" i="9"/>
  <c r="Z125" i="9"/>
  <c r="AA113" i="9"/>
  <c r="AA112" i="9"/>
  <c r="X103" i="9"/>
  <c r="AC102" i="9"/>
  <c r="AC95" i="9"/>
  <c r="X91" i="9"/>
  <c r="AC90" i="9"/>
  <c r="Z87" i="9"/>
  <c r="X83" i="9"/>
  <c r="AC82" i="9"/>
  <c r="AA77" i="9"/>
  <c r="X74" i="9"/>
  <c r="AA60" i="9"/>
  <c r="AB57" i="9"/>
  <c r="AA54" i="9"/>
  <c r="AA51" i="9"/>
  <c r="Y49" i="9"/>
  <c r="AB46" i="9"/>
  <c r="AA44" i="9"/>
  <c r="Z39" i="9"/>
  <c r="AC38" i="9"/>
  <c r="Z35" i="9"/>
  <c r="AB33" i="9"/>
  <c r="Y32" i="9"/>
  <c r="Z30" i="9"/>
  <c r="AB28" i="9"/>
  <c r="Y27" i="9"/>
  <c r="AA25" i="9"/>
  <c r="X24" i="9"/>
  <c r="AC23" i="9"/>
  <c r="Z22" i="9"/>
  <c r="AB20" i="9"/>
  <c r="Y19" i="9"/>
  <c r="AA17" i="9"/>
  <c r="X16" i="9"/>
  <c r="AC15" i="9"/>
  <c r="AB189" i="9"/>
  <c r="AC187" i="9"/>
  <c r="AC171" i="9"/>
  <c r="X168" i="9"/>
  <c r="AB156" i="9"/>
  <c r="X141" i="9"/>
  <c r="AC136" i="9"/>
  <c r="X135" i="9"/>
  <c r="AC130" i="9"/>
  <c r="AA117" i="9"/>
  <c r="AC116" i="9"/>
  <c r="AA114" i="9"/>
  <c r="X113" i="9"/>
  <c r="X112" i="9"/>
  <c r="AC111" i="9"/>
  <c r="Z109" i="9"/>
  <c r="AB108" i="9"/>
  <c r="Z102" i="9"/>
  <c r="AB101" i="9"/>
  <c r="Z100" i="9"/>
  <c r="Z95" i="9"/>
  <c r="AA190" i="9"/>
  <c r="Z189" i="9"/>
  <c r="Z188" i="9"/>
  <c r="AC182" i="9"/>
  <c r="X163" i="9"/>
  <c r="Z144" i="9"/>
  <c r="Z133" i="9"/>
  <c r="AB130" i="9"/>
  <c r="AB128" i="9"/>
  <c r="Z117" i="9"/>
  <c r="AA116" i="9"/>
  <c r="AB115" i="9"/>
  <c r="AB111" i="9"/>
  <c r="Z110" i="9"/>
  <c r="AA108" i="9"/>
  <c r="Y100" i="9"/>
  <c r="AB99" i="9"/>
  <c r="Y95" i="9"/>
  <c r="AA90" i="9"/>
  <c r="X87" i="9"/>
  <c r="AC86" i="9"/>
  <c r="Z81" i="9"/>
  <c r="AB62" i="9"/>
  <c r="AA59" i="9"/>
  <c r="Y57" i="9"/>
  <c r="AA56" i="9"/>
  <c r="X54" i="9"/>
  <c r="AC53" i="9"/>
  <c r="X51" i="9"/>
  <c r="AC50" i="9"/>
  <c r="AA48" i="9"/>
  <c r="Y46" i="9"/>
  <c r="Y44" i="9"/>
  <c r="AC41" i="9"/>
  <c r="AA38" i="9"/>
  <c r="AC37" i="9"/>
  <c r="X35" i="9"/>
  <c r="AC34" i="9"/>
  <c r="Z33" i="9"/>
  <c r="AB31" i="9"/>
  <c r="X30" i="9"/>
  <c r="AC29" i="9"/>
  <c r="Z28" i="9"/>
  <c r="AB26" i="9"/>
  <c r="Y25" i="9"/>
  <c r="AA23" i="9"/>
  <c r="X22" i="9"/>
  <c r="AC21" i="9"/>
  <c r="Z20" i="9"/>
  <c r="AB18" i="9"/>
  <c r="X199" i="9"/>
  <c r="AA183" i="9"/>
  <c r="AC126" i="9"/>
  <c r="Z116" i="9"/>
  <c r="X111" i="9"/>
  <c r="Z108" i="9"/>
  <c r="X107" i="9"/>
  <c r="AC106" i="9"/>
  <c r="Y99" i="9"/>
  <c r="AA98" i="9"/>
  <c r="X95" i="9"/>
  <c r="AC94" i="9"/>
  <c r="X90" i="9"/>
  <c r="AC89" i="9"/>
  <c r="Y86" i="9"/>
  <c r="AA85" i="9"/>
  <c r="Y81" i="9"/>
  <c r="AA80" i="9"/>
  <c r="AB79" i="9"/>
  <c r="AC67" i="9"/>
  <c r="AC66" i="9"/>
  <c r="AC65" i="9"/>
  <c r="AA62" i="9"/>
  <c r="Z59" i="9"/>
  <c r="Z56" i="9"/>
  <c r="Z53" i="9"/>
  <c r="AB50" i="9"/>
  <c r="Z48" i="9"/>
  <c r="X46" i="9"/>
  <c r="AC45" i="9"/>
  <c r="AB41" i="9"/>
  <c r="Y38" i="9"/>
  <c r="AB37" i="9"/>
  <c r="AB34" i="9"/>
  <c r="Y33" i="9"/>
  <c r="AA31" i="9"/>
  <c r="AB29" i="9"/>
  <c r="Y28" i="9"/>
  <c r="AA26" i="9"/>
  <c r="X25" i="9"/>
  <c r="AC24" i="9"/>
  <c r="Z23" i="9"/>
  <c r="AB21" i="9"/>
  <c r="Y20" i="9"/>
  <c r="AA18" i="9"/>
  <c r="X17" i="9"/>
  <c r="AC16" i="9"/>
  <c r="Z15" i="9"/>
  <c r="AB13" i="9"/>
  <c r="Y12" i="9"/>
  <c r="AA10" i="9"/>
  <c r="X9" i="9"/>
  <c r="AC8" i="9"/>
  <c r="Z7" i="9"/>
  <c r="AA193" i="9"/>
  <c r="AB176" i="9"/>
  <c r="AC174" i="9"/>
  <c r="AA169" i="9"/>
  <c r="Z143" i="9"/>
  <c r="AA139" i="9"/>
  <c r="AC131" i="9"/>
  <c r="X126" i="9"/>
  <c r="Y118" i="9"/>
  <c r="Y106" i="9"/>
  <c r="AA105" i="9"/>
  <c r="X94" i="9"/>
  <c r="AC93" i="9"/>
  <c r="Y89" i="9"/>
  <c r="Z82" i="9"/>
  <c r="AA81" i="9"/>
  <c r="AA69" i="9"/>
  <c r="Y62" i="9"/>
  <c r="X39" i="9"/>
  <c r="AA34" i="9"/>
  <c r="AC32" i="9"/>
  <c r="Y30" i="9"/>
  <c r="X28" i="9"/>
  <c r="Z26" i="9"/>
  <c r="AB24" i="9"/>
  <c r="Y22" i="9"/>
  <c r="X20" i="9"/>
  <c r="Z18" i="9"/>
  <c r="Y15" i="9"/>
  <c r="AB10" i="9"/>
  <c r="Z9" i="9"/>
  <c r="X8" i="9"/>
  <c r="AB7" i="9"/>
  <c r="AA79" i="9"/>
  <c r="AC26" i="9"/>
  <c r="AA15" i="9"/>
  <c r="AC7" i="9"/>
  <c r="Z66" i="9"/>
  <c r="Z41" i="9"/>
  <c r="AC36" i="9"/>
  <c r="X32" i="9"/>
  <c r="AB16" i="9"/>
  <c r="AB12" i="9"/>
  <c r="AC11" i="9"/>
  <c r="Z10" i="9"/>
  <c r="Y9" i="9"/>
  <c r="AA7" i="9"/>
  <c r="Z85" i="9"/>
  <c r="AC70" i="9"/>
  <c r="AC13" i="9"/>
  <c r="AA12" i="9"/>
  <c r="Y11" i="9"/>
  <c r="Y7" i="9"/>
  <c r="AC62" i="9"/>
  <c r="AA8" i="9"/>
  <c r="Y87" i="9"/>
  <c r="AB38" i="9"/>
  <c r="AA29" i="9"/>
  <c r="AC27" i="9"/>
  <c r="AA21" i="9"/>
  <c r="AC19" i="9"/>
  <c r="AA13" i="9"/>
  <c r="Z12" i="9"/>
  <c r="X11" i="9"/>
  <c r="X7" i="9"/>
  <c r="AC61" i="9"/>
  <c r="AC18" i="9"/>
  <c r="AC10" i="9"/>
  <c r="AB67" i="9"/>
  <c r="AC40" i="9"/>
  <c r="X38" i="9"/>
  <c r="AA33" i="9"/>
  <c r="AC31" i="9"/>
  <c r="X27" i="9"/>
  <c r="Z25" i="9"/>
  <c r="AB23" i="9"/>
  <c r="X19" i="9"/>
  <c r="Z17" i="9"/>
  <c r="Z14" i="9"/>
  <c r="X12" i="9"/>
  <c r="AB90" i="9"/>
  <c r="AB59" i="9"/>
  <c r="Z51" i="9"/>
  <c r="Y50" i="9"/>
  <c r="X49" i="9"/>
  <c r="AC48" i="9"/>
  <c r="Y35" i="9"/>
  <c r="X33" i="9"/>
  <c r="Z31" i="9"/>
  <c r="Y23" i="9"/>
  <c r="Y17" i="9"/>
  <c r="Y14" i="9"/>
  <c r="AA20" i="9"/>
  <c r="AA9" i="9"/>
  <c r="AA68" i="9"/>
  <c r="Z65" i="9"/>
  <c r="Z60" i="9"/>
  <c r="X59" i="9"/>
  <c r="AC58" i="9"/>
  <c r="Z57" i="9"/>
  <c r="Y56" i="9"/>
  <c r="AB55" i="9"/>
  <c r="Y54" i="9"/>
  <c r="Y53" i="9"/>
  <c r="Y48" i="9"/>
  <c r="AB47" i="9"/>
  <c r="AA46" i="9"/>
  <c r="AB45" i="9"/>
  <c r="Z44" i="9"/>
  <c r="Z37" i="9"/>
  <c r="AB15" i="9"/>
  <c r="X14" i="9"/>
  <c r="AB8" i="9"/>
  <c r="AA28" i="9"/>
  <c r="U194" i="9"/>
  <c r="R75" i="9"/>
  <c r="U3" i="11"/>
  <c r="U6" i="11" s="1"/>
  <c r="P6" i="6"/>
  <c r="W96" i="9"/>
  <c r="V96" i="9"/>
  <c r="X201" i="9" l="1"/>
  <c r="AB201" i="9"/>
  <c r="Z201" i="9"/>
  <c r="AA201" i="9"/>
  <c r="P6" i="5"/>
  <c r="V201" i="9"/>
  <c r="W201" i="9"/>
  <c r="Y201" i="9"/>
  <c r="AC201" i="9"/>
  <c r="W42" i="9"/>
  <c r="V42" i="9"/>
  <c r="O6" i="5"/>
  <c r="AD202" i="9" l="1"/>
  <c r="AD201" i="9"/>
  <c r="X203" i="9"/>
</calcChain>
</file>

<file path=xl/sharedStrings.xml><?xml version="1.0" encoding="utf-8"?>
<sst xmlns="http://schemas.openxmlformats.org/spreadsheetml/2006/main" count="6575" uniqueCount="654">
  <si>
    <t>No.</t>
  </si>
  <si>
    <t>Nomeklatur/
Nama Daerah Irigasi</t>
  </si>
  <si>
    <t>Luas Daerah Irigasi Sesuai Permen 14/2015 (Ha)</t>
  </si>
  <si>
    <t>Lokasi Kabupaten/Kota</t>
  </si>
  <si>
    <t>Kode D.I</t>
  </si>
  <si>
    <t>D.I. Dam Ombul</t>
  </si>
  <si>
    <t>Kabupaten Bangkalan</t>
  </si>
  <si>
    <t>D.I. Tunjung</t>
  </si>
  <si>
    <t>D.I. Blambangan</t>
  </si>
  <si>
    <t>Kabupaten Banyuwangi</t>
  </si>
  <si>
    <t>D.I. Gembleng</t>
  </si>
  <si>
    <t>D.I. Tenggoro</t>
  </si>
  <si>
    <t>D.I. Dermen</t>
  </si>
  <si>
    <t>Kabupaten Blitar</t>
  </si>
  <si>
    <t>D.I. Cawak</t>
  </si>
  <si>
    <t>Kabupaten Bojonegoro</t>
  </si>
  <si>
    <t>D.I. Pirang</t>
  </si>
  <si>
    <t>D.I. Wd. Leran</t>
  </si>
  <si>
    <t>D.I. Balud</t>
  </si>
  <si>
    <t>Kabupaten Bondowoso</t>
  </si>
  <si>
    <t>D.I. Wonosroyo</t>
  </si>
  <si>
    <t>D.I. Kali Wadak</t>
  </si>
  <si>
    <t>Kabupaten Gresik</t>
  </si>
  <si>
    <t>D.I. Wd. Gogor</t>
  </si>
  <si>
    <t>D.I. Wd. Lowayu</t>
  </si>
  <si>
    <t>D.I. Bago</t>
  </si>
  <si>
    <t>Kabupaten Jember</t>
  </si>
  <si>
    <t>D.I. Grogol</t>
  </si>
  <si>
    <t>D.I. Karanglo</t>
  </si>
  <si>
    <t>D.I. Kembar</t>
  </si>
  <si>
    <t>D.I. Kertosari</t>
  </si>
  <si>
    <t>D.I. Kottok</t>
  </si>
  <si>
    <t>D.I. Mrawan</t>
  </si>
  <si>
    <t>D.I. Sumber Nangka</t>
  </si>
  <si>
    <t>D.I. Jatimlerek</t>
  </si>
  <si>
    <t>Kabupaten Jombang</t>
  </si>
  <si>
    <t>D.I. Slumbung</t>
  </si>
  <si>
    <t>D.I. Rawa Cungkup</t>
  </si>
  <si>
    <t>Kabupaten Lamongan</t>
  </si>
  <si>
    <t>D.I. Rawa Sekaran</t>
  </si>
  <si>
    <t>D.I. Rawa Semando</t>
  </si>
  <si>
    <t>D.I. Wd. Rande</t>
  </si>
  <si>
    <t>D.I. Brug Purwo</t>
  </si>
  <si>
    <t>Kabupaten Lumajang</t>
  </si>
  <si>
    <t>D.I. Curah Menjangan/Kedungsangku</t>
  </si>
  <si>
    <t>D.I. Jurang Dawir</t>
  </si>
  <si>
    <t>D.I. Tekung I</t>
  </si>
  <si>
    <t>D.I. Umbul Pringtali</t>
  </si>
  <si>
    <t>D.I. Ketandan</t>
  </si>
  <si>
    <t>Kabupaten Kediri</t>
  </si>
  <si>
    <t>D.I. Pohblembem</t>
  </si>
  <si>
    <t>D.I. Bedilan</t>
  </si>
  <si>
    <t>Kabupaten Madiun</t>
  </si>
  <si>
    <t>D.I. Notopuro</t>
  </si>
  <si>
    <t>D.I. Sarangan</t>
  </si>
  <si>
    <t>D.I. Sewu</t>
  </si>
  <si>
    <t>D.I. Wates</t>
  </si>
  <si>
    <t>D.I. Kromong II</t>
  </si>
  <si>
    <t>Kabupaten Mojokerto</t>
  </si>
  <si>
    <t>D.I. Bulakmojo</t>
  </si>
  <si>
    <t>Kabupaten Nganjuk</t>
  </si>
  <si>
    <t>D.I. Kedung Gerit</t>
  </si>
  <si>
    <t>D.I. Ngrambe</t>
  </si>
  <si>
    <t>D.I. Bekoh</t>
  </si>
  <si>
    <t>Kabupaten Ngawi</t>
  </si>
  <si>
    <t>D.I. Gurdo</t>
  </si>
  <si>
    <t>D.I. Guyung</t>
  </si>
  <si>
    <t>D.I. Kedung Bendo</t>
  </si>
  <si>
    <t>D.I. Kedungputri</t>
  </si>
  <si>
    <t>D.I. Pang</t>
  </si>
  <si>
    <t>D.I. Teguhan</t>
  </si>
  <si>
    <t>D.I. Widodaren</t>
  </si>
  <si>
    <t>D.I. Samiran</t>
  </si>
  <si>
    <t>Kabupaten Pamekasan</t>
  </si>
  <si>
    <t>D.I. Baong</t>
  </si>
  <si>
    <t>Kabupaten Pasuruan</t>
  </si>
  <si>
    <t>D.I. Bekacak</t>
  </si>
  <si>
    <t>D.I. Domas</t>
  </si>
  <si>
    <t>D.I. Klosod</t>
  </si>
  <si>
    <t>D.I. Pateguan</t>
  </si>
  <si>
    <t>D.I. Ranugrati</t>
  </si>
  <si>
    <t>D.I. Selowongko</t>
  </si>
  <si>
    <t>D.I. Telebuk</t>
  </si>
  <si>
    <t>D.I. Cepogo</t>
  </si>
  <si>
    <t>Kabupaten Ponorogo</t>
  </si>
  <si>
    <t>D.I. Dalem</t>
  </si>
  <si>
    <t>D.I. Sampung</t>
  </si>
  <si>
    <t>D.I. Sumorobangun</t>
  </si>
  <si>
    <t>D.I. Watu Putih</t>
  </si>
  <si>
    <t>D.I. Wilangan</t>
  </si>
  <si>
    <t>D.I. Arah Makam Bawah</t>
  </si>
  <si>
    <t>Kabupaten Probolinggo</t>
  </si>
  <si>
    <t>D.I. Jeruk Taman</t>
  </si>
  <si>
    <t>D.I. Ramah Bawah</t>
  </si>
  <si>
    <t>D.I. Sbr. Bendo Jeruk</t>
  </si>
  <si>
    <t>D.I. Topi</t>
  </si>
  <si>
    <t>D.I. Klampis</t>
  </si>
  <si>
    <t>Kabupaten Sampang</t>
  </si>
  <si>
    <t>D.I. Nangger</t>
  </si>
  <si>
    <t>Kabupaten Situbondo</t>
  </si>
  <si>
    <t>D.I. Jepun</t>
  </si>
  <si>
    <t>Kabupaten Sumenep</t>
  </si>
  <si>
    <t>D.I. Kening</t>
  </si>
  <si>
    <t>Kabupaten Tuban</t>
  </si>
  <si>
    <t>D.I. Maibit</t>
  </si>
  <si>
    <t>D.I. Merak Urak</t>
  </si>
  <si>
    <t>D.I. Nglirip</t>
  </si>
  <si>
    <t>D.I. Gelang</t>
  </si>
  <si>
    <t>Kabupaten Tulungagung</t>
  </si>
  <si>
    <t>D.I. Bakalan</t>
  </si>
  <si>
    <t>Kab./Kota Malang</t>
  </si>
  <si>
    <t>D.I. Bodo</t>
  </si>
  <si>
    <t>D.I. Kadalpang</t>
  </si>
  <si>
    <t>D.I. Kajar II A</t>
  </si>
  <si>
    <t>D.I. Kali Metro</t>
  </si>
  <si>
    <t>D.I. Kalilanang</t>
  </si>
  <si>
    <t>Kab. Malang, Kota Batu</t>
  </si>
  <si>
    <t>D.I. Kebalon</t>
  </si>
  <si>
    <t>D.I. Losawi</t>
  </si>
  <si>
    <t>D.I. Ngukir</t>
  </si>
  <si>
    <t>D.I. Pakis</t>
  </si>
  <si>
    <t>D.I. Peniwen</t>
  </si>
  <si>
    <t>D.I. Podokaton</t>
  </si>
  <si>
    <t>D.I. Sedudut</t>
  </si>
  <si>
    <t>D.I. Sengkaling Kanan</t>
  </si>
  <si>
    <t>D.I. Sengkaling Kiri</t>
  </si>
  <si>
    <t>D.I. Sumber Tekik</t>
  </si>
  <si>
    <t>D.I. Sumber Turus</t>
  </si>
  <si>
    <t>D.I. Trimo Semut</t>
  </si>
  <si>
    <t>D.I. Urung-Urung</t>
  </si>
  <si>
    <t>D.I. Turi</t>
  </si>
  <si>
    <t>D.I. Sbr. Gayam</t>
  </si>
  <si>
    <t>Kab. Trenggalek, Kab. Tulungagung</t>
  </si>
  <si>
    <t>D.I. Kaliboto</t>
  </si>
  <si>
    <t>Kab. Blitar, Kab. Tulungagung</t>
  </si>
  <si>
    <t>D.I. Paingan</t>
  </si>
  <si>
    <t>D.I. Widoro</t>
  </si>
  <si>
    <t>D.I. Sukorame</t>
  </si>
  <si>
    <t>Kab./Kota Blitar</t>
  </si>
  <si>
    <t>D.I. Jempor</t>
  </si>
  <si>
    <t>D.I. Tambakrejo I</t>
  </si>
  <si>
    <t>D.I. Rembang</t>
  </si>
  <si>
    <t>D.I. Plosotengah</t>
  </si>
  <si>
    <t>D.I. Sawahan</t>
  </si>
  <si>
    <t>D.I. Ngrebo</t>
  </si>
  <si>
    <t>D.I. Jatinom</t>
  </si>
  <si>
    <t>D.I. Sumber Tulung</t>
  </si>
  <si>
    <t>D.I. Sumber Berjo</t>
  </si>
  <si>
    <t>D.I. Jaten Termas</t>
  </si>
  <si>
    <t>Kab. Blitar, Kab. Kediri</t>
  </si>
  <si>
    <t>D.I. Gunting</t>
  </si>
  <si>
    <t>Kab./Kota Kediri</t>
  </si>
  <si>
    <t>D.I. Kembangan</t>
  </si>
  <si>
    <t>D.I. Klitik Bendokrosok</t>
  </si>
  <si>
    <t>D.I. Klitih Kresek</t>
  </si>
  <si>
    <t>D.I. Ngaglik</t>
  </si>
  <si>
    <t>D.I. Ngablak</t>
  </si>
  <si>
    <t>D.I. Bujel</t>
  </si>
  <si>
    <t>D.I. Pesantren</t>
  </si>
  <si>
    <t>D.I. Betis/Ngreco</t>
  </si>
  <si>
    <t>D.I. Badas</t>
  </si>
  <si>
    <t>Kab. Jombang, Kab. Kediri</t>
  </si>
  <si>
    <t>D.I. Tawangsari</t>
  </si>
  <si>
    <t>Kab. Jombang, Kab. Mojokerto</t>
  </si>
  <si>
    <t>D.I. Kejagan</t>
  </si>
  <si>
    <t>D.I. Kaweden</t>
  </si>
  <si>
    <t>D.I. Mernung</t>
  </si>
  <si>
    <t>Kab. Mojokerto, Kab. Jombang</t>
  </si>
  <si>
    <t>D.I. Subantoro</t>
  </si>
  <si>
    <t>Kab./Kota Mojokerto</t>
  </si>
  <si>
    <t>D.I. Sinoman</t>
  </si>
  <si>
    <t>D.I. Penewon</t>
  </si>
  <si>
    <t>D.I. Jati Kulon</t>
  </si>
  <si>
    <t>D.I. Candi Limo</t>
  </si>
  <si>
    <t>D.I. Cau</t>
  </si>
  <si>
    <t>Kab./Kota Madiun</t>
  </si>
  <si>
    <t>D.I. Mojopurno</t>
  </si>
  <si>
    <t>D.I. Brangkal Bawah</t>
  </si>
  <si>
    <t>D.I. Blodro</t>
  </si>
  <si>
    <t>D.I. Piring I</t>
  </si>
  <si>
    <t>D.I. Sono</t>
  </si>
  <si>
    <t>D.I. Trate</t>
  </si>
  <si>
    <t>D.I. Kedungrejo</t>
  </si>
  <si>
    <t>Kab. Madiun, Kab. Ngawi</t>
  </si>
  <si>
    <t>D.I. Gandongkerik</t>
  </si>
  <si>
    <t>Kab. Madiun, Kab. Magetan</t>
  </si>
  <si>
    <t>D.I. Margopadang</t>
  </si>
  <si>
    <t>Kab. Magetan, Kab. Ponorogo</t>
  </si>
  <si>
    <t>Kab. Magetan, Kab. Ngawi</t>
  </si>
  <si>
    <t>D.I. Dung Timun</t>
  </si>
  <si>
    <t>D.I. Dung Lo</t>
  </si>
  <si>
    <t>D.I. Klalung</t>
  </si>
  <si>
    <t>D.I. Kerep</t>
  </si>
  <si>
    <t>D.I. Taji</t>
  </si>
  <si>
    <t>D.I. Kuluhan</t>
  </si>
  <si>
    <t>D.I. Jabung</t>
  </si>
  <si>
    <t>Kab. Ngawi, Kab. Magetan</t>
  </si>
  <si>
    <t>D.I. Kalongan</t>
  </si>
  <si>
    <t>D.I. Galok Atas/Soponyono</t>
  </si>
  <si>
    <t>D.I. Rawa Jabung</t>
  </si>
  <si>
    <t>Kab. Lamongan, Kab. Tuban</t>
  </si>
  <si>
    <t>D.I. Kali Corong</t>
  </si>
  <si>
    <t>Kab. Gresik, Kab. Lamongan</t>
  </si>
  <si>
    <t>D.I. Waduk Sumengko</t>
  </si>
  <si>
    <t>D.I. Sbr.Pakem</t>
  </si>
  <si>
    <t>Kab. Bondowoso, Kab. Jember</t>
  </si>
  <si>
    <t>D.I. Arjasa</t>
  </si>
  <si>
    <t>D.I. Nurbiha</t>
  </si>
  <si>
    <t>Kab. Bondowoso, Kab. Situbondo</t>
  </si>
  <si>
    <t>D.I. Gumbolo/Dawuhan</t>
  </si>
  <si>
    <t>D.I. Pringduri</t>
  </si>
  <si>
    <t>D.I. Bajulmati</t>
  </si>
  <si>
    <t>Kab. Banyuwangi, Kab. Situbondo</t>
  </si>
  <si>
    <t>D.I. Sbr. Nyamplong</t>
  </si>
  <si>
    <t>D.I. I.S Pakis</t>
  </si>
  <si>
    <t>Kab./Kota Probolinggo</t>
  </si>
  <si>
    <t>D.I. Lontong</t>
  </si>
  <si>
    <t>D.I. Warujinggo</t>
  </si>
  <si>
    <t>D.I. Taposan</t>
  </si>
  <si>
    <t>D.I. Krasak</t>
  </si>
  <si>
    <t>D.I. Mbok Siti</t>
  </si>
  <si>
    <t>D.I. Bango</t>
  </si>
  <si>
    <t>D.I. Grinting</t>
  </si>
  <si>
    <t>Kab./Kota Pasuruan</t>
  </si>
  <si>
    <t>D.I. Licin</t>
  </si>
  <si>
    <t>D.I. Plered</t>
  </si>
  <si>
    <t>D.I. Tanggulangin</t>
  </si>
  <si>
    <t>D.I. Surak</t>
  </si>
  <si>
    <t>Kab. Malang, Kab. Pasuruan</t>
  </si>
  <si>
    <t>D.I.P. Butungan</t>
  </si>
  <si>
    <t>Kab. Lamongan</t>
  </si>
  <si>
    <t>D.I. P. Kaligerman</t>
  </si>
  <si>
    <t>Daftar User Name Aplikasi EPAKSI Daerah Irigasi Kewenangan Pemerintah Provinsi Jawa Timur</t>
  </si>
  <si>
    <t>I</t>
  </si>
  <si>
    <t>UPT PSDA WS Brantas (Korwil Malang)</t>
  </si>
  <si>
    <t>Kab/Kota Malang</t>
  </si>
  <si>
    <t>II</t>
  </si>
  <si>
    <t>UPT PSDA WS Brantas</t>
  </si>
  <si>
    <t>III</t>
  </si>
  <si>
    <t>UPT PSDA WS Brantas (Korwil Surabaya)</t>
  </si>
  <si>
    <t>IV</t>
  </si>
  <si>
    <t>UPT PSDA WS Bengawan Solo</t>
  </si>
  <si>
    <t>V</t>
  </si>
  <si>
    <t>UPT PSDA WS Bengawan Solo (Korwil Madiun)</t>
  </si>
  <si>
    <t>VI</t>
  </si>
  <si>
    <t>UPT PSDA WS Welang Pekalen</t>
  </si>
  <si>
    <t>VII</t>
  </si>
  <si>
    <t>UPT PSDA WS Bondoyudo Baru</t>
  </si>
  <si>
    <t>VIII</t>
  </si>
  <si>
    <t>UPT PSDA WS Sampean Setail</t>
  </si>
  <si>
    <t>IX</t>
  </si>
  <si>
    <t>UPT PSDA WS Kepulauan Madura</t>
  </si>
  <si>
    <t>Luas DI</t>
  </si>
  <si>
    <t>Persentase</t>
  </si>
  <si>
    <t>&lt;1000 ha</t>
  </si>
  <si>
    <t>1000-3000 ha</t>
  </si>
  <si>
    <t>REKAPITULASI KONDISI PRASARANA FISIK DAERAH IRIGASI KEWENANGAN PEMERINTAH PROVINSI JAWA TIMUR</t>
  </si>
  <si>
    <t>indeks</t>
  </si>
  <si>
    <t>luas</t>
  </si>
  <si>
    <t>kondisi</t>
  </si>
  <si>
    <t>jumlah D.I</t>
  </si>
  <si>
    <t>luas D.I</t>
  </si>
  <si>
    <t>Luas</t>
  </si>
  <si>
    <t>IKJI</t>
  </si>
  <si>
    <t>Daerah Irigasi</t>
  </si>
  <si>
    <t>Luas (Ha)</t>
  </si>
  <si>
    <t>Lokasi</t>
  </si>
  <si>
    <t>Indeks Kondisi Prasarana Fisik</t>
  </si>
  <si>
    <t>Persenatase Kondisi Prasarana Fisik (%)</t>
  </si>
  <si>
    <t>Kondisi</t>
  </si>
  <si>
    <t>baik</t>
  </si>
  <si>
    <t>jelek</t>
  </si>
  <si>
    <t>Jelek</t>
  </si>
  <si>
    <t>D.I. CEPOGO</t>
  </si>
  <si>
    <t>D.I. SUMBER BERJO</t>
  </si>
  <si>
    <t>Rusak Berat</t>
  </si>
  <si>
    <t>Sedang</t>
  </si>
  <si>
    <t>D.I. DALEM</t>
  </si>
  <si>
    <t>D.I. MOJOPURNO</t>
  </si>
  <si>
    <t>Baik</t>
  </si>
  <si>
    <t>D.I. SAMPUNG</t>
  </si>
  <si>
    <t>D.I. LONTONG</t>
  </si>
  <si>
    <t>D.I. SUMOROBANGUN</t>
  </si>
  <si>
    <t>D.I. KALI WADAK</t>
  </si>
  <si>
    <t>Kab. Gresik</t>
  </si>
  <si>
    <t>D.I. WATU PUTIH</t>
  </si>
  <si>
    <t>D.I. KALIGERMAN</t>
  </si>
  <si>
    <t>D.I. WILANGAN</t>
  </si>
  <si>
    <t>D.I. WD. GOGOR</t>
  </si>
  <si>
    <t>D.I. GELANG</t>
  </si>
  <si>
    <t>D.I. BUJEL</t>
  </si>
  <si>
    <t>D.I. DERMEN</t>
  </si>
  <si>
    <t>D.I. PLOSOTENGAH</t>
  </si>
  <si>
    <t>sedang</t>
  </si>
  <si>
    <t xml:space="preserve">D.I. KETANDAN </t>
  </si>
  <si>
    <t>D.I. JABUNG</t>
  </si>
  <si>
    <t>Kab. Ngawi/Kab. Magetan</t>
  </si>
  <si>
    <t xml:space="preserve">D.I. POHBLEMBEM </t>
  </si>
  <si>
    <t>D.I. RAWA SEKARAN</t>
  </si>
  <si>
    <t>D.I. BRUG PURWO</t>
  </si>
  <si>
    <t>D.I. KULUHAN</t>
  </si>
  <si>
    <t>D.I. CURAH MENJANGAN/KEDUNGSANGKU</t>
  </si>
  <si>
    <t>D.I. WARUJINGGO</t>
  </si>
  <si>
    <t>D.I. JURANG DAWIR</t>
  </si>
  <si>
    <t>D.I. KEMBANGAN</t>
  </si>
  <si>
    <t>D.I. TEKUNG I</t>
  </si>
  <si>
    <t>D.I. MERAK URAK</t>
  </si>
  <si>
    <t>Kab. Tuban</t>
  </si>
  <si>
    <t>D.I. UMBUL PRINGTALI</t>
  </si>
  <si>
    <t>D.I. SUMBER TULUNG</t>
  </si>
  <si>
    <t>D.I. BAGO</t>
  </si>
  <si>
    <t>D.I. KALI METRO</t>
  </si>
  <si>
    <t>D.I. GROGOL</t>
  </si>
  <si>
    <t>D.I. GUMBOLO/DAWUHAN</t>
  </si>
  <si>
    <t>Kab. Bondowoso/Kab. Situbondo</t>
  </si>
  <si>
    <t>D.I. KARANGLO</t>
  </si>
  <si>
    <t xml:space="preserve">D.I. WD. LOWAYU </t>
  </si>
  <si>
    <t>D.I. KEMBAR</t>
  </si>
  <si>
    <t>D.I. GURDO</t>
  </si>
  <si>
    <t>Kab. Ngawi</t>
  </si>
  <si>
    <t>D.I. KERTOSARI</t>
  </si>
  <si>
    <t>D.I. KLALUNG</t>
  </si>
  <si>
    <t>D.I. KOTTOK</t>
  </si>
  <si>
    <t>D.I. RANUGRATI</t>
  </si>
  <si>
    <t>Kab. Pasuruan</t>
  </si>
  <si>
    <t>D.I. MRAWAN</t>
  </si>
  <si>
    <t>Kab. Jember</t>
  </si>
  <si>
    <t>D.I. SUMBER NANGKA</t>
  </si>
  <si>
    <t>D.I. DUNG LO</t>
  </si>
  <si>
    <t xml:space="preserve">D.I. BLAMBANGAN </t>
  </si>
  <si>
    <t>D.I. KEDUNG BENDO</t>
  </si>
  <si>
    <t>D.I. GEMBLENG</t>
  </si>
  <si>
    <t>D.I. RAWA JABUNG</t>
  </si>
  <si>
    <t>Kab. Lamongan/Kab. Tuban</t>
  </si>
  <si>
    <t>D.I. TENGGORO</t>
  </si>
  <si>
    <t>D.I. WD. RANDE</t>
  </si>
  <si>
    <t>D.I. BALUD</t>
  </si>
  <si>
    <t>D.I. NGABLAK</t>
  </si>
  <si>
    <t>D.I. WONOSROYO</t>
  </si>
  <si>
    <t>D.I. TURI</t>
  </si>
  <si>
    <t>D.I. NANGGER</t>
  </si>
  <si>
    <t>D.I. TAWANGSARI</t>
  </si>
  <si>
    <t>Kab. Jombang/Kab. Mojokerto</t>
  </si>
  <si>
    <t>D.I. ARAH MAKAM BAWAH</t>
  </si>
  <si>
    <t>D.I. KAWEDEN</t>
  </si>
  <si>
    <t>D.I. JERUK TAMAN</t>
  </si>
  <si>
    <t>D.I. WIDODAREN</t>
  </si>
  <si>
    <t>D.I. RAMAH BAWAH</t>
  </si>
  <si>
    <t>Kab. Ponorogo</t>
  </si>
  <si>
    <t>D.I. SBR. BENDO JERUK</t>
  </si>
  <si>
    <t>D.I. KALIBOTO</t>
  </si>
  <si>
    <t>Kab. Blitar/Kab. Tulungagung</t>
  </si>
  <si>
    <t>D.I. TOPI</t>
  </si>
  <si>
    <t>Kab. Lumajang</t>
  </si>
  <si>
    <t>D.I. BAONG</t>
  </si>
  <si>
    <t>D.I. KEJAGAN</t>
  </si>
  <si>
    <t>D.I. BEKACAK</t>
  </si>
  <si>
    <t>D.I. URUNG-URUNG</t>
  </si>
  <si>
    <t>D.I. DOMAS</t>
  </si>
  <si>
    <t>D.I. SEDUDUT</t>
  </si>
  <si>
    <t>D.I. KLOSOD</t>
  </si>
  <si>
    <t>D.I. PATEGUAN</t>
  </si>
  <si>
    <t>D.I. BLODRO</t>
  </si>
  <si>
    <t>D.I. SUMBER TURUS</t>
  </si>
  <si>
    <t>D.I. SELOWONGKO</t>
  </si>
  <si>
    <t>D.I. GRINTING</t>
  </si>
  <si>
    <t>D.I. TELEBUK</t>
  </si>
  <si>
    <t>D.I. BEKOH</t>
  </si>
  <si>
    <t>D.I. KROMONG II</t>
  </si>
  <si>
    <t>D.I. JATEN TERMAS</t>
  </si>
  <si>
    <t>Kab. Blitar/Kab. Kediri</t>
  </si>
  <si>
    <t>D.I. JATIMLEREK</t>
  </si>
  <si>
    <t>D.I. CAWAK</t>
  </si>
  <si>
    <t>Kab. Bojonegoro</t>
  </si>
  <si>
    <t>D.I. SLUMBUNG</t>
  </si>
  <si>
    <t>D.I. SEWU</t>
  </si>
  <si>
    <t>Kab. Madiun</t>
  </si>
  <si>
    <t>D.I. BULAKMOJO</t>
  </si>
  <si>
    <t>D.I. WADUK SUMENGKO</t>
  </si>
  <si>
    <t>Kab. Gresik/Kab. Lamongan</t>
  </si>
  <si>
    <t>D.I. KEDUNG GERIT</t>
  </si>
  <si>
    <t xml:space="preserve">D.I. NGRAMBE </t>
  </si>
  <si>
    <t>D.I. PESANTREN</t>
  </si>
  <si>
    <t xml:space="preserve">D.I. BEDILAN </t>
  </si>
  <si>
    <t>D.I. SARANGAN</t>
  </si>
  <si>
    <t>D.I. NOTOPURO</t>
  </si>
  <si>
    <t>D.I. LICIN</t>
  </si>
  <si>
    <t>Kab. Bondowoso</t>
  </si>
  <si>
    <t>Kab. Tulungagung</t>
  </si>
  <si>
    <t xml:space="preserve">D.I. WATES </t>
  </si>
  <si>
    <t>D.I. KALILANANG</t>
  </si>
  <si>
    <t>Kab. Malng/Kota Batu</t>
  </si>
  <si>
    <t>Kab. Probolinggo</t>
  </si>
  <si>
    <t>D.I. NGAGLIK</t>
  </si>
  <si>
    <t>D.I. GUYUNG</t>
  </si>
  <si>
    <t>Kab. Banyuwangi</t>
  </si>
  <si>
    <t>D.I. BETIS/NGRECO</t>
  </si>
  <si>
    <t>D.I. KEDUNGPUTRI</t>
  </si>
  <si>
    <t>D.I. GALOK ATAS/SOPONYONO</t>
  </si>
  <si>
    <t>Kab. Magetan/Kab. Ponorogo</t>
  </si>
  <si>
    <t>D.I. TEGUHAN</t>
  </si>
  <si>
    <t>D.I. NGREBO</t>
  </si>
  <si>
    <t>D.I. SUKORAME</t>
  </si>
  <si>
    <t>D.I. PIRANG</t>
  </si>
  <si>
    <t>D.I. PRINGDURI</t>
  </si>
  <si>
    <t>D.I. WD. LERAN</t>
  </si>
  <si>
    <t>D.I. KENING</t>
  </si>
  <si>
    <t>D.I. DUNG TIMUN</t>
  </si>
  <si>
    <t>Kab. Magetan/Kab. Ngawi</t>
  </si>
  <si>
    <t>D.I. MAIBIT</t>
  </si>
  <si>
    <t>D.I. BADAS</t>
  </si>
  <si>
    <t>Kab. Jombang/Kab. Kediri</t>
  </si>
  <si>
    <t>D.I. NGLIRIP</t>
  </si>
  <si>
    <t>D.I. TAJI</t>
  </si>
  <si>
    <t>D.I. RAWA CUNGKUP</t>
  </si>
  <si>
    <t>D.I. SBR. GAYAM</t>
  </si>
  <si>
    <t>Kab. Trenggalek/Kab. Tulungagung</t>
  </si>
  <si>
    <t>D.I. RAWA SEMANDO</t>
  </si>
  <si>
    <t>D.I. BUTUNGAN</t>
  </si>
  <si>
    <t>D.I. NURBIHA</t>
  </si>
  <si>
    <t>D.I. SURAK</t>
  </si>
  <si>
    <t>Kab. Malang/Kab. Pasuruan</t>
  </si>
  <si>
    <t>D.I. MARGOPADANG</t>
  </si>
  <si>
    <t>D.I. JATINOM</t>
  </si>
  <si>
    <t>D.I. DAM OMBUL</t>
  </si>
  <si>
    <t>D.I. I.S PAKIS</t>
  </si>
  <si>
    <t>D.I. TUNJUNG</t>
  </si>
  <si>
    <t>Rusak Sedang</t>
  </si>
  <si>
    <t>D.I. KLAMPIS</t>
  </si>
  <si>
    <t>Kab. Bangkalan</t>
  </si>
  <si>
    <t>D.I. SAMIRAN</t>
  </si>
  <si>
    <t>D.I. SUMBER TEKIK</t>
  </si>
  <si>
    <t>D.I. JEPUN</t>
  </si>
  <si>
    <t>D.I. BODO</t>
  </si>
  <si>
    <t>D.I. KADALPANG</t>
  </si>
  <si>
    <t>Kab. Jombang</t>
  </si>
  <si>
    <t>D.I. KAJAR II A</t>
  </si>
  <si>
    <t>D.I. TRIMO SEMUT</t>
  </si>
  <si>
    <t>D.I. SAWAHAN</t>
  </si>
  <si>
    <t>D.I. KEBALON</t>
  </si>
  <si>
    <t>D.I. LOSAWI</t>
  </si>
  <si>
    <t>D.I. SENGKALING KANAN</t>
  </si>
  <si>
    <t>D.I. NGUKIR</t>
  </si>
  <si>
    <t>D.I. PENIWEN</t>
  </si>
  <si>
    <t>D.I. PAKIS</t>
  </si>
  <si>
    <t>D.I. CAU</t>
  </si>
  <si>
    <t>D.I. KRASAK</t>
  </si>
  <si>
    <t>D.I. PODOKATON</t>
  </si>
  <si>
    <t>D.I. SENGKALING KIRI</t>
  </si>
  <si>
    <t>D.I. KALONGAN</t>
  </si>
  <si>
    <t>Kab. Malang/Kota Batu</t>
  </si>
  <si>
    <t>D.I. KLITIH KRESEK</t>
  </si>
  <si>
    <t>D.I. PAINGAN</t>
  </si>
  <si>
    <t>D.I. GANDONGKERIK</t>
  </si>
  <si>
    <t>Kab. Madiun/Kab. Magetan</t>
  </si>
  <si>
    <t>D.I. WIDORO</t>
  </si>
  <si>
    <t>D.I. JEMPOR</t>
  </si>
  <si>
    <t>D.I. TAMBAKREJO I</t>
  </si>
  <si>
    <t>D.I. REMBANG</t>
  </si>
  <si>
    <t>D.I. BANGO</t>
  </si>
  <si>
    <t>D.I. KLITIK BENDOKROSOK</t>
  </si>
  <si>
    <t>D.I. SUBANTORO</t>
  </si>
  <si>
    <t>D.I. TAPOSAN</t>
  </si>
  <si>
    <t>D.I. TRATE</t>
  </si>
  <si>
    <t>D.I. GUNTING</t>
  </si>
  <si>
    <t>D.I. BAKALAN</t>
  </si>
  <si>
    <t>D.I. SINOMAN</t>
  </si>
  <si>
    <t>Kab. Kediri</t>
  </si>
  <si>
    <t>Kab. Nganjuk</t>
  </si>
  <si>
    <t>D.I. PANG</t>
  </si>
  <si>
    <t>D.I. JATI KULON</t>
  </si>
  <si>
    <t>D.I. MERNUNG</t>
  </si>
  <si>
    <t>D.I. BRANGKAL BAWAH</t>
  </si>
  <si>
    <t>Kab. Madiun/Kota Madiun</t>
  </si>
  <si>
    <t>D.I. PENEWON</t>
  </si>
  <si>
    <t>D.I. MBOK SITI</t>
  </si>
  <si>
    <t>Kab. Probolinggo/Kota Probolinggo</t>
  </si>
  <si>
    <t>D.I. CANDI LIMO</t>
  </si>
  <si>
    <t>D.I. PLERED</t>
  </si>
  <si>
    <t>Kab. Pasuruan/Kota Pasuruan</t>
  </si>
  <si>
    <t>D.I. PIRING I</t>
  </si>
  <si>
    <t>D.I. SONO</t>
  </si>
  <si>
    <t>D.I. SBR. PAKEM</t>
  </si>
  <si>
    <t>Kab. Bondowoso/Kab. Jember</t>
  </si>
  <si>
    <t>D.I. KEDUNGREJO</t>
  </si>
  <si>
    <t>Kab. Malang/Kota Malang</t>
  </si>
  <si>
    <t>Kab. Sampang</t>
  </si>
  <si>
    <t>D.I. KEREP</t>
  </si>
  <si>
    <t>D.I. SBR. NYAMPLONG</t>
  </si>
  <si>
    <t>D.I. KALI CORONG</t>
  </si>
  <si>
    <t>Kab. Mojokerto/Kota Mojokerto</t>
  </si>
  <si>
    <t xml:space="preserve">Kab. Mojokerto </t>
  </si>
  <si>
    <t>D.I. ARJASA</t>
  </si>
  <si>
    <t>Kab. Bondowoso/Kab.Jember</t>
  </si>
  <si>
    <t>D.I. BAJULMATI</t>
  </si>
  <si>
    <t>Kab. Banyuwangi/Kab.Situbondo</t>
  </si>
  <si>
    <t>Kab. Madiun/Kab.Ngawi</t>
  </si>
  <si>
    <t>D.I. TANGGULANGIN</t>
  </si>
  <si>
    <t>Kab. Magetan/Kab.Ngawi</t>
  </si>
  <si>
    <t>Kab. Blitar</t>
  </si>
  <si>
    <t>Kab. Pamekasan</t>
  </si>
  <si>
    <t>Kab. Situbondo</t>
  </si>
  <si>
    <t>Bakalan</t>
  </si>
  <si>
    <t>Kab. Sumenep</t>
  </si>
  <si>
    <t>Pang</t>
  </si>
  <si>
    <t>Rusak Ringan</t>
  </si>
  <si>
    <t>TURI</t>
  </si>
  <si>
    <t>Produktivitas</t>
  </si>
  <si>
    <t>Sarana Penujang</t>
  </si>
  <si>
    <t>Organisasi Personalia</t>
  </si>
  <si>
    <t>Dokumentasi</t>
  </si>
  <si>
    <t>P3A/GP3A/IP3A</t>
  </si>
  <si>
    <t>jumlah</t>
  </si>
  <si>
    <t>Jumlah D.I</t>
  </si>
  <si>
    <t>Luas D.I</t>
  </si>
  <si>
    <t>Non fisik</t>
  </si>
  <si>
    <t>kurang</t>
  </si>
  <si>
    <t>cukup</t>
  </si>
  <si>
    <t>IKSI</t>
  </si>
  <si>
    <t>No</t>
  </si>
  <si>
    <t>DI</t>
  </si>
  <si>
    <t>fisik</t>
  </si>
  <si>
    <t>sangat baik</t>
  </si>
  <si>
    <t>Komponen</t>
  </si>
  <si>
    <t>Yang Ada</t>
  </si>
  <si>
    <t>Maks</t>
  </si>
  <si>
    <t>Min</t>
  </si>
  <si>
    <t>Optimum</t>
  </si>
  <si>
    <t>Prasarana Fisik</t>
  </si>
  <si>
    <t>Jumlah IKSI</t>
  </si>
  <si>
    <t>Indeks Kondisi Sistem Irigasi (%)</t>
  </si>
  <si>
    <t>Keterangan</t>
  </si>
  <si>
    <t>IKSI PER UPT</t>
  </si>
  <si>
    <t>IKSI SE JAWA TIMUR</t>
  </si>
  <si>
    <t>BENDUNG</t>
  </si>
  <si>
    <t>Jumlah</t>
  </si>
  <si>
    <t>Tahun</t>
  </si>
  <si>
    <t>Nilai</t>
  </si>
  <si>
    <t>Nilai Maks 45%</t>
  </si>
  <si>
    <t>Nilai Maks 15%</t>
  </si>
  <si>
    <t>Nilai Maks 10%</t>
  </si>
  <si>
    <t>Nilai Maks 5%</t>
  </si>
  <si>
    <t>Nilai Maks 100%</t>
  </si>
  <si>
    <t>Penilaian prasarana fisik 2022 dan non prasarana fisik 2022</t>
  </si>
  <si>
    <t>Penilaian prasarana fisik 2023 dan non prasarana fisik 2023</t>
  </si>
  <si>
    <t>Penilaian prasarana fisik 2021 dan non prasarana fisik 2021</t>
  </si>
  <si>
    <t>TOTAL</t>
  </si>
  <si>
    <t>Penilaian prasarana fisik 2020 dan non prasarana fisik 2020</t>
  </si>
  <si>
    <t>Penilaian prasarana fisik 2019 dan non prasarana fisik 2019</t>
  </si>
  <si>
    <t>Penilaian prasarana fisik 2020 dan non prasarana fisik 2019</t>
  </si>
  <si>
    <t>9,32</t>
  </si>
  <si>
    <t>11,86</t>
  </si>
  <si>
    <t>7,38</t>
  </si>
  <si>
    <t>11,05</t>
  </si>
  <si>
    <t>6,91</t>
  </si>
  <si>
    <t>9,98</t>
  </si>
  <si>
    <t>4,13</t>
  </si>
  <si>
    <t>10,13</t>
  </si>
  <si>
    <t>10,82</t>
  </si>
  <si>
    <t>9,52</t>
  </si>
  <si>
    <t>8,44</t>
  </si>
  <si>
    <t>9,88</t>
  </si>
  <si>
    <t>9,1</t>
  </si>
  <si>
    <t>7,3</t>
  </si>
  <si>
    <t>11,63</t>
  </si>
  <si>
    <t>11,03</t>
  </si>
  <si>
    <t>5,17</t>
  </si>
  <si>
    <t>11,07</t>
  </si>
  <si>
    <t>8,67</t>
  </si>
  <si>
    <t>7,56</t>
  </si>
  <si>
    <t>10,22</t>
  </si>
  <si>
    <t>10,66</t>
  </si>
  <si>
    <t>8,42</t>
  </si>
  <si>
    <t>11,61</t>
  </si>
  <si>
    <t>4,03</t>
  </si>
  <si>
    <t>9,85</t>
  </si>
  <si>
    <t xml:space="preserve">Penilaian prasarana fisik 2020 </t>
  </si>
  <si>
    <t>10,63</t>
  </si>
  <si>
    <t>10,06</t>
  </si>
  <si>
    <t>10,19</t>
  </si>
  <si>
    <t>9,16</t>
  </si>
  <si>
    <t>9,38</t>
  </si>
  <si>
    <t>11,4</t>
  </si>
  <si>
    <t>7,68</t>
  </si>
  <si>
    <t>10,95</t>
  </si>
  <si>
    <t>Inventarisasi aset/PAI sudah dilaksanakan</t>
  </si>
  <si>
    <t>10,93</t>
  </si>
  <si>
    <t>9,01</t>
  </si>
  <si>
    <t>12,23</t>
  </si>
  <si>
    <t>10,79</t>
  </si>
  <si>
    <t>9,06</t>
  </si>
  <si>
    <t>10,5</t>
  </si>
  <si>
    <t>11,23</t>
  </si>
  <si>
    <t>9,3</t>
  </si>
  <si>
    <t>12,33</t>
  </si>
  <si>
    <t>9,67</t>
  </si>
  <si>
    <t>Penilaian prasarana fisik 2022 dan non prasarana fisik 2019</t>
  </si>
  <si>
    <t>12,35</t>
  </si>
  <si>
    <t>11,83</t>
  </si>
  <si>
    <t>Penilaian prasarana fisik 2022 dan non prasarana fisik 2020</t>
  </si>
  <si>
    <t>12,26</t>
  </si>
  <si>
    <t>11,21</t>
  </si>
  <si>
    <t>11,96</t>
  </si>
  <si>
    <t>11,81</t>
  </si>
  <si>
    <t>5,27</t>
  </si>
  <si>
    <t>12,3</t>
  </si>
  <si>
    <t>11,41</t>
  </si>
  <si>
    <t>Penilaian prasarana fisik 2020 dan non prasarana fisik 2021</t>
  </si>
  <si>
    <t>9,51</t>
  </si>
  <si>
    <t>9,25</t>
  </si>
  <si>
    <t>12,18</t>
  </si>
  <si>
    <t>9,42</t>
  </si>
  <si>
    <t>10,12</t>
  </si>
  <si>
    <t>Penilaian prasarana fisik 2023 dan non prasarana fisik 2021</t>
  </si>
  <si>
    <t>12,16</t>
  </si>
  <si>
    <t>10,65</t>
  </si>
  <si>
    <t>12,02</t>
  </si>
  <si>
    <t>11,67</t>
  </si>
  <si>
    <t>11,3</t>
  </si>
  <si>
    <t>6,12</t>
  </si>
  <si>
    <t>9,43</t>
  </si>
  <si>
    <t>10,83</t>
  </si>
  <si>
    <t>8,66</t>
  </si>
  <si>
    <t>10,55</t>
  </si>
  <si>
    <t>12,32</t>
  </si>
  <si>
    <t>11,02</t>
  </si>
  <si>
    <t>8,68</t>
  </si>
  <si>
    <t>11,18</t>
  </si>
  <si>
    <t>11,94</t>
  </si>
  <si>
    <t>9,81</t>
  </si>
  <si>
    <t>4,54</t>
  </si>
  <si>
    <t>10,11</t>
  </si>
  <si>
    <t>REKAPITULASI PENANGANAN PENGELOLAAN DAERAH IRIGASI KEWENANGAN PEMERINTAH PROVINSI JAWA TIMUR</t>
  </si>
  <si>
    <t>KERUSAKAN</t>
  </si>
  <si>
    <t>penanganan</t>
  </si>
  <si>
    <t>Rekomendasi</t>
  </si>
  <si>
    <t>Indeks Produktivitas Tanam</t>
  </si>
  <si>
    <t>Penanganan</t>
  </si>
  <si>
    <t>berkala</t>
  </si>
  <si>
    <t>Perawatan</t>
  </si>
  <si>
    <t>Rehabilitasi</t>
  </si>
  <si>
    <t>Pemeliharaan Berkala Bersifat Perbaikan</t>
  </si>
  <si>
    <t>Pemeliharaan Berkala Bersifat Penggantian</t>
  </si>
  <si>
    <t>Pemeliharaan Berkala Bersifat Perbaikan Berat/Penggantian</t>
  </si>
  <si>
    <t>Pemeliharaan Berkala Bersifat Perawatan</t>
  </si>
  <si>
    <t>rehab</t>
  </si>
  <si>
    <t>Perbaikan</t>
  </si>
  <si>
    <t>OP</t>
  </si>
  <si>
    <t>Rehab J.I</t>
  </si>
  <si>
    <t>Pemeliharaan Berkala</t>
  </si>
  <si>
    <t>O&amp;P Rutin</t>
  </si>
  <si>
    <t>OP Rutin</t>
  </si>
  <si>
    <t>Nama D.I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</si>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</sst>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??_-;_-@"/>
    <numFmt numFmtId="165" formatCode="_-* #,##0.00_-;\-* #,##0.00_-;_-* &quot;-&quot;??_-;_-@"/>
    <numFmt numFmtId="166" formatCode="0.0%"/>
    <numFmt numFmtId="167" formatCode="0.000"/>
    <numFmt numFmtId="168" formatCode="_-* #,##0_-;\-* #,##0_-;_-* &quot;-&quot;_-;_-@"/>
    <numFmt numFmtId="169" formatCode="_-* #,##0.000_-;\-* #,##0.000_-;_-* &quot;-&quot;??.00_-;_-@"/>
    <numFmt numFmtId="170" formatCode="0.00000000000000000000000000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7F7F7F"/>
        <bgColor rgb="FF7F7F7F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A5A5A5"/>
        <bgColor rgb="FFA5A5A5"/>
      </patternFill>
    </fill>
    <fill>
      <patternFill patternType="solid">
        <fgColor rgb="FFB4C6E7"/>
        <bgColor rgb="FFB4C6E7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ADB9CA"/>
        <bgColor rgb="FFADB9CA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/>
    <xf numFmtId="164" fontId="2" fillId="2" borderId="7" xfId="0" applyNumberFormat="1" applyFont="1" applyFill="1" applyBorder="1"/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/>
    <xf numFmtId="164" fontId="2" fillId="2" borderId="8" xfId="0" applyNumberFormat="1" applyFont="1" applyFill="1" applyBorder="1"/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/>
    <xf numFmtId="164" fontId="2" fillId="3" borderId="7" xfId="0" applyNumberFormat="1" applyFont="1" applyFill="1" applyBorder="1"/>
    <xf numFmtId="0" fontId="2" fillId="3" borderId="8" xfId="0" applyFont="1" applyFill="1" applyBorder="1"/>
    <xf numFmtId="164" fontId="2" fillId="3" borderId="8" xfId="0" applyNumberFormat="1" applyFont="1" applyFill="1" applyBorder="1"/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164" fontId="2" fillId="4" borderId="7" xfId="0" applyNumberFormat="1" applyFont="1" applyFill="1" applyBorder="1"/>
    <xf numFmtId="0" fontId="2" fillId="4" borderId="8" xfId="0" applyFont="1" applyFill="1" applyBorder="1"/>
    <xf numFmtId="164" fontId="2" fillId="4" borderId="8" xfId="0" applyNumberFormat="1" applyFont="1" applyFill="1" applyBorder="1"/>
    <xf numFmtId="0" fontId="2" fillId="5" borderId="7" xfId="0" applyFont="1" applyFill="1" applyBorder="1" applyAlignment="1">
      <alignment horizontal="center"/>
    </xf>
    <xf numFmtId="0" fontId="2" fillId="5" borderId="7" xfId="0" applyFont="1" applyFill="1" applyBorder="1"/>
    <xf numFmtId="164" fontId="2" fillId="5" borderId="7" xfId="0" applyNumberFormat="1" applyFont="1" applyFill="1" applyBorder="1"/>
    <xf numFmtId="0" fontId="2" fillId="5" borderId="8" xfId="0" applyFont="1" applyFill="1" applyBorder="1"/>
    <xf numFmtId="0" fontId="2" fillId="6" borderId="7" xfId="0" applyFont="1" applyFill="1" applyBorder="1" applyAlignment="1">
      <alignment horizontal="center"/>
    </xf>
    <xf numFmtId="0" fontId="2" fillId="6" borderId="7" xfId="0" applyFont="1" applyFill="1" applyBorder="1"/>
    <xf numFmtId="164" fontId="2" fillId="6" borderId="7" xfId="0" applyNumberFormat="1" applyFont="1" applyFill="1" applyBorder="1"/>
    <xf numFmtId="0" fontId="2" fillId="6" borderId="8" xfId="0" applyFont="1" applyFill="1" applyBorder="1"/>
    <xf numFmtId="0" fontId="2" fillId="7" borderId="7" xfId="0" applyFont="1" applyFill="1" applyBorder="1" applyAlignment="1">
      <alignment horizontal="center"/>
    </xf>
    <xf numFmtId="0" fontId="2" fillId="7" borderId="7" xfId="0" applyFont="1" applyFill="1" applyBorder="1"/>
    <xf numFmtId="164" fontId="2" fillId="7" borderId="7" xfId="0" applyNumberFormat="1" applyFont="1" applyFill="1" applyBorder="1"/>
    <xf numFmtId="0" fontId="2" fillId="7" borderId="8" xfId="0" applyFont="1" applyFill="1" applyBorder="1"/>
    <xf numFmtId="0" fontId="2" fillId="8" borderId="7" xfId="0" applyFont="1" applyFill="1" applyBorder="1" applyAlignment="1">
      <alignment horizontal="center"/>
    </xf>
    <xf numFmtId="0" fontId="2" fillId="8" borderId="7" xfId="0" applyFont="1" applyFill="1" applyBorder="1"/>
    <xf numFmtId="164" fontId="2" fillId="8" borderId="7" xfId="0" applyNumberFormat="1" applyFont="1" applyFill="1" applyBorder="1"/>
    <xf numFmtId="0" fontId="2" fillId="8" borderId="8" xfId="0" applyFont="1" applyFill="1" applyBorder="1"/>
    <xf numFmtId="0" fontId="2" fillId="9" borderId="7" xfId="0" applyFont="1" applyFill="1" applyBorder="1" applyAlignment="1">
      <alignment horizontal="center"/>
    </xf>
    <xf numFmtId="0" fontId="2" fillId="9" borderId="7" xfId="0" applyFont="1" applyFill="1" applyBorder="1"/>
    <xf numFmtId="164" fontId="2" fillId="9" borderId="7" xfId="0" applyNumberFormat="1" applyFont="1" applyFill="1" applyBorder="1"/>
    <xf numFmtId="0" fontId="2" fillId="9" borderId="8" xfId="0" applyFont="1" applyFill="1" applyBorder="1"/>
    <xf numFmtId="0" fontId="1" fillId="0" borderId="7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10" borderId="7" xfId="0" applyFont="1" applyFill="1" applyBorder="1" applyAlignment="1">
      <alignment horizontal="center"/>
    </xf>
    <xf numFmtId="0" fontId="2" fillId="10" borderId="7" xfId="0" applyFont="1" applyFill="1" applyBorder="1"/>
    <xf numFmtId="164" fontId="2" fillId="10" borderId="7" xfId="0" applyNumberFormat="1" applyFont="1" applyFill="1" applyBorder="1"/>
    <xf numFmtId="0" fontId="2" fillId="10" borderId="8" xfId="0" applyFont="1" applyFill="1" applyBorder="1"/>
    <xf numFmtId="0" fontId="2" fillId="11" borderId="12" xfId="0" applyFont="1" applyFill="1" applyBorder="1" applyAlignment="1">
      <alignment horizontal="center"/>
    </xf>
    <xf numFmtId="0" fontId="2" fillId="11" borderId="12" xfId="0" applyFont="1" applyFill="1" applyBorder="1"/>
    <xf numFmtId="164" fontId="2" fillId="11" borderId="12" xfId="0" applyNumberFormat="1" applyFont="1" applyFill="1" applyBorder="1"/>
    <xf numFmtId="0" fontId="2" fillId="11" borderId="8" xfId="0" applyFont="1" applyFill="1" applyBorder="1"/>
    <xf numFmtId="0" fontId="2" fillId="11" borderId="13" xfId="0" applyFont="1" applyFill="1" applyBorder="1" applyAlignment="1">
      <alignment horizontal="center"/>
    </xf>
    <xf numFmtId="0" fontId="2" fillId="11" borderId="13" xfId="0" applyFont="1" applyFill="1" applyBorder="1"/>
    <xf numFmtId="164" fontId="2" fillId="11" borderId="13" xfId="0" applyNumberFormat="1" applyFont="1" applyFill="1" applyBorder="1"/>
    <xf numFmtId="0" fontId="2" fillId="12" borderId="7" xfId="0" applyFont="1" applyFill="1" applyBorder="1" applyAlignment="1">
      <alignment horizontal="center"/>
    </xf>
    <xf numFmtId="0" fontId="2" fillId="12" borderId="7" xfId="0" applyFont="1" applyFill="1" applyBorder="1"/>
    <xf numFmtId="164" fontId="2" fillId="12" borderId="7" xfId="0" applyNumberFormat="1" applyFont="1" applyFill="1" applyBorder="1"/>
    <xf numFmtId="0" fontId="2" fillId="12" borderId="8" xfId="0" applyFont="1" applyFill="1" applyBorder="1"/>
    <xf numFmtId="0" fontId="2" fillId="13" borderId="7" xfId="0" applyFont="1" applyFill="1" applyBorder="1" applyAlignment="1">
      <alignment horizontal="center"/>
    </xf>
    <xf numFmtId="0" fontId="2" fillId="13" borderId="7" xfId="0" applyFont="1" applyFill="1" applyBorder="1"/>
    <xf numFmtId="164" fontId="2" fillId="13" borderId="7" xfId="0" applyNumberFormat="1" applyFont="1" applyFill="1" applyBorder="1"/>
    <xf numFmtId="0" fontId="2" fillId="13" borderId="8" xfId="0" applyFont="1" applyFill="1" applyBorder="1"/>
    <xf numFmtId="0" fontId="2" fillId="14" borderId="7" xfId="0" applyFont="1" applyFill="1" applyBorder="1" applyAlignment="1">
      <alignment horizontal="center"/>
    </xf>
    <xf numFmtId="0" fontId="2" fillId="14" borderId="7" xfId="0" applyFont="1" applyFill="1" applyBorder="1"/>
    <xf numFmtId="164" fontId="2" fillId="14" borderId="7" xfId="0" applyNumberFormat="1" applyFont="1" applyFill="1" applyBorder="1"/>
    <xf numFmtId="0" fontId="2" fillId="14" borderId="8" xfId="0" applyFont="1" applyFill="1" applyBorder="1"/>
    <xf numFmtId="0" fontId="2" fillId="11" borderId="7" xfId="0" applyFont="1" applyFill="1" applyBorder="1" applyAlignment="1">
      <alignment horizontal="center"/>
    </xf>
    <xf numFmtId="0" fontId="2" fillId="11" borderId="7" xfId="0" applyFont="1" applyFill="1" applyBorder="1"/>
    <xf numFmtId="164" fontId="2" fillId="11" borderId="7" xfId="0" applyNumberFormat="1" applyFont="1" applyFill="1" applyBorder="1"/>
    <xf numFmtId="0" fontId="2" fillId="15" borderId="7" xfId="0" applyFont="1" applyFill="1" applyBorder="1" applyAlignment="1">
      <alignment horizontal="center"/>
    </xf>
    <xf numFmtId="0" fontId="2" fillId="15" borderId="7" xfId="0" applyFont="1" applyFill="1" applyBorder="1"/>
    <xf numFmtId="164" fontId="2" fillId="15" borderId="7" xfId="0" applyNumberFormat="1" applyFont="1" applyFill="1" applyBorder="1"/>
    <xf numFmtId="0" fontId="2" fillId="15" borderId="8" xfId="0" applyFont="1" applyFill="1" applyBorder="1"/>
    <xf numFmtId="0" fontId="2" fillId="16" borderId="7" xfId="0" applyFont="1" applyFill="1" applyBorder="1" applyAlignment="1">
      <alignment horizontal="center"/>
    </xf>
    <xf numFmtId="0" fontId="2" fillId="16" borderId="7" xfId="0" applyFont="1" applyFill="1" applyBorder="1"/>
    <xf numFmtId="0" fontId="2" fillId="16" borderId="8" xfId="0" applyFont="1" applyFill="1" applyBorder="1"/>
    <xf numFmtId="0" fontId="2" fillId="13" borderId="12" xfId="0" applyFont="1" applyFill="1" applyBorder="1" applyAlignment="1">
      <alignment horizontal="center"/>
    </xf>
    <xf numFmtId="0" fontId="2" fillId="13" borderId="12" xfId="0" applyFont="1" applyFill="1" applyBorder="1"/>
    <xf numFmtId="0" fontId="2" fillId="13" borderId="14" xfId="0" applyFont="1" applyFill="1" applyBorder="1" applyAlignment="1">
      <alignment horizontal="center"/>
    </xf>
    <xf numFmtId="0" fontId="2" fillId="13" borderId="14" xfId="0" applyFont="1" applyFill="1" applyBorder="1"/>
    <xf numFmtId="0" fontId="2" fillId="17" borderId="7" xfId="0" applyFont="1" applyFill="1" applyBorder="1" applyAlignment="1">
      <alignment horizontal="center"/>
    </xf>
    <xf numFmtId="0" fontId="2" fillId="17" borderId="7" xfId="0" applyFont="1" applyFill="1" applyBorder="1"/>
    <xf numFmtId="0" fontId="2" fillId="17" borderId="8" xfId="0" applyFont="1" applyFill="1" applyBorder="1"/>
    <xf numFmtId="0" fontId="2" fillId="18" borderId="7" xfId="0" applyFont="1" applyFill="1" applyBorder="1" applyAlignment="1">
      <alignment horizontal="center"/>
    </xf>
    <xf numFmtId="0" fontId="2" fillId="18" borderId="7" xfId="0" applyFont="1" applyFill="1" applyBorder="1"/>
    <xf numFmtId="0" fontId="2" fillId="18" borderId="8" xfId="0" applyFont="1" applyFill="1" applyBorder="1"/>
    <xf numFmtId="0" fontId="2" fillId="18" borderId="12" xfId="0" applyFont="1" applyFill="1" applyBorder="1" applyAlignment="1">
      <alignment horizontal="center"/>
    </xf>
    <xf numFmtId="0" fontId="2" fillId="18" borderId="12" xfId="0" applyFont="1" applyFill="1" applyBorder="1"/>
    <xf numFmtId="0" fontId="2" fillId="2" borderId="12" xfId="0" applyFont="1" applyFill="1" applyBorder="1" applyAlignment="1">
      <alignment horizontal="center"/>
    </xf>
    <xf numFmtId="0" fontId="2" fillId="2" borderId="12" xfId="0" applyFont="1" applyFill="1" applyBorder="1"/>
    <xf numFmtId="0" fontId="2" fillId="0" borderId="7" xfId="0" applyFont="1" applyBorder="1"/>
    <xf numFmtId="164" fontId="2" fillId="0" borderId="7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0" fontId="1" fillId="0" borderId="0" xfId="0" applyFont="1"/>
    <xf numFmtId="164" fontId="2" fillId="0" borderId="12" xfId="0" applyNumberFormat="1" applyFont="1" applyBorder="1"/>
    <xf numFmtId="165" fontId="2" fillId="0" borderId="0" xfId="0" applyNumberFormat="1" applyFont="1"/>
    <xf numFmtId="2" fontId="5" fillId="0" borderId="7" xfId="0" applyNumberFormat="1" applyFont="1" applyBorder="1"/>
    <xf numFmtId="10" fontId="2" fillId="0" borderId="0" xfId="0" applyNumberFormat="1" applyFont="1"/>
    <xf numFmtId="2" fontId="2" fillId="2" borderId="7" xfId="0" applyNumberFormat="1" applyFont="1" applyFill="1" applyBorder="1"/>
    <xf numFmtId="1" fontId="2" fillId="0" borderId="0" xfId="0" applyNumberFormat="1" applyFont="1"/>
    <xf numFmtId="2" fontId="2" fillId="0" borderId="0" xfId="0" applyNumberFormat="1" applyFont="1"/>
    <xf numFmtId="1" fontId="2" fillId="0" borderId="2" xfId="0" applyNumberFormat="1" applyFont="1" applyBorder="1"/>
    <xf numFmtId="0" fontId="2" fillId="0" borderId="2" xfId="0" applyFont="1" applyBorder="1"/>
    <xf numFmtId="2" fontId="2" fillId="0" borderId="2" xfId="0" applyNumberFormat="1" applyFont="1" applyBorder="1"/>
    <xf numFmtId="2" fontId="2" fillId="5" borderId="7" xfId="0" applyNumberFormat="1" applyFont="1" applyFill="1" applyBorder="1"/>
    <xf numFmtId="2" fontId="2" fillId="0" borderId="7" xfId="0" applyNumberFormat="1" applyFont="1" applyBorder="1"/>
    <xf numFmtId="2" fontId="2" fillId="19" borderId="7" xfId="0" applyNumberFormat="1" applyFont="1" applyFill="1" applyBorder="1"/>
    <xf numFmtId="0" fontId="2" fillId="19" borderId="7" xfId="0" applyFont="1" applyFill="1" applyBorder="1"/>
    <xf numFmtId="164" fontId="2" fillId="19" borderId="7" xfId="0" applyNumberFormat="1" applyFont="1" applyFill="1" applyBorder="1"/>
    <xf numFmtId="2" fontId="5" fillId="2" borderId="7" xfId="0" applyNumberFormat="1" applyFont="1" applyFill="1" applyBorder="1"/>
    <xf numFmtId="2" fontId="5" fillId="19" borderId="7" xfId="0" applyNumberFormat="1" applyFont="1" applyFill="1" applyBorder="1"/>
    <xf numFmtId="2" fontId="2" fillId="0" borderId="12" xfId="0" applyNumberFormat="1" applyFont="1" applyBorder="1"/>
    <xf numFmtId="2" fontId="5" fillId="19" borderId="12" xfId="0" applyNumberFormat="1" applyFont="1" applyFill="1" applyBorder="1"/>
    <xf numFmtId="0" fontId="2" fillId="19" borderId="12" xfId="0" applyFont="1" applyFill="1" applyBorder="1"/>
    <xf numFmtId="2" fontId="1" fillId="0" borderId="2" xfId="0" applyNumberFormat="1" applyFont="1" applyBorder="1" applyAlignment="1">
      <alignment vertical="center" wrapText="1"/>
    </xf>
    <xf numFmtId="2" fontId="1" fillId="0" borderId="15" xfId="0" applyNumberFormat="1" applyFont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1" fillId="0" borderId="2" xfId="0" applyNumberFormat="1" applyFont="1" applyBorder="1" applyAlignment="1">
      <alignment horizontal="center" vertical="center" wrapText="1"/>
    </xf>
    <xf numFmtId="166" fontId="2" fillId="0" borderId="0" xfId="0" applyNumberFormat="1" applyFont="1"/>
    <xf numFmtId="2" fontId="5" fillId="5" borderId="7" xfId="0" applyNumberFormat="1" applyFont="1" applyFill="1" applyBorder="1"/>
    <xf numFmtId="2" fontId="2" fillId="2" borderId="12" xfId="0" applyNumberFormat="1" applyFont="1" applyFill="1" applyBorder="1"/>
    <xf numFmtId="0" fontId="1" fillId="0" borderId="0" xfId="0" applyFont="1" applyAlignment="1">
      <alignment horizontal="center"/>
    </xf>
    <xf numFmtId="0" fontId="3" fillId="20" borderId="0" xfId="0" applyFont="1" applyFill="1"/>
    <xf numFmtId="167" fontId="2" fillId="0" borderId="0" xfId="0" applyNumberFormat="1" applyFont="1"/>
    <xf numFmtId="0" fontId="2" fillId="21" borderId="8" xfId="0" applyFont="1" applyFill="1" applyBorder="1"/>
    <xf numFmtId="2" fontId="1" fillId="0" borderId="0" xfId="0" applyNumberFormat="1" applyFont="1"/>
    <xf numFmtId="0" fontId="2" fillId="0" borderId="0" xfId="0" applyFont="1"/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 wrapText="1"/>
    </xf>
    <xf numFmtId="2" fontId="1" fillId="0" borderId="18" xfId="0" applyNumberFormat="1" applyFont="1" applyBorder="1" applyAlignment="1">
      <alignment horizontal="center" vertical="center" wrapText="1"/>
    </xf>
    <xf numFmtId="2" fontId="1" fillId="22" borderId="23" xfId="0" applyNumberFormat="1" applyFont="1" applyFill="1" applyBorder="1" applyAlignment="1">
      <alignment horizontal="center" vertical="center" wrapText="1"/>
    </xf>
    <xf numFmtId="2" fontId="1" fillId="22" borderId="24" xfId="0" applyNumberFormat="1" applyFont="1" applyFill="1" applyBorder="1" applyAlignment="1">
      <alignment horizontal="center" vertical="center" wrapText="1"/>
    </xf>
    <xf numFmtId="2" fontId="1" fillId="21" borderId="23" xfId="0" applyNumberFormat="1" applyFont="1" applyFill="1" applyBorder="1" applyAlignment="1">
      <alignment horizontal="center" vertical="center" wrapText="1"/>
    </xf>
    <xf numFmtId="2" fontId="1" fillId="21" borderId="24" xfId="0" applyNumberFormat="1" applyFont="1" applyFill="1" applyBorder="1" applyAlignment="1">
      <alignment horizontal="center" vertical="center" wrapText="1"/>
    </xf>
    <xf numFmtId="0" fontId="1" fillId="23" borderId="13" xfId="0" applyFont="1" applyFill="1" applyBorder="1" applyAlignment="1">
      <alignment horizontal="center" vertical="center"/>
    </xf>
    <xf numFmtId="2" fontId="1" fillId="23" borderId="13" xfId="0" applyNumberFormat="1" applyFont="1" applyFill="1" applyBorder="1" applyAlignment="1">
      <alignment horizontal="center" vertical="center"/>
    </xf>
    <xf numFmtId="0" fontId="1" fillId="23" borderId="8" xfId="0" applyFont="1" applyFill="1" applyBorder="1" applyAlignment="1">
      <alignment horizontal="center" vertical="center"/>
    </xf>
    <xf numFmtId="0" fontId="1" fillId="22" borderId="8" xfId="0" applyFont="1" applyFill="1" applyBorder="1" applyAlignment="1">
      <alignment horizontal="center" vertical="center"/>
    </xf>
    <xf numFmtId="0" fontId="1" fillId="21" borderId="8" xfId="0" applyFont="1" applyFill="1" applyBorder="1" applyAlignment="1">
      <alignment horizontal="center" vertical="center"/>
    </xf>
    <xf numFmtId="0" fontId="2" fillId="23" borderId="7" xfId="0" applyFont="1" applyFill="1" applyBorder="1" applyAlignment="1">
      <alignment horizontal="center"/>
    </xf>
    <xf numFmtId="0" fontId="2" fillId="23" borderId="7" xfId="0" applyFont="1" applyFill="1" applyBorder="1"/>
    <xf numFmtId="164" fontId="2" fillId="23" borderId="7" xfId="0" applyNumberFormat="1" applyFont="1" applyFill="1" applyBorder="1"/>
    <xf numFmtId="2" fontId="6" fillId="23" borderId="0" xfId="0" applyNumberFormat="1" applyFont="1" applyFill="1" applyAlignment="1">
      <alignment horizontal="right"/>
    </xf>
    <xf numFmtId="2" fontId="2" fillId="23" borderId="7" xfId="0" applyNumberFormat="1" applyFont="1" applyFill="1" applyBorder="1"/>
    <xf numFmtId="0" fontId="2" fillId="23" borderId="8" xfId="0" applyFont="1" applyFill="1" applyBorder="1"/>
    <xf numFmtId="165" fontId="2" fillId="22" borderId="8" xfId="0" applyNumberFormat="1" applyFont="1" applyFill="1" applyBorder="1"/>
    <xf numFmtId="0" fontId="2" fillId="22" borderId="8" xfId="0" applyFont="1" applyFill="1" applyBorder="1"/>
    <xf numFmtId="165" fontId="2" fillId="21" borderId="8" xfId="0" applyNumberFormat="1" applyFont="1" applyFill="1" applyBorder="1"/>
    <xf numFmtId="2" fontId="6" fillId="23" borderId="15" xfId="0" applyNumberFormat="1" applyFont="1" applyFill="1" applyBorder="1" applyAlignment="1">
      <alignment horizontal="right"/>
    </xf>
    <xf numFmtId="2" fontId="6" fillId="23" borderId="28" xfId="0" applyNumberFormat="1" applyFont="1" applyFill="1" applyBorder="1" applyAlignment="1">
      <alignment horizontal="right"/>
    </xf>
    <xf numFmtId="0" fontId="2" fillId="22" borderId="8" xfId="0" applyFont="1" applyFill="1" applyBorder="1" applyAlignment="1"/>
    <xf numFmtId="0" fontId="2" fillId="0" borderId="0" xfId="0" applyFont="1" applyAlignment="1"/>
    <xf numFmtId="0" fontId="1" fillId="3" borderId="7" xfId="0" applyFont="1" applyFill="1" applyBorder="1"/>
    <xf numFmtId="164" fontId="1" fillId="3" borderId="7" xfId="0" applyNumberFormat="1" applyFont="1" applyFill="1" applyBorder="1"/>
    <xf numFmtId="2" fontId="2" fillId="3" borderId="7" xfId="0" applyNumberFormat="1" applyFont="1" applyFill="1" applyBorder="1"/>
    <xf numFmtId="165" fontId="1" fillId="3" borderId="8" xfId="0" applyNumberFormat="1" applyFont="1" applyFill="1" applyBorder="1"/>
    <xf numFmtId="165" fontId="1" fillId="5" borderId="8" xfId="0" applyNumberFormat="1" applyFont="1" applyFill="1" applyBorder="1"/>
    <xf numFmtId="0" fontId="1" fillId="9" borderId="7" xfId="0" applyFont="1" applyFill="1" applyBorder="1" applyAlignment="1">
      <alignment horizontal="center" vertical="center"/>
    </xf>
    <xf numFmtId="2" fontId="1" fillId="9" borderId="7" xfId="0" applyNumberFormat="1" applyFont="1" applyFill="1" applyBorder="1" applyAlignment="1">
      <alignment horizontal="center" vertical="center"/>
    </xf>
    <xf numFmtId="2" fontId="2" fillId="9" borderId="7" xfId="0" applyNumberFormat="1" applyFont="1" applyFill="1" applyBorder="1"/>
    <xf numFmtId="0" fontId="1" fillId="9" borderId="8" xfId="0" applyFont="1" applyFill="1" applyBorder="1" applyAlignment="1">
      <alignment horizontal="center" vertical="center"/>
    </xf>
    <xf numFmtId="2" fontId="6" fillId="9" borderId="15" xfId="0" applyNumberFormat="1" applyFont="1" applyFill="1" applyBorder="1" applyAlignment="1">
      <alignment horizontal="right"/>
    </xf>
    <xf numFmtId="2" fontId="6" fillId="9" borderId="28" xfId="0" applyNumberFormat="1" applyFont="1" applyFill="1" applyBorder="1" applyAlignment="1">
      <alignment horizontal="right"/>
    </xf>
    <xf numFmtId="2" fontId="6" fillId="9" borderId="0" xfId="0" applyNumberFormat="1" applyFont="1" applyFill="1" applyAlignment="1">
      <alignment horizontal="right"/>
    </xf>
    <xf numFmtId="2" fontId="1" fillId="0" borderId="7" xfId="0" applyNumberFormat="1" applyFont="1" applyBorder="1" applyAlignment="1">
      <alignment horizontal="center" vertical="center"/>
    </xf>
    <xf numFmtId="2" fontId="6" fillId="2" borderId="0" xfId="0" applyNumberFormat="1" applyFont="1" applyFill="1" applyAlignment="1">
      <alignment horizontal="right"/>
    </xf>
    <xf numFmtId="165" fontId="1" fillId="3" borderId="8" xfId="0" applyNumberFormat="1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/>
    </xf>
    <xf numFmtId="0" fontId="2" fillId="21" borderId="7" xfId="0" applyFont="1" applyFill="1" applyBorder="1"/>
    <xf numFmtId="164" fontId="2" fillId="21" borderId="7" xfId="0" applyNumberFormat="1" applyFont="1" applyFill="1" applyBorder="1"/>
    <xf numFmtId="2" fontId="6" fillId="21" borderId="0" xfId="0" applyNumberFormat="1" applyFont="1" applyFill="1" applyAlignment="1">
      <alignment horizontal="right"/>
    </xf>
    <xf numFmtId="2" fontId="2" fillId="21" borderId="7" xfId="0" applyNumberFormat="1" applyFont="1" applyFill="1" applyBorder="1"/>
    <xf numFmtId="0" fontId="7" fillId="0" borderId="0" xfId="0" applyFont="1" applyAlignment="1">
      <alignment horizontal="center" vertical="center"/>
    </xf>
    <xf numFmtId="0" fontId="2" fillId="24" borderId="7" xfId="0" applyFont="1" applyFill="1" applyBorder="1" applyAlignment="1">
      <alignment horizontal="center"/>
    </xf>
    <xf numFmtId="0" fontId="2" fillId="24" borderId="7" xfId="0" applyFont="1" applyFill="1" applyBorder="1"/>
    <xf numFmtId="2" fontId="6" fillId="24" borderId="0" xfId="0" applyNumberFormat="1" applyFont="1" applyFill="1" applyAlignment="1">
      <alignment horizontal="right"/>
    </xf>
    <xf numFmtId="2" fontId="2" fillId="24" borderId="7" xfId="0" applyNumberFormat="1" applyFont="1" applyFill="1" applyBorder="1"/>
    <xf numFmtId="0" fontId="2" fillId="24" borderId="8" xfId="0" applyFont="1" applyFill="1" applyBorder="1"/>
    <xf numFmtId="0" fontId="6" fillId="25" borderId="0" xfId="0" applyFont="1" applyFill="1" applyAlignment="1">
      <alignment horizontal="center"/>
    </xf>
    <xf numFmtId="0" fontId="6" fillId="25" borderId="0" xfId="0" applyFont="1" applyFill="1" applyAlignment="1">
      <alignment horizontal="center"/>
    </xf>
    <xf numFmtId="168" fontId="1" fillId="3" borderId="7" xfId="0" applyNumberFormat="1" applyFont="1" applyFill="1" applyBorder="1"/>
    <xf numFmtId="0" fontId="8" fillId="25" borderId="0" xfId="0" applyFont="1" applyFill="1" applyAlignment="1">
      <alignment horizontal="center"/>
    </xf>
    <xf numFmtId="0" fontId="2" fillId="26" borderId="7" xfId="0" applyFont="1" applyFill="1" applyBorder="1" applyAlignment="1">
      <alignment horizontal="center"/>
    </xf>
    <xf numFmtId="0" fontId="2" fillId="26" borderId="7" xfId="0" applyFont="1" applyFill="1" applyBorder="1"/>
    <xf numFmtId="2" fontId="6" fillId="26" borderId="0" xfId="0" applyNumberFormat="1" applyFont="1" applyFill="1" applyAlignment="1">
      <alignment horizontal="right"/>
    </xf>
    <xf numFmtId="2" fontId="2" fillId="26" borderId="7" xfId="0" applyNumberFormat="1" applyFont="1" applyFill="1" applyBorder="1"/>
    <xf numFmtId="0" fontId="2" fillId="26" borderId="8" xfId="0" applyFont="1" applyFill="1" applyBorder="1"/>
    <xf numFmtId="2" fontId="6" fillId="17" borderId="0" xfId="0" applyNumberFormat="1" applyFont="1" applyFill="1" applyAlignment="1">
      <alignment horizontal="right"/>
    </xf>
    <xf numFmtId="2" fontId="2" fillId="17" borderId="7" xfId="0" applyNumberFormat="1" applyFont="1" applyFill="1" applyBorder="1"/>
    <xf numFmtId="2" fontId="6" fillId="11" borderId="0" xfId="0" applyNumberFormat="1" applyFont="1" applyFill="1" applyAlignment="1">
      <alignment horizontal="right"/>
    </xf>
    <xf numFmtId="2" fontId="2" fillId="11" borderId="7" xfId="0" applyNumberFormat="1" applyFont="1" applyFill="1" applyBorder="1"/>
    <xf numFmtId="0" fontId="2" fillId="22" borderId="8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/>
    </xf>
    <xf numFmtId="0" fontId="2" fillId="9" borderId="12" xfId="0" applyFont="1" applyFill="1" applyBorder="1"/>
    <xf numFmtId="0" fontId="1" fillId="3" borderId="29" xfId="0" applyFont="1" applyFill="1" applyBorder="1"/>
    <xf numFmtId="168" fontId="1" fillId="3" borderId="8" xfId="0" applyNumberFormat="1" applyFont="1" applyFill="1" applyBorder="1"/>
    <xf numFmtId="2" fontId="2" fillId="3" borderId="8" xfId="0" applyNumberFormat="1" applyFont="1" applyFill="1" applyBorder="1"/>
    <xf numFmtId="165" fontId="1" fillId="4" borderId="8" xfId="0" applyNumberFormat="1" applyFont="1" applyFill="1" applyBorder="1"/>
    <xf numFmtId="169" fontId="1" fillId="2" borderId="8" xfId="0" applyNumberFormat="1" applyFont="1" applyFill="1" applyBorder="1"/>
    <xf numFmtId="0" fontId="2" fillId="2" borderId="0" xfId="0" applyFont="1" applyFill="1" applyAlignment="1"/>
    <xf numFmtId="164" fontId="1" fillId="4" borderId="8" xfId="0" applyNumberFormat="1" applyFont="1" applyFill="1" applyBorder="1"/>
    <xf numFmtId="170" fontId="1" fillId="2" borderId="0" xfId="0" applyNumberFormat="1" applyFont="1" applyFill="1" applyAlignment="1">
      <alignment horizontal="right"/>
    </xf>
    <xf numFmtId="0" fontId="2" fillId="2" borderId="0" xfId="0" applyFont="1" applyFill="1" applyAlignment="1"/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5" borderId="12" xfId="0" applyFont="1" applyFill="1" applyBorder="1"/>
    <xf numFmtId="2" fontId="1" fillId="2" borderId="2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2" fontId="2" fillId="2" borderId="8" xfId="0" applyNumberFormat="1" applyFont="1" applyFill="1" applyBorder="1"/>
    <xf numFmtId="0" fontId="1" fillId="0" borderId="13" xfId="0" applyFont="1" applyBorder="1" applyAlignment="1">
      <alignment horizontal="center" vertical="center"/>
    </xf>
    <xf numFmtId="0" fontId="2" fillId="19" borderId="7" xfId="0" applyFont="1" applyFill="1" applyBorder="1" applyAlignment="1">
      <alignment horizontal="center"/>
    </xf>
    <xf numFmtId="0" fontId="2" fillId="19" borderId="8" xfId="0" applyFont="1" applyFill="1" applyBorder="1"/>
    <xf numFmtId="0" fontId="1" fillId="0" borderId="15" xfId="0" applyFont="1" applyBorder="1" applyAlignment="1">
      <alignment horizontal="center" vertical="center"/>
    </xf>
    <xf numFmtId="2" fontId="1" fillId="0" borderId="17" xfId="0" applyNumberFormat="1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4" fillId="0" borderId="10" xfId="0" applyFont="1" applyBorder="1"/>
    <xf numFmtId="0" fontId="4" fillId="0" borderId="11" xfId="0" applyFont="1" applyBorder="1"/>
    <xf numFmtId="0" fontId="1" fillId="0" borderId="4" xfId="0" applyFont="1" applyBorder="1" applyAlignment="1">
      <alignment horizontal="left" vertical="center" wrapText="1"/>
    </xf>
    <xf numFmtId="0" fontId="4" fillId="0" borderId="5" xfId="0" applyFont="1" applyBorder="1"/>
    <xf numFmtId="0" fontId="4" fillId="0" borderId="6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4" fillId="0" borderId="15" xfId="0" applyFont="1" applyBorder="1"/>
    <xf numFmtId="0" fontId="4" fillId="0" borderId="20" xfId="0" applyFont="1" applyBorder="1"/>
    <xf numFmtId="0" fontId="1" fillId="23" borderId="25" xfId="0" applyFont="1" applyFill="1" applyBorder="1" applyAlignment="1">
      <alignment horizontal="left" vertical="center" wrapText="1"/>
    </xf>
    <xf numFmtId="0" fontId="4" fillId="0" borderId="26" xfId="0" applyFont="1" applyBorder="1"/>
    <xf numFmtId="0" fontId="4" fillId="0" borderId="27" xfId="0" applyFont="1" applyBorder="1"/>
    <xf numFmtId="0" fontId="1" fillId="9" borderId="9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2" fontId="1" fillId="0" borderId="16" xfId="0" applyNumberFormat="1" applyFont="1" applyBorder="1" applyAlignment="1">
      <alignment horizontal="center" vertical="center" wrapText="1"/>
    </xf>
    <xf numFmtId="2" fontId="1" fillId="22" borderId="16" xfId="0" applyNumberFormat="1" applyFont="1" applyFill="1" applyBorder="1" applyAlignment="1">
      <alignment horizontal="center" vertical="center" wrapText="1"/>
    </xf>
    <xf numFmtId="2" fontId="1" fillId="21" borderId="16" xfId="0" applyNumberFormat="1" applyFont="1" applyFill="1" applyBorder="1" applyAlignment="1">
      <alignment horizontal="center" vertical="center" wrapText="1"/>
    </xf>
    <xf numFmtId="2" fontId="1" fillId="21" borderId="19" xfId="0" applyNumberFormat="1" applyFont="1" applyFill="1" applyBorder="1" applyAlignment="1">
      <alignment horizontal="center" vertical="center" wrapText="1"/>
    </xf>
    <xf numFmtId="0" fontId="4" fillId="0" borderId="22" xfId="0" applyFont="1" applyBorder="1"/>
    <xf numFmtId="2" fontId="1" fillId="22" borderId="19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2" fontId="1" fillId="0" borderId="18" xfId="0" applyNumberFormat="1" applyFont="1" applyBorder="1" applyAlignment="1">
      <alignment horizontal="center" vertical="center" wrapText="1"/>
    </xf>
    <xf numFmtId="0" fontId="4" fillId="0" borderId="21" xfId="0" applyFont="1" applyBorder="1"/>
    <xf numFmtId="0" fontId="1" fillId="0" borderId="17" xfId="0" applyFont="1" applyBorder="1" applyAlignment="1">
      <alignment horizontal="center" vertical="center"/>
    </xf>
    <xf numFmtId="0" fontId="4" fillId="0" borderId="30" xfId="0" applyFont="1" applyBorder="1"/>
    <xf numFmtId="0" fontId="4" fillId="0" borderId="31" xfId="0" applyFont="1" applyBorder="1"/>
    <xf numFmtId="0" fontId="1" fillId="0" borderId="2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'Luas DI'!$F$2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FFE1-4A82-8FFF-83AC8808A6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FFE1-4A82-8FFF-83AC8808A6C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'Luas DI'!$G$3:$G$4</c:f>
              <c:strCache>
                <c:ptCount val="2"/>
                <c:pt idx="0">
                  <c:v>&lt;1000 ha</c:v>
                </c:pt>
                <c:pt idx="1">
                  <c:v>1000-3000 ha</c:v>
                </c:pt>
              </c:strCache>
            </c:strRef>
          </c:cat>
          <c:val>
            <c:numRef>
              <c:f>'Luas DI'!$F$3:$F$4</c:f>
              <c:numCache>
                <c:formatCode>0%</c:formatCode>
                <c:ptCount val="2"/>
                <c:pt idx="0">
                  <c:v>0.13488463931836675</c:v>
                </c:pt>
                <c:pt idx="1">
                  <c:v>0.86511536068163319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E1-4A82-8FFF-83AC8808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27409186351706033"/>
          <c:y val="0.80150408282298047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394A-4365-9ED2-8F3472EE8E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394A-4365-9ED2-8F3472EE8E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394A-4365-9ED2-8F3472EE8E9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fisik!$R$3:$R$5</c:f>
              <c:strCache>
                <c:ptCount val="3"/>
                <c:pt idx="0">
                  <c:v>Jelek</c:v>
                </c:pt>
                <c:pt idx="1">
                  <c:v>Sedang</c:v>
                </c:pt>
                <c:pt idx="2">
                  <c:v>Baik</c:v>
                </c:pt>
              </c:strCache>
            </c:strRef>
          </c:cat>
          <c:val>
            <c:numRef>
              <c:f>fisik!$S$3:$S$5</c:f>
              <c:numCache>
                <c:formatCode>0%</c:formatCode>
                <c:ptCount val="3"/>
                <c:pt idx="0">
                  <c:v>0.43258426966292135</c:v>
                </c:pt>
                <c:pt idx="1">
                  <c:v>0.550561797752809</c:v>
                </c:pt>
                <c:pt idx="2">
                  <c:v>1.6853932584269662E-2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4A-4365-9ED2-8F3472EE8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68400630561423725"/>
          <c:y val="0.35048301254009917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2F7-4031-9D50-4470234EA3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E2F7-4031-9D50-4470234EA3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E2F7-4031-9D50-4470234EA3F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fisik!$U$3:$U$5</c:f>
              <c:strCache>
                <c:ptCount val="3"/>
                <c:pt idx="0">
                  <c:v>Jelek</c:v>
                </c:pt>
                <c:pt idx="1">
                  <c:v>Sedang</c:v>
                </c:pt>
                <c:pt idx="2">
                  <c:v>Baik</c:v>
                </c:pt>
              </c:strCache>
            </c:strRef>
          </c:cat>
          <c:val>
            <c:numRef>
              <c:f>fisik!$V$3:$V$5</c:f>
              <c:numCache>
                <c:formatCode>0%</c:formatCode>
                <c:ptCount val="3"/>
                <c:pt idx="0">
                  <c:v>0.3426475515772342</c:v>
                </c:pt>
                <c:pt idx="1">
                  <c:v>0.62024316691398207</c:v>
                </c:pt>
                <c:pt idx="2">
                  <c:v>3.710928150878369E-2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F7-4031-9D50-4470234EA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68682209906882663"/>
          <c:y val="0.33659412365121033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DD4-474C-A94B-848AA198D3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2DD4-474C-A94B-848AA198D3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2DD4-474C-A94B-848AA198D3C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'Non fisik'!$O$3:$O$5</c:f>
              <c:strCache>
                <c:ptCount val="3"/>
                <c:pt idx="0">
                  <c:v>jelek</c:v>
                </c:pt>
                <c:pt idx="1">
                  <c:v>sedang</c:v>
                </c:pt>
                <c:pt idx="2">
                  <c:v>baik</c:v>
                </c:pt>
              </c:strCache>
            </c:strRef>
          </c:cat>
          <c:val>
            <c:numRef>
              <c:f>'Non fisik'!$P$3:$P$5</c:f>
              <c:numCache>
                <c:formatCode>0%</c:formatCode>
                <c:ptCount val="3"/>
                <c:pt idx="0">
                  <c:v>0.24157303370786518</c:v>
                </c:pt>
                <c:pt idx="1">
                  <c:v>0.651685393258427</c:v>
                </c:pt>
                <c:pt idx="2">
                  <c:v>0.10674157303370786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D4-474C-A94B-848AA198D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69481863947334466"/>
          <c:y val="0.36900153105861766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3D0-4183-8BC0-167E00AF90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3D0-4183-8BC0-167E00AF90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3D0-4183-8BC0-167E00AF903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'Non fisik'!$S$3:$S$5</c:f>
              <c:strCache>
                <c:ptCount val="3"/>
                <c:pt idx="0">
                  <c:v>jelek</c:v>
                </c:pt>
                <c:pt idx="1">
                  <c:v>sedang</c:v>
                </c:pt>
                <c:pt idx="2">
                  <c:v>baik</c:v>
                </c:pt>
              </c:strCache>
            </c:strRef>
          </c:cat>
          <c:val>
            <c:numRef>
              <c:f>'Non fisik'!$T$3:$T$5</c:f>
              <c:numCache>
                <c:formatCode>0%</c:formatCode>
                <c:ptCount val="3"/>
                <c:pt idx="0">
                  <c:v>0.23</c:v>
                </c:pt>
                <c:pt idx="1">
                  <c:v>0.67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D0-4183-8BC0-167E00AF9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70301536078482008"/>
          <c:y val="0.38752004957713621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A60-4FEB-8419-ECC11B608D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2A60-4FEB-8419-ECC11B608D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2A60-4FEB-8419-ECC11B608D5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IKSI!$F$2:$F$4</c:f>
              <c:strCache>
                <c:ptCount val="3"/>
                <c:pt idx="0">
                  <c:v>jelek</c:v>
                </c:pt>
                <c:pt idx="1">
                  <c:v>kurang</c:v>
                </c:pt>
                <c:pt idx="2">
                  <c:v>baik</c:v>
                </c:pt>
              </c:strCache>
            </c:strRef>
          </c:cat>
          <c:val>
            <c:numRef>
              <c:f>IKSI!$G$2:$G$4</c:f>
              <c:numCache>
                <c:formatCode>0%</c:formatCode>
                <c:ptCount val="3"/>
                <c:pt idx="0">
                  <c:v>0.12359550561797752</c:v>
                </c:pt>
                <c:pt idx="1">
                  <c:v>0.6629213483146067</c:v>
                </c:pt>
                <c:pt idx="2">
                  <c:v>0.21348314606741572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60-4FEB-8419-ECC11B608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63194613457408733"/>
          <c:y val="0.3921496792067658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85C2-47AC-8F5D-A2D6839EAA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85C2-47AC-8F5D-A2D6839EAA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85C2-47AC-8F5D-A2D6839EAA9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IKSI!$K$2:$K$4</c:f>
              <c:strCache>
                <c:ptCount val="3"/>
                <c:pt idx="0">
                  <c:v>jelek</c:v>
                </c:pt>
                <c:pt idx="1">
                  <c:v>kurang</c:v>
                </c:pt>
                <c:pt idx="2">
                  <c:v>baik</c:v>
                </c:pt>
              </c:strCache>
            </c:strRef>
          </c:cat>
          <c:val>
            <c:numRef>
              <c:f>IKSI!$L$2:$L$4</c:f>
              <c:numCache>
                <c:formatCode>0%</c:formatCode>
                <c:ptCount val="3"/>
                <c:pt idx="0">
                  <c:v>0.14000000000000001</c:v>
                </c:pt>
                <c:pt idx="1">
                  <c:v>0.72</c:v>
                </c:pt>
                <c:pt idx="2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C2-47AC-8F5D-A2D6839EA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64141583154378434"/>
          <c:y val="0.39677930883639545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8602970206341535"/>
          <c:y val="0.17634259259259263"/>
          <c:w val="0.77136596643831068"/>
          <c:h val="0.72088764946048411"/>
        </c:manualLayout>
      </c:layout>
      <c:barChart>
        <c:barDir val="bar"/>
        <c:grouping val="clustered"/>
        <c:varyColors val="1"/>
        <c:ser>
          <c:idx val="0"/>
          <c:order val="0"/>
          <c:tx>
            <c:v>Yang Ada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700" b="0" i="0">
                    <a:latin typeface="+mn-lt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average!$C$2:$C$8</c:f>
              <c:strCache>
                <c:ptCount val="7"/>
                <c:pt idx="0">
                  <c:v>Prasarana Fisik</c:v>
                </c:pt>
                <c:pt idx="1">
                  <c:v>Produktivitas</c:v>
                </c:pt>
                <c:pt idx="2">
                  <c:v>Sarana Penujang</c:v>
                </c:pt>
                <c:pt idx="3">
                  <c:v>Organisasi Personalia</c:v>
                </c:pt>
                <c:pt idx="4">
                  <c:v>Dokumentasi</c:v>
                </c:pt>
                <c:pt idx="5">
                  <c:v>P3A/GP3A/IP3A</c:v>
                </c:pt>
                <c:pt idx="6">
                  <c:v>Jumlah IKSI</c:v>
                </c:pt>
              </c:strCache>
            </c:strRef>
          </c:cat>
          <c:val>
            <c:numRef>
              <c:f>average!$D$2:$D$8</c:f>
              <c:numCache>
                <c:formatCode>0.00</c:formatCode>
                <c:ptCount val="7"/>
                <c:pt idx="0">
                  <c:v>28.132069551481514</c:v>
                </c:pt>
                <c:pt idx="1">
                  <c:v>11.854102185151497</c:v>
                </c:pt>
                <c:pt idx="2">
                  <c:v>6.2055456296969966</c:v>
                </c:pt>
                <c:pt idx="3">
                  <c:v>9.9658698721937693</c:v>
                </c:pt>
                <c:pt idx="4">
                  <c:v>3.4962514360250818</c:v>
                </c:pt>
                <c:pt idx="5">
                  <c:v>6.1105783591020062</c:v>
                </c:pt>
                <c:pt idx="6">
                  <c:v>65.764417033650872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F5D-4D2C-8895-F972FBCC3C2C}"/>
            </c:ext>
          </c:extLst>
        </c:ser>
        <c:ser>
          <c:idx val="1"/>
          <c:order val="1"/>
          <c:tx>
            <c:v>Maks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700" b="0" i="0">
                    <a:latin typeface="+mn-lt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average!$C$2:$C$8</c:f>
              <c:strCache>
                <c:ptCount val="7"/>
                <c:pt idx="0">
                  <c:v>Prasarana Fisik</c:v>
                </c:pt>
                <c:pt idx="1">
                  <c:v>Produktivitas</c:v>
                </c:pt>
                <c:pt idx="2">
                  <c:v>Sarana Penujang</c:v>
                </c:pt>
                <c:pt idx="3">
                  <c:v>Organisasi Personalia</c:v>
                </c:pt>
                <c:pt idx="4">
                  <c:v>Dokumentasi</c:v>
                </c:pt>
                <c:pt idx="5">
                  <c:v>P3A/GP3A/IP3A</c:v>
                </c:pt>
                <c:pt idx="6">
                  <c:v>Jumlah IKSI</c:v>
                </c:pt>
              </c:strCache>
            </c:strRef>
          </c:cat>
          <c:val>
            <c:numRef>
              <c:f>average!$E$2:$E$8</c:f>
              <c:numCache>
                <c:formatCode>0.00</c:formatCode>
                <c:ptCount val="7"/>
                <c:pt idx="0">
                  <c:v>45</c:v>
                </c:pt>
                <c:pt idx="1">
                  <c:v>15</c:v>
                </c:pt>
                <c:pt idx="2">
                  <c:v>10</c:v>
                </c:pt>
                <c:pt idx="3">
                  <c:v>15</c:v>
                </c:pt>
                <c:pt idx="4">
                  <c:v>5</c:v>
                </c:pt>
                <c:pt idx="5">
                  <c:v>10</c:v>
                </c:pt>
                <c:pt idx="6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F5D-4D2C-8895-F972FBCC3C2C}"/>
            </c:ext>
          </c:extLst>
        </c:ser>
        <c:ser>
          <c:idx val="2"/>
          <c:order val="2"/>
          <c:tx>
            <c:v>Min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700" b="0" i="0">
                    <a:latin typeface="+mn-lt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average!$C$2:$C$8</c:f>
              <c:strCache>
                <c:ptCount val="7"/>
                <c:pt idx="0">
                  <c:v>Prasarana Fisik</c:v>
                </c:pt>
                <c:pt idx="1">
                  <c:v>Produktivitas</c:v>
                </c:pt>
                <c:pt idx="2">
                  <c:v>Sarana Penujang</c:v>
                </c:pt>
                <c:pt idx="3">
                  <c:v>Organisasi Personalia</c:v>
                </c:pt>
                <c:pt idx="4">
                  <c:v>Dokumentasi</c:v>
                </c:pt>
                <c:pt idx="5">
                  <c:v>P3A/GP3A/IP3A</c:v>
                </c:pt>
                <c:pt idx="6">
                  <c:v>Jumlah IKSI</c:v>
                </c:pt>
              </c:strCache>
            </c:strRef>
          </c:cat>
          <c:val>
            <c:numRef>
              <c:f>average!$F$2:$F$8</c:f>
              <c:numCache>
                <c:formatCode>0.00</c:formatCode>
                <c:ptCount val="7"/>
                <c:pt idx="0">
                  <c:v>25</c:v>
                </c:pt>
                <c:pt idx="1">
                  <c:v>10</c:v>
                </c:pt>
                <c:pt idx="2">
                  <c:v>5</c:v>
                </c:pt>
                <c:pt idx="3">
                  <c:v>7.5</c:v>
                </c:pt>
                <c:pt idx="4">
                  <c:v>2.5</c:v>
                </c:pt>
                <c:pt idx="5">
                  <c:v>5</c:v>
                </c:pt>
                <c:pt idx="6">
                  <c:v>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F5D-4D2C-8895-F972FBCC3C2C}"/>
            </c:ext>
          </c:extLst>
        </c:ser>
        <c:ser>
          <c:idx val="3"/>
          <c:order val="3"/>
          <c:tx>
            <c:v>Optimum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700" b="0" i="0">
                    <a:latin typeface="+mn-lt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average!$C$2:$C$8</c:f>
              <c:strCache>
                <c:ptCount val="7"/>
                <c:pt idx="0">
                  <c:v>Prasarana Fisik</c:v>
                </c:pt>
                <c:pt idx="1">
                  <c:v>Produktivitas</c:v>
                </c:pt>
                <c:pt idx="2">
                  <c:v>Sarana Penujang</c:v>
                </c:pt>
                <c:pt idx="3">
                  <c:v>Organisasi Personalia</c:v>
                </c:pt>
                <c:pt idx="4">
                  <c:v>Dokumentasi</c:v>
                </c:pt>
                <c:pt idx="5">
                  <c:v>P3A/GP3A/IP3A</c:v>
                </c:pt>
                <c:pt idx="6">
                  <c:v>Jumlah IKSI</c:v>
                </c:pt>
              </c:strCache>
            </c:strRef>
          </c:cat>
          <c:val>
            <c:numRef>
              <c:f>average!$G$2:$G$8</c:f>
              <c:numCache>
                <c:formatCode>0.00</c:formatCode>
                <c:ptCount val="7"/>
                <c:pt idx="0">
                  <c:v>35</c:v>
                </c:pt>
                <c:pt idx="1">
                  <c:v>12.5</c:v>
                </c:pt>
                <c:pt idx="2">
                  <c:v>7.5</c:v>
                </c:pt>
                <c:pt idx="3">
                  <c:v>10</c:v>
                </c:pt>
                <c:pt idx="4">
                  <c:v>5</c:v>
                </c:pt>
                <c:pt idx="5">
                  <c:v>7.5</c:v>
                </c:pt>
                <c:pt idx="6">
                  <c:v>77.5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F5D-4D2C-8895-F972FBCC3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6676404"/>
        <c:axId val="1352675888"/>
      </c:barChart>
      <c:catAx>
        <c:axId val="9366764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1352675888"/>
        <c:crosses val="autoZero"/>
        <c:auto val="1"/>
        <c:lblAlgn val="ctr"/>
        <c:lblOffset val="100"/>
        <c:noMultiLvlLbl val="1"/>
      </c:catAx>
      <c:valAx>
        <c:axId val="1352675888"/>
        <c:scaling>
          <c:orientation val="minMax"/>
          <c:max val="1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id-ID"/>
          </a:p>
        </c:txPr>
        <c:crossAx val="936676404"/>
        <c:crosses val="max"/>
        <c:crossBetween val="between"/>
        <c:majorUnit val="25"/>
        <c:minorUnit val="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3BCDBC"/>
              </a:solidFill>
            </c:spPr>
            <c:extLst>
              <c:ext xmlns:c16="http://schemas.microsoft.com/office/drawing/2014/chart" uri="{C3380CC4-5D6E-409C-BE32-E72D297353CC}">
                <c16:uniqueId val="{00000001-7B9E-4FD7-B494-87E2188EDE93}"/>
              </c:ext>
            </c:extLst>
          </c:dPt>
          <c:dPt>
            <c:idx val="1"/>
            <c:bubble3D val="0"/>
            <c:spPr>
              <a:solidFill>
                <a:srgbClr val="EFBBA3"/>
              </a:solidFill>
            </c:spPr>
            <c:extLst>
              <c:ext xmlns:c16="http://schemas.microsoft.com/office/drawing/2014/chart" uri="{C3380CC4-5D6E-409C-BE32-E72D297353CC}">
                <c16:uniqueId val="{00000003-7B9E-4FD7-B494-87E2188EDE93}"/>
              </c:ext>
            </c:extLst>
          </c:dPt>
          <c:dPt>
            <c:idx val="2"/>
            <c:bubble3D val="0"/>
            <c:spPr>
              <a:solidFill>
                <a:srgbClr val="D6D7FC"/>
              </a:solidFill>
            </c:spPr>
            <c:extLst>
              <c:ext xmlns:c16="http://schemas.microsoft.com/office/drawing/2014/chart" uri="{C3380CC4-5D6E-409C-BE32-E72D297353CC}">
                <c16:uniqueId val="{00000005-7B9E-4FD7-B494-87E2188EDE93}"/>
              </c:ext>
            </c:extLst>
          </c:dPt>
          <c:dPt>
            <c:idx val="3"/>
            <c:bubble3D val="0"/>
            <c:spPr>
              <a:solidFill>
                <a:srgbClr val="C84087"/>
              </a:solidFill>
            </c:spPr>
            <c:extLst>
              <c:ext xmlns:c16="http://schemas.microsoft.com/office/drawing/2014/chart" uri="{C3380CC4-5D6E-409C-BE32-E72D297353CC}">
                <c16:uniqueId val="{00000007-7B9E-4FD7-B494-87E2188EDE9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'penanganan ok'!$O$4:$O$7</c:f>
              <c:strCache>
                <c:ptCount val="4"/>
                <c:pt idx="0">
                  <c:v>Rehabilitasi</c:v>
                </c:pt>
                <c:pt idx="1">
                  <c:v>Pemeliharaan Berkala Bersifat Penggantian</c:v>
                </c:pt>
                <c:pt idx="2">
                  <c:v>Pemeliharaan Berkala Bersifat Perbaikan</c:v>
                </c:pt>
                <c:pt idx="3">
                  <c:v>Pemeliharaan Berkala Bersifat Perawatan</c:v>
                </c:pt>
              </c:strCache>
            </c:strRef>
          </c:cat>
          <c:val>
            <c:numRef>
              <c:f>'penanganan ok'!$P$4:$P$7</c:f>
              <c:numCache>
                <c:formatCode>0%</c:formatCode>
                <c:ptCount val="4"/>
                <c:pt idx="0">
                  <c:v>7.3033707865168537E-2</c:v>
                </c:pt>
                <c:pt idx="1">
                  <c:v>0.15730337078651685</c:v>
                </c:pt>
                <c:pt idx="2">
                  <c:v>0.7528089887640449</c:v>
                </c:pt>
                <c:pt idx="3">
                  <c:v>1.6853932584269662E-2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9E-4FD7-B494-87E2188ED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57838441537493179"/>
          <c:y val="0.3597422717993584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3BCDBC"/>
              </a:solidFill>
            </c:spPr>
            <c:extLst>
              <c:ext xmlns:c16="http://schemas.microsoft.com/office/drawing/2014/chart" uri="{C3380CC4-5D6E-409C-BE32-E72D297353CC}">
                <c16:uniqueId val="{00000001-5DF1-4EAC-8803-08FDB3C5750F}"/>
              </c:ext>
            </c:extLst>
          </c:dPt>
          <c:dPt>
            <c:idx val="1"/>
            <c:bubble3D val="0"/>
            <c:spPr>
              <a:solidFill>
                <a:srgbClr val="EFBBA3"/>
              </a:solidFill>
            </c:spPr>
            <c:extLst>
              <c:ext xmlns:c16="http://schemas.microsoft.com/office/drawing/2014/chart" uri="{C3380CC4-5D6E-409C-BE32-E72D297353CC}">
                <c16:uniqueId val="{00000003-5DF1-4EAC-8803-08FDB3C5750F}"/>
              </c:ext>
            </c:extLst>
          </c:dPt>
          <c:dPt>
            <c:idx val="2"/>
            <c:bubble3D val="0"/>
            <c:spPr>
              <a:solidFill>
                <a:srgbClr val="D6D7FC"/>
              </a:solidFill>
            </c:spPr>
            <c:extLst>
              <c:ext xmlns:c16="http://schemas.microsoft.com/office/drawing/2014/chart" uri="{C3380CC4-5D6E-409C-BE32-E72D297353CC}">
                <c16:uniqueId val="{00000005-5DF1-4EAC-8803-08FDB3C5750F}"/>
              </c:ext>
            </c:extLst>
          </c:dPt>
          <c:dPt>
            <c:idx val="3"/>
            <c:bubble3D val="0"/>
            <c:spPr>
              <a:solidFill>
                <a:srgbClr val="C84087"/>
              </a:solidFill>
            </c:spPr>
            <c:extLst>
              <c:ext xmlns:c16="http://schemas.microsoft.com/office/drawing/2014/chart" uri="{C3380CC4-5D6E-409C-BE32-E72D297353CC}">
                <c16:uniqueId val="{00000007-5DF1-4EAC-8803-08FDB3C5750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'penanganan ok'!$T$4:$T$7</c:f>
              <c:strCache>
                <c:ptCount val="4"/>
                <c:pt idx="0">
                  <c:v>Rehabilitasi</c:v>
                </c:pt>
                <c:pt idx="1">
                  <c:v>Pemeliharaan Berkala Bersifat Penggantian</c:v>
                </c:pt>
                <c:pt idx="2">
                  <c:v>Pemeliharaan Berkala Bersifat Perbaikan</c:v>
                </c:pt>
                <c:pt idx="3">
                  <c:v>Pemeliharaan Berkala Bersifat Perawatan</c:v>
                </c:pt>
              </c:strCache>
            </c:strRef>
          </c:cat>
          <c:val>
            <c:numRef>
              <c:f>'penanganan ok'!$U$4:$U$7</c:f>
              <c:numCache>
                <c:formatCode>0%</c:formatCode>
                <c:ptCount val="4"/>
                <c:pt idx="0">
                  <c:v>6.1910631372361302E-2</c:v>
                </c:pt>
                <c:pt idx="1">
                  <c:v>0.16488559666842181</c:v>
                </c:pt>
                <c:pt idx="2">
                  <c:v>0.73609449045043318</c:v>
                </c:pt>
                <c:pt idx="3">
                  <c:v>3.710928150878369E-2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F1-4EAC-8803-08FDB3C57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57623602410420138"/>
          <c:y val="0.37826079031787696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650-4138-BBCC-02D960F59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2650-4138-BBCC-02D960F597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2650-4138-BBCC-02D960F597D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penanganan!$O$3:$O$5</c:f>
              <c:strCache>
                <c:ptCount val="3"/>
                <c:pt idx="0">
                  <c:v>Rehabilitasi</c:v>
                </c:pt>
                <c:pt idx="1">
                  <c:v>Pemeliharaan Berkala</c:v>
                </c:pt>
                <c:pt idx="2">
                  <c:v>O&amp;P Rutin</c:v>
                </c:pt>
              </c:strCache>
            </c:strRef>
          </c:cat>
          <c:val>
            <c:numRef>
              <c:f>penanganan!$P$3:$P$5</c:f>
              <c:numCache>
                <c:formatCode>0%</c:formatCode>
                <c:ptCount val="3"/>
                <c:pt idx="0">
                  <c:v>0.10112359550561797</c:v>
                </c:pt>
                <c:pt idx="1">
                  <c:v>0.8820224719101124</c:v>
                </c:pt>
                <c:pt idx="2">
                  <c:v>1.6853932584269662E-2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50-4138-BBCC-02D960F59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5984245301259441"/>
          <c:y val="0.33659412365121033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726-491A-93B5-758DBAE2EB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2726-491A-93B5-758DBAE2EB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2726-491A-93B5-758DBAE2EB8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penanganan!$T$3:$T$5</c:f>
              <c:strCache>
                <c:ptCount val="3"/>
                <c:pt idx="0">
                  <c:v>Rehabilitasi</c:v>
                </c:pt>
                <c:pt idx="1">
                  <c:v>Pemeliharaan Berkala</c:v>
                </c:pt>
                <c:pt idx="2">
                  <c:v>O&amp;P Rutin</c:v>
                </c:pt>
              </c:strCache>
            </c:strRef>
          </c:cat>
          <c:val>
            <c:numRef>
              <c:f>penanganan!$U$3:$U$5</c:f>
              <c:numCache>
                <c:formatCode>0%</c:formatCode>
                <c:ptCount val="3"/>
                <c:pt idx="0">
                  <c:v>7.678545785266383E-2</c:v>
                </c:pt>
                <c:pt idx="1">
                  <c:v>0.88610526063855244</c:v>
                </c:pt>
                <c:pt idx="2">
                  <c:v>3.710928150878369E-2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26-491A-93B5-758DBAE2E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60406946379797355"/>
          <c:y val="0.38752004957713621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id-ID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7</xdr:row>
      <xdr:rowOff>161925</xdr:rowOff>
    </xdr:from>
    <xdr:ext cx="4371975" cy="3000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10</xdr:row>
      <xdr:rowOff>123825</xdr:rowOff>
    </xdr:from>
    <xdr:ext cx="4838700" cy="30003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18</xdr:col>
      <xdr:colOff>314325</xdr:colOff>
      <xdr:row>9</xdr:row>
      <xdr:rowOff>171450</xdr:rowOff>
    </xdr:from>
    <xdr:ext cx="4562475" cy="300037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8</xdr:row>
      <xdr:rowOff>9525</xdr:rowOff>
    </xdr:from>
    <xdr:ext cx="4505325" cy="3000375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0</xdr:colOff>
      <xdr:row>26</xdr:row>
      <xdr:rowOff>0</xdr:rowOff>
    </xdr:from>
    <xdr:ext cx="4505325" cy="3000375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7</xdr:row>
      <xdr:rowOff>0</xdr:rowOff>
    </xdr:from>
    <xdr:ext cx="6438900" cy="3000375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95250</xdr:colOff>
      <xdr:row>6</xdr:row>
      <xdr:rowOff>152400</xdr:rowOff>
    </xdr:from>
    <xdr:ext cx="6391275" cy="3000375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542925</xdr:colOff>
      <xdr:row>1</xdr:row>
      <xdr:rowOff>95250</xdr:rowOff>
    </xdr:from>
    <xdr:ext cx="6019800" cy="4857750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485775</xdr:colOff>
      <xdr:row>10</xdr:row>
      <xdr:rowOff>9525</xdr:rowOff>
    </xdr:from>
    <xdr:ext cx="11010900" cy="2867025"/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590550</xdr:colOff>
      <xdr:row>26</xdr:row>
      <xdr:rowOff>9525</xdr:rowOff>
    </xdr:from>
    <xdr:ext cx="11591925" cy="3000375"/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495300</xdr:colOff>
      <xdr:row>8</xdr:row>
      <xdr:rowOff>152400</xdr:rowOff>
    </xdr:from>
    <xdr:ext cx="8658225" cy="2847975"/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0</xdr:colOff>
      <xdr:row>25</xdr:row>
      <xdr:rowOff>0</xdr:rowOff>
    </xdr:from>
    <xdr:ext cx="8677275" cy="3000375"/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J11" sqref="J11"/>
    </sheetView>
  </sheetViews>
  <sheetFormatPr defaultColWidth="14.44140625" defaultRowHeight="15" customHeight="1" x14ac:dyDescent="0.3"/>
  <cols>
    <col min="1" max="1" width="8.6640625" customWidth="1"/>
    <col min="2" max="2" width="31.33203125" customWidth="1"/>
    <col min="3" max="3" width="18.6640625" customWidth="1"/>
    <col min="4" max="4" width="29.33203125" customWidth="1"/>
    <col min="5" max="5" width="16.88671875" customWidth="1"/>
    <col min="6" max="26" width="8.6640625" customWidth="1"/>
  </cols>
  <sheetData>
    <row r="1" spans="1:26" ht="4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3">
        <v>1</v>
      </c>
      <c r="B2" s="4" t="s">
        <v>5</v>
      </c>
      <c r="C2" s="4">
        <v>1085</v>
      </c>
      <c r="D2" s="4" t="s">
        <v>6</v>
      </c>
      <c r="E2" s="4">
        <v>35000184</v>
      </c>
    </row>
    <row r="3" spans="1:26" ht="14.4" x14ac:dyDescent="0.3">
      <c r="A3" s="3">
        <v>2</v>
      </c>
      <c r="B3" s="4" t="s">
        <v>7</v>
      </c>
      <c r="C3" s="4">
        <v>1807</v>
      </c>
      <c r="D3" s="4" t="s">
        <v>6</v>
      </c>
      <c r="E3" s="4">
        <v>35000185</v>
      </c>
    </row>
    <row r="4" spans="1:26" ht="14.4" x14ac:dyDescent="0.3">
      <c r="A4" s="3">
        <v>3</v>
      </c>
      <c r="B4" s="4" t="s">
        <v>8</v>
      </c>
      <c r="C4" s="4">
        <v>1523</v>
      </c>
      <c r="D4" s="4" t="s">
        <v>9</v>
      </c>
      <c r="E4" s="4">
        <v>35000155</v>
      </c>
    </row>
    <row r="5" spans="1:26" ht="14.4" x14ac:dyDescent="0.3">
      <c r="A5" s="3">
        <v>4</v>
      </c>
      <c r="B5" s="4" t="s">
        <v>10</v>
      </c>
      <c r="C5" s="4">
        <v>1736</v>
      </c>
      <c r="D5" s="4" t="s">
        <v>9</v>
      </c>
      <c r="E5" s="4">
        <v>35000153</v>
      </c>
    </row>
    <row r="6" spans="1:26" ht="14.4" x14ac:dyDescent="0.3">
      <c r="A6" s="3">
        <v>5</v>
      </c>
      <c r="B6" s="4" t="s">
        <v>11</v>
      </c>
      <c r="C6" s="4">
        <v>1074</v>
      </c>
      <c r="D6" s="4" t="s">
        <v>9</v>
      </c>
      <c r="E6" s="4">
        <v>35000154</v>
      </c>
    </row>
    <row r="7" spans="1:26" ht="14.4" x14ac:dyDescent="0.3">
      <c r="A7" s="3">
        <v>6</v>
      </c>
      <c r="B7" s="4" t="s">
        <v>12</v>
      </c>
      <c r="C7" s="4">
        <v>1763</v>
      </c>
      <c r="D7" s="4" t="s">
        <v>13</v>
      </c>
      <c r="E7" s="4">
        <v>35000194</v>
      </c>
    </row>
    <row r="8" spans="1:26" ht="14.4" x14ac:dyDescent="0.3">
      <c r="A8" s="3">
        <v>7</v>
      </c>
      <c r="B8" s="4" t="s">
        <v>14</v>
      </c>
      <c r="C8" s="4">
        <v>1733</v>
      </c>
      <c r="D8" s="4" t="s">
        <v>15</v>
      </c>
      <c r="E8" s="4">
        <v>35000134</v>
      </c>
    </row>
    <row r="9" spans="1:26" ht="14.4" x14ac:dyDescent="0.3">
      <c r="A9" s="3">
        <v>8</v>
      </c>
      <c r="B9" s="4" t="s">
        <v>16</v>
      </c>
      <c r="C9" s="4">
        <v>1347</v>
      </c>
      <c r="D9" s="4" t="s">
        <v>15</v>
      </c>
      <c r="E9" s="4">
        <v>35000133</v>
      </c>
    </row>
    <row r="10" spans="1:26" ht="14.4" x14ac:dyDescent="0.3">
      <c r="A10" s="3">
        <v>9</v>
      </c>
      <c r="B10" s="4" t="s">
        <v>17</v>
      </c>
      <c r="C10" s="4">
        <v>1144</v>
      </c>
      <c r="D10" s="4" t="s">
        <v>15</v>
      </c>
      <c r="E10" s="4">
        <v>35000132</v>
      </c>
    </row>
    <row r="11" spans="1:26" ht="14.4" x14ac:dyDescent="0.3">
      <c r="A11" s="3">
        <v>10</v>
      </c>
      <c r="B11" s="4" t="s">
        <v>18</v>
      </c>
      <c r="C11" s="4">
        <v>1074</v>
      </c>
      <c r="D11" s="4" t="s">
        <v>19</v>
      </c>
      <c r="E11" s="4">
        <v>35000149</v>
      </c>
    </row>
    <row r="12" spans="1:26" ht="14.4" x14ac:dyDescent="0.3">
      <c r="A12" s="3">
        <v>11</v>
      </c>
      <c r="B12" s="4" t="s">
        <v>20</v>
      </c>
      <c r="C12" s="4">
        <v>1499</v>
      </c>
      <c r="D12" s="4" t="s">
        <v>19</v>
      </c>
      <c r="E12" s="4">
        <v>35000150</v>
      </c>
    </row>
    <row r="13" spans="1:26" ht="14.4" x14ac:dyDescent="0.3">
      <c r="A13" s="3">
        <v>12</v>
      </c>
      <c r="B13" s="4" t="s">
        <v>21</v>
      </c>
      <c r="C13" s="4">
        <v>1476</v>
      </c>
      <c r="D13" s="4" t="s">
        <v>22</v>
      </c>
      <c r="E13" s="4">
        <v>35000147</v>
      </c>
    </row>
    <row r="14" spans="1:26" ht="14.4" x14ac:dyDescent="0.3">
      <c r="A14" s="3">
        <v>13</v>
      </c>
      <c r="B14" s="4" t="s">
        <v>23</v>
      </c>
      <c r="C14" s="4">
        <v>1054</v>
      </c>
      <c r="D14" s="4" t="s">
        <v>22</v>
      </c>
      <c r="E14" s="4">
        <v>35000145</v>
      </c>
    </row>
    <row r="15" spans="1:26" ht="14.4" x14ac:dyDescent="0.3">
      <c r="A15" s="3">
        <v>14</v>
      </c>
      <c r="B15" s="4" t="s">
        <v>24</v>
      </c>
      <c r="C15" s="4">
        <v>1430</v>
      </c>
      <c r="D15" s="4" t="s">
        <v>22</v>
      </c>
      <c r="E15" s="4">
        <v>35000148</v>
      </c>
    </row>
    <row r="16" spans="1:26" ht="14.4" x14ac:dyDescent="0.3">
      <c r="A16" s="3">
        <v>15</v>
      </c>
      <c r="B16" s="4" t="s">
        <v>25</v>
      </c>
      <c r="C16" s="4">
        <v>2188</v>
      </c>
      <c r="D16" s="4" t="s">
        <v>26</v>
      </c>
      <c r="E16" s="4">
        <v>35000161</v>
      </c>
    </row>
    <row r="17" spans="1:5" ht="14.4" x14ac:dyDescent="0.3">
      <c r="A17" s="3">
        <v>16</v>
      </c>
      <c r="B17" s="4" t="s">
        <v>27</v>
      </c>
      <c r="C17" s="4">
        <v>1239</v>
      </c>
      <c r="D17" s="4" t="s">
        <v>26</v>
      </c>
      <c r="E17" s="4">
        <v>35000158</v>
      </c>
    </row>
    <row r="18" spans="1:5" ht="14.4" x14ac:dyDescent="0.3">
      <c r="A18" s="3">
        <v>17</v>
      </c>
      <c r="B18" s="4" t="s">
        <v>28</v>
      </c>
      <c r="C18" s="4">
        <v>2323</v>
      </c>
      <c r="D18" s="4" t="s">
        <v>26</v>
      </c>
      <c r="E18" s="4">
        <v>35000163</v>
      </c>
    </row>
    <row r="19" spans="1:5" ht="14.4" x14ac:dyDescent="0.3">
      <c r="A19" s="3">
        <v>18</v>
      </c>
      <c r="B19" s="4" t="s">
        <v>29</v>
      </c>
      <c r="C19" s="4">
        <v>1447</v>
      </c>
      <c r="D19" s="4" t="s">
        <v>26</v>
      </c>
      <c r="E19" s="4">
        <v>35000157</v>
      </c>
    </row>
    <row r="20" spans="1:5" ht="14.4" x14ac:dyDescent="0.3">
      <c r="A20" s="3">
        <v>19</v>
      </c>
      <c r="B20" s="4" t="s">
        <v>30</v>
      </c>
      <c r="C20" s="4">
        <v>2056</v>
      </c>
      <c r="D20" s="4" t="s">
        <v>26</v>
      </c>
      <c r="E20" s="4">
        <v>35000162</v>
      </c>
    </row>
    <row r="21" spans="1:5" ht="15.75" customHeight="1" x14ac:dyDescent="0.3">
      <c r="A21" s="3">
        <v>20</v>
      </c>
      <c r="B21" s="4" t="s">
        <v>31</v>
      </c>
      <c r="C21" s="4">
        <v>1879</v>
      </c>
      <c r="D21" s="4" t="s">
        <v>26</v>
      </c>
      <c r="E21" s="4">
        <v>35000160</v>
      </c>
    </row>
    <row r="22" spans="1:5" ht="15.75" customHeight="1" x14ac:dyDescent="0.3">
      <c r="A22" s="3">
        <v>21</v>
      </c>
      <c r="B22" s="4" t="s">
        <v>32</v>
      </c>
      <c r="C22" s="4">
        <v>1244</v>
      </c>
      <c r="D22" s="4" t="s">
        <v>26</v>
      </c>
      <c r="E22" s="4">
        <v>35000159</v>
      </c>
    </row>
    <row r="23" spans="1:5" ht="15.75" customHeight="1" x14ac:dyDescent="0.3">
      <c r="A23" s="3">
        <v>22</v>
      </c>
      <c r="B23" s="4" t="s">
        <v>33</v>
      </c>
      <c r="C23" s="4">
        <v>1393</v>
      </c>
      <c r="D23" s="4" t="s">
        <v>26</v>
      </c>
      <c r="E23" s="4">
        <v>35000156</v>
      </c>
    </row>
    <row r="24" spans="1:5" ht="15.75" customHeight="1" x14ac:dyDescent="0.3">
      <c r="A24" s="3">
        <v>23</v>
      </c>
      <c r="B24" s="4" t="s">
        <v>34</v>
      </c>
      <c r="C24" s="4">
        <v>1812</v>
      </c>
      <c r="D24" s="4" t="s">
        <v>35</v>
      </c>
      <c r="E24" s="4">
        <v>35000111</v>
      </c>
    </row>
    <row r="25" spans="1:5" ht="15.75" customHeight="1" x14ac:dyDescent="0.3">
      <c r="A25" s="3">
        <v>24</v>
      </c>
      <c r="B25" s="4" t="s">
        <v>36</v>
      </c>
      <c r="C25" s="4">
        <v>1182</v>
      </c>
      <c r="D25" s="4" t="s">
        <v>35</v>
      </c>
      <c r="E25" s="4">
        <v>35000110</v>
      </c>
    </row>
    <row r="26" spans="1:5" ht="15.75" customHeight="1" x14ac:dyDescent="0.3">
      <c r="A26" s="3">
        <v>25</v>
      </c>
      <c r="B26" s="4" t="s">
        <v>37</v>
      </c>
      <c r="C26" s="4">
        <v>1274</v>
      </c>
      <c r="D26" s="4" t="s">
        <v>38</v>
      </c>
      <c r="E26" s="4">
        <v>35000142</v>
      </c>
    </row>
    <row r="27" spans="1:5" ht="15.75" customHeight="1" x14ac:dyDescent="0.3">
      <c r="A27" s="3">
        <v>26</v>
      </c>
      <c r="B27" s="4" t="s">
        <v>39</v>
      </c>
      <c r="C27" s="4">
        <v>1779</v>
      </c>
      <c r="D27" s="4" t="s">
        <v>38</v>
      </c>
      <c r="E27" s="4">
        <v>35000144</v>
      </c>
    </row>
    <row r="28" spans="1:5" ht="15.75" customHeight="1" x14ac:dyDescent="0.3">
      <c r="A28" s="3">
        <v>27</v>
      </c>
      <c r="B28" s="4" t="s">
        <v>40</v>
      </c>
      <c r="C28" s="4">
        <v>1661</v>
      </c>
      <c r="D28" s="4" t="s">
        <v>38</v>
      </c>
      <c r="E28" s="4">
        <v>35000143</v>
      </c>
    </row>
    <row r="29" spans="1:5" ht="15.75" customHeight="1" x14ac:dyDescent="0.3">
      <c r="A29" s="3">
        <v>28</v>
      </c>
      <c r="B29" s="4" t="s">
        <v>41</v>
      </c>
      <c r="C29" s="4">
        <v>1044</v>
      </c>
      <c r="D29" s="4" t="s">
        <v>38</v>
      </c>
      <c r="E29" s="4">
        <v>35000139</v>
      </c>
    </row>
    <row r="30" spans="1:5" ht="15.75" customHeight="1" x14ac:dyDescent="0.3">
      <c r="A30" s="3">
        <v>29</v>
      </c>
      <c r="B30" s="4" t="s">
        <v>42</v>
      </c>
      <c r="C30" s="4">
        <v>1094</v>
      </c>
      <c r="D30" s="4" t="s">
        <v>43</v>
      </c>
      <c r="E30" s="4">
        <v>35000168</v>
      </c>
    </row>
    <row r="31" spans="1:5" ht="15.75" customHeight="1" x14ac:dyDescent="0.3">
      <c r="A31" s="3">
        <v>30</v>
      </c>
      <c r="B31" s="4" t="s">
        <v>44</v>
      </c>
      <c r="C31" s="4">
        <v>1867</v>
      </c>
      <c r="D31" s="4" t="s">
        <v>43</v>
      </c>
      <c r="E31" s="4">
        <v>35000166</v>
      </c>
    </row>
    <row r="32" spans="1:5" ht="15.75" customHeight="1" x14ac:dyDescent="0.3">
      <c r="A32" s="3">
        <v>31</v>
      </c>
      <c r="B32" s="4" t="s">
        <v>45</v>
      </c>
      <c r="C32" s="4">
        <v>1088</v>
      </c>
      <c r="D32" s="4" t="s">
        <v>43</v>
      </c>
      <c r="E32" s="4">
        <v>35000169</v>
      </c>
    </row>
    <row r="33" spans="1:5" ht="15.75" customHeight="1" x14ac:dyDescent="0.3">
      <c r="A33" s="3">
        <v>32</v>
      </c>
      <c r="B33" s="4" t="s">
        <v>46</v>
      </c>
      <c r="C33" s="4">
        <v>1920</v>
      </c>
      <c r="D33" s="4" t="s">
        <v>43</v>
      </c>
      <c r="E33" s="4">
        <v>35000165</v>
      </c>
    </row>
    <row r="34" spans="1:5" ht="15.75" customHeight="1" x14ac:dyDescent="0.3">
      <c r="A34" s="3">
        <v>33</v>
      </c>
      <c r="B34" s="4" t="s">
        <v>47</v>
      </c>
      <c r="C34" s="4">
        <v>1262</v>
      </c>
      <c r="D34" s="4" t="s">
        <v>43</v>
      </c>
      <c r="E34" s="4">
        <v>35000167</v>
      </c>
    </row>
    <row r="35" spans="1:5" ht="15.75" customHeight="1" x14ac:dyDescent="0.3">
      <c r="A35" s="3">
        <v>34</v>
      </c>
      <c r="B35" s="4" t="s">
        <v>48</v>
      </c>
      <c r="C35" s="4">
        <v>1637</v>
      </c>
      <c r="D35" s="4" t="s">
        <v>49</v>
      </c>
      <c r="E35" s="4">
        <v>35000096</v>
      </c>
    </row>
    <row r="36" spans="1:5" ht="15.75" customHeight="1" x14ac:dyDescent="0.3">
      <c r="A36" s="3">
        <v>35</v>
      </c>
      <c r="B36" s="4" t="s">
        <v>50</v>
      </c>
      <c r="C36" s="4">
        <v>1086</v>
      </c>
      <c r="D36" s="4" t="s">
        <v>49</v>
      </c>
      <c r="E36" s="4">
        <v>35000097</v>
      </c>
    </row>
    <row r="37" spans="1:5" ht="15.75" customHeight="1" x14ac:dyDescent="0.3">
      <c r="A37" s="3">
        <v>36</v>
      </c>
      <c r="B37" s="4" t="s">
        <v>51</v>
      </c>
      <c r="C37" s="4">
        <v>1058</v>
      </c>
      <c r="D37" s="4" t="s">
        <v>52</v>
      </c>
      <c r="E37" s="4">
        <v>35000114</v>
      </c>
    </row>
    <row r="38" spans="1:5" ht="15.75" customHeight="1" x14ac:dyDescent="0.3">
      <c r="A38" s="3">
        <v>37</v>
      </c>
      <c r="B38" s="4" t="s">
        <v>53</v>
      </c>
      <c r="C38" s="4">
        <v>2433</v>
      </c>
      <c r="D38" s="4" t="s">
        <v>52</v>
      </c>
      <c r="E38" s="4">
        <v>35000117</v>
      </c>
    </row>
    <row r="39" spans="1:5" ht="15.75" customHeight="1" x14ac:dyDescent="0.3">
      <c r="A39" s="3">
        <v>38</v>
      </c>
      <c r="B39" s="4" t="s">
        <v>54</v>
      </c>
      <c r="C39" s="4">
        <v>1273</v>
      </c>
      <c r="D39" s="4" t="s">
        <v>52</v>
      </c>
      <c r="E39" s="4">
        <v>35000116</v>
      </c>
    </row>
    <row r="40" spans="1:5" ht="15.75" customHeight="1" x14ac:dyDescent="0.3">
      <c r="A40" s="3">
        <v>39</v>
      </c>
      <c r="B40" s="4" t="s">
        <v>55</v>
      </c>
      <c r="C40" s="4">
        <v>1332</v>
      </c>
      <c r="D40" s="4" t="s">
        <v>52</v>
      </c>
      <c r="E40" s="4">
        <v>35000113</v>
      </c>
    </row>
    <row r="41" spans="1:5" ht="15.75" customHeight="1" x14ac:dyDescent="0.3">
      <c r="A41" s="3">
        <v>40</v>
      </c>
      <c r="B41" s="4" t="s">
        <v>56</v>
      </c>
      <c r="C41" s="4">
        <v>1045</v>
      </c>
      <c r="D41" s="4" t="s">
        <v>52</v>
      </c>
      <c r="E41" s="4">
        <v>35000115</v>
      </c>
    </row>
    <row r="42" spans="1:5" ht="15.75" customHeight="1" x14ac:dyDescent="0.3">
      <c r="A42" s="3">
        <v>41</v>
      </c>
      <c r="B42" s="4" t="s">
        <v>57</v>
      </c>
      <c r="C42" s="4">
        <v>1055</v>
      </c>
      <c r="D42" s="4" t="s">
        <v>58</v>
      </c>
      <c r="E42" s="4">
        <v>35000112</v>
      </c>
    </row>
    <row r="43" spans="1:5" ht="15.75" customHeight="1" x14ac:dyDescent="0.3">
      <c r="A43" s="3">
        <v>42</v>
      </c>
      <c r="B43" s="4" t="s">
        <v>59</v>
      </c>
      <c r="C43" s="4">
        <v>1211</v>
      </c>
      <c r="D43" s="4" t="s">
        <v>60</v>
      </c>
      <c r="E43" s="4">
        <v>35000107</v>
      </c>
    </row>
    <row r="44" spans="1:5" ht="15.75" customHeight="1" x14ac:dyDescent="0.3">
      <c r="A44" s="3">
        <v>43</v>
      </c>
      <c r="B44" s="4" t="s">
        <v>61</v>
      </c>
      <c r="C44" s="4">
        <v>1470</v>
      </c>
      <c r="D44" s="4" t="s">
        <v>60</v>
      </c>
      <c r="E44" s="4">
        <v>35000108</v>
      </c>
    </row>
    <row r="45" spans="1:5" ht="15.75" customHeight="1" x14ac:dyDescent="0.3">
      <c r="A45" s="3">
        <v>44</v>
      </c>
      <c r="B45" s="4" t="s">
        <v>62</v>
      </c>
      <c r="C45" s="4">
        <v>1185</v>
      </c>
      <c r="D45" s="4" t="s">
        <v>60</v>
      </c>
      <c r="E45" s="4">
        <v>35000109</v>
      </c>
    </row>
    <row r="46" spans="1:5" ht="15.75" customHeight="1" x14ac:dyDescent="0.3">
      <c r="A46" s="3">
        <v>45</v>
      </c>
      <c r="B46" s="4" t="s">
        <v>63</v>
      </c>
      <c r="C46" s="4">
        <v>1921</v>
      </c>
      <c r="D46" s="4" t="s">
        <v>64</v>
      </c>
      <c r="E46" s="4">
        <v>35000127</v>
      </c>
    </row>
    <row r="47" spans="1:5" ht="15.75" customHeight="1" x14ac:dyDescent="0.3">
      <c r="A47" s="3">
        <v>46</v>
      </c>
      <c r="B47" s="4" t="s">
        <v>65</v>
      </c>
      <c r="C47" s="4">
        <v>1593</v>
      </c>
      <c r="D47" s="4" t="s">
        <v>64</v>
      </c>
      <c r="E47" s="4">
        <v>35000126</v>
      </c>
    </row>
    <row r="48" spans="1:5" ht="15.75" customHeight="1" x14ac:dyDescent="0.3">
      <c r="A48" s="3">
        <v>47</v>
      </c>
      <c r="B48" s="4" t="s">
        <v>66</v>
      </c>
      <c r="C48" s="4">
        <v>1246</v>
      </c>
      <c r="D48" s="4" t="s">
        <v>64</v>
      </c>
      <c r="E48" s="4">
        <v>35000130</v>
      </c>
    </row>
    <row r="49" spans="1:5" ht="15.75" customHeight="1" x14ac:dyDescent="0.3">
      <c r="A49" s="3">
        <v>48</v>
      </c>
      <c r="B49" s="4" t="s">
        <v>67</v>
      </c>
      <c r="C49" s="4">
        <v>1341</v>
      </c>
      <c r="D49" s="4" t="s">
        <v>64</v>
      </c>
      <c r="E49" s="4">
        <v>35000124</v>
      </c>
    </row>
    <row r="50" spans="1:5" ht="15.75" customHeight="1" x14ac:dyDescent="0.3">
      <c r="A50" s="3">
        <v>49</v>
      </c>
      <c r="B50" s="4" t="s">
        <v>68</v>
      </c>
      <c r="C50" s="4">
        <v>1884</v>
      </c>
      <c r="D50" s="4" t="s">
        <v>64</v>
      </c>
      <c r="E50" s="4">
        <v>35000129</v>
      </c>
    </row>
    <row r="51" spans="1:5" ht="15.75" customHeight="1" x14ac:dyDescent="0.3">
      <c r="A51" s="3">
        <v>50</v>
      </c>
      <c r="B51" s="4" t="s">
        <v>69</v>
      </c>
      <c r="C51" s="4">
        <v>1046</v>
      </c>
      <c r="D51" s="4" t="s">
        <v>64</v>
      </c>
      <c r="E51" s="4">
        <v>35000129</v>
      </c>
    </row>
    <row r="52" spans="1:5" ht="15.75" customHeight="1" x14ac:dyDescent="0.3">
      <c r="A52" s="3">
        <v>51</v>
      </c>
      <c r="B52" s="4" t="s">
        <v>70</v>
      </c>
      <c r="C52" s="4">
        <v>1337</v>
      </c>
      <c r="D52" s="4" t="s">
        <v>64</v>
      </c>
      <c r="E52" s="4">
        <v>35000128</v>
      </c>
    </row>
    <row r="53" spans="1:5" ht="15.75" customHeight="1" x14ac:dyDescent="0.3">
      <c r="A53" s="3">
        <v>52</v>
      </c>
      <c r="B53" s="4" t="s">
        <v>71</v>
      </c>
      <c r="C53" s="4">
        <v>1372</v>
      </c>
      <c r="D53" s="4" t="s">
        <v>64</v>
      </c>
      <c r="E53" s="4">
        <v>35000131</v>
      </c>
    </row>
    <row r="54" spans="1:5" ht="15.75" customHeight="1" x14ac:dyDescent="0.3">
      <c r="A54" s="3">
        <v>53</v>
      </c>
      <c r="B54" s="4" t="s">
        <v>72</v>
      </c>
      <c r="C54" s="4">
        <v>2462</v>
      </c>
      <c r="D54" s="4" t="s">
        <v>73</v>
      </c>
      <c r="E54" s="4">
        <v>35000187</v>
      </c>
    </row>
    <row r="55" spans="1:5" ht="15.75" customHeight="1" x14ac:dyDescent="0.3">
      <c r="A55" s="3">
        <v>54</v>
      </c>
      <c r="B55" s="4" t="s">
        <v>74</v>
      </c>
      <c r="C55" s="4">
        <v>1843</v>
      </c>
      <c r="D55" s="4" t="s">
        <v>75</v>
      </c>
      <c r="E55" s="4">
        <v>35000182</v>
      </c>
    </row>
    <row r="56" spans="1:5" ht="15.75" customHeight="1" x14ac:dyDescent="0.3">
      <c r="A56" s="3">
        <v>55</v>
      </c>
      <c r="B56" s="4" t="s">
        <v>76</v>
      </c>
      <c r="C56" s="4">
        <v>1613</v>
      </c>
      <c r="D56" s="4" t="s">
        <v>75</v>
      </c>
      <c r="E56" s="4">
        <v>35000180</v>
      </c>
    </row>
    <row r="57" spans="1:5" ht="15.75" customHeight="1" x14ac:dyDescent="0.3">
      <c r="A57" s="3">
        <v>56</v>
      </c>
      <c r="B57" s="4" t="s">
        <v>77</v>
      </c>
      <c r="C57" s="4">
        <v>1057</v>
      </c>
      <c r="D57" s="4" t="s">
        <v>75</v>
      </c>
      <c r="E57" s="4">
        <v>35000183</v>
      </c>
    </row>
    <row r="58" spans="1:5" ht="15.75" customHeight="1" x14ac:dyDescent="0.3">
      <c r="A58" s="3">
        <v>57</v>
      </c>
      <c r="B58" s="4" t="s">
        <v>78</v>
      </c>
      <c r="C58" s="4">
        <v>1008</v>
      </c>
      <c r="D58" s="4" t="s">
        <v>75</v>
      </c>
      <c r="E58" s="4">
        <v>35000176</v>
      </c>
    </row>
    <row r="59" spans="1:5" ht="15.75" customHeight="1" x14ac:dyDescent="0.3">
      <c r="A59" s="3">
        <v>58</v>
      </c>
      <c r="B59" s="4" t="s">
        <v>79</v>
      </c>
      <c r="C59" s="4">
        <v>1449</v>
      </c>
      <c r="D59" s="4" t="s">
        <v>75</v>
      </c>
      <c r="E59" s="4">
        <v>35000181</v>
      </c>
    </row>
    <row r="60" spans="1:5" ht="15.75" customHeight="1" x14ac:dyDescent="0.3">
      <c r="A60" s="3">
        <v>59</v>
      </c>
      <c r="B60" s="4" t="s">
        <v>80</v>
      </c>
      <c r="C60" s="4">
        <v>1085</v>
      </c>
      <c r="D60" s="4" t="s">
        <v>75</v>
      </c>
      <c r="E60" s="4">
        <v>35000177</v>
      </c>
    </row>
    <row r="61" spans="1:5" ht="15.75" customHeight="1" x14ac:dyDescent="0.3">
      <c r="A61" s="3">
        <v>60</v>
      </c>
      <c r="B61" s="4" t="s">
        <v>81</v>
      </c>
      <c r="C61" s="4">
        <v>1090</v>
      </c>
      <c r="D61" s="4" t="s">
        <v>75</v>
      </c>
      <c r="E61" s="4">
        <v>35000179</v>
      </c>
    </row>
    <row r="62" spans="1:5" ht="15.75" customHeight="1" x14ac:dyDescent="0.3">
      <c r="A62" s="3">
        <v>61</v>
      </c>
      <c r="B62" s="4" t="s">
        <v>82</v>
      </c>
      <c r="C62" s="4">
        <v>1132</v>
      </c>
      <c r="D62" s="4" t="s">
        <v>75</v>
      </c>
      <c r="E62" s="4">
        <v>35000178</v>
      </c>
    </row>
    <row r="63" spans="1:5" ht="15.75" customHeight="1" x14ac:dyDescent="0.3">
      <c r="A63" s="3">
        <v>62</v>
      </c>
      <c r="B63" s="4" t="s">
        <v>83</v>
      </c>
      <c r="C63" s="4">
        <v>1000</v>
      </c>
      <c r="D63" s="4" t="s">
        <v>84</v>
      </c>
      <c r="E63" s="4">
        <v>35000119</v>
      </c>
    </row>
    <row r="64" spans="1:5" ht="15.75" customHeight="1" x14ac:dyDescent="0.3">
      <c r="A64" s="3">
        <v>63</v>
      </c>
      <c r="B64" s="4" t="s">
        <v>85</v>
      </c>
      <c r="C64" s="4">
        <v>1403</v>
      </c>
      <c r="D64" s="4" t="s">
        <v>84</v>
      </c>
      <c r="E64" s="4">
        <v>35000118</v>
      </c>
    </row>
    <row r="65" spans="1:5" ht="15.75" customHeight="1" x14ac:dyDescent="0.3">
      <c r="A65" s="3">
        <v>64</v>
      </c>
      <c r="B65" s="4" t="s">
        <v>86</v>
      </c>
      <c r="C65" s="4">
        <v>1370</v>
      </c>
      <c r="D65" s="4" t="s">
        <v>84</v>
      </c>
      <c r="E65" s="4">
        <v>35000123</v>
      </c>
    </row>
    <row r="66" spans="1:5" ht="15.75" customHeight="1" x14ac:dyDescent="0.3">
      <c r="A66" s="3">
        <v>65</v>
      </c>
      <c r="B66" s="4" t="s">
        <v>87</v>
      </c>
      <c r="C66" s="4">
        <v>1787</v>
      </c>
      <c r="D66" s="4" t="s">
        <v>84</v>
      </c>
      <c r="E66" s="4">
        <v>35000122</v>
      </c>
    </row>
    <row r="67" spans="1:5" ht="15.75" customHeight="1" x14ac:dyDescent="0.3">
      <c r="A67" s="3">
        <v>66</v>
      </c>
      <c r="B67" s="4" t="s">
        <v>88</v>
      </c>
      <c r="C67" s="4">
        <v>1096</v>
      </c>
      <c r="D67" s="4" t="s">
        <v>84</v>
      </c>
      <c r="E67" s="4">
        <v>35000121</v>
      </c>
    </row>
    <row r="68" spans="1:5" ht="15.75" customHeight="1" x14ac:dyDescent="0.3">
      <c r="A68" s="3">
        <v>67</v>
      </c>
      <c r="B68" s="4" t="s">
        <v>89</v>
      </c>
      <c r="C68" s="4">
        <v>1727</v>
      </c>
      <c r="D68" s="4" t="s">
        <v>84</v>
      </c>
      <c r="E68" s="4">
        <v>35000120</v>
      </c>
    </row>
    <row r="69" spans="1:5" ht="15.75" customHeight="1" x14ac:dyDescent="0.3">
      <c r="A69" s="3">
        <v>68</v>
      </c>
      <c r="B69" s="4" t="s">
        <v>90</v>
      </c>
      <c r="C69" s="4">
        <v>1523</v>
      </c>
      <c r="D69" s="4" t="s">
        <v>91</v>
      </c>
      <c r="E69" s="4">
        <v>35000173</v>
      </c>
    </row>
    <row r="70" spans="1:5" ht="15.75" customHeight="1" x14ac:dyDescent="0.3">
      <c r="A70" s="3">
        <v>69</v>
      </c>
      <c r="B70" s="4" t="s">
        <v>92</v>
      </c>
      <c r="C70" s="4">
        <v>1744</v>
      </c>
      <c r="D70" s="4" t="s">
        <v>91</v>
      </c>
      <c r="E70" s="4">
        <v>35000174</v>
      </c>
    </row>
    <row r="71" spans="1:5" ht="15.75" customHeight="1" x14ac:dyDescent="0.3">
      <c r="A71" s="3">
        <v>70</v>
      </c>
      <c r="B71" s="4" t="s">
        <v>93</v>
      </c>
      <c r="C71" s="4">
        <v>1126</v>
      </c>
      <c r="D71" s="4" t="s">
        <v>91</v>
      </c>
      <c r="E71" s="4">
        <v>35000171</v>
      </c>
    </row>
    <row r="72" spans="1:5" ht="15.75" customHeight="1" x14ac:dyDescent="0.3">
      <c r="A72" s="3">
        <v>71</v>
      </c>
      <c r="B72" s="4" t="s">
        <v>94</v>
      </c>
      <c r="C72" s="4">
        <v>1909</v>
      </c>
      <c r="D72" s="4" t="s">
        <v>91</v>
      </c>
      <c r="E72" s="4">
        <v>35000175</v>
      </c>
    </row>
    <row r="73" spans="1:5" ht="15.75" customHeight="1" x14ac:dyDescent="0.3">
      <c r="A73" s="3">
        <v>72</v>
      </c>
      <c r="B73" s="4" t="s">
        <v>95</v>
      </c>
      <c r="C73" s="4">
        <v>1513</v>
      </c>
      <c r="D73" s="4" t="s">
        <v>91</v>
      </c>
      <c r="E73" s="4">
        <v>35000172</v>
      </c>
    </row>
    <row r="74" spans="1:5" ht="15.75" customHeight="1" x14ac:dyDescent="0.3">
      <c r="A74" s="3">
        <v>73</v>
      </c>
      <c r="B74" s="4" t="s">
        <v>96</v>
      </c>
      <c r="C74" s="4">
        <v>1799</v>
      </c>
      <c r="D74" s="4" t="s">
        <v>97</v>
      </c>
      <c r="E74" s="4">
        <v>35000186</v>
      </c>
    </row>
    <row r="75" spans="1:5" ht="15.75" customHeight="1" x14ac:dyDescent="0.3">
      <c r="A75" s="3">
        <v>74</v>
      </c>
      <c r="B75" s="4" t="s">
        <v>98</v>
      </c>
      <c r="C75" s="4">
        <v>2184</v>
      </c>
      <c r="D75" s="4" t="s">
        <v>99</v>
      </c>
      <c r="E75" s="4">
        <v>35000151</v>
      </c>
    </row>
    <row r="76" spans="1:5" ht="15.75" customHeight="1" x14ac:dyDescent="0.3">
      <c r="A76" s="3">
        <v>75</v>
      </c>
      <c r="B76" s="4" t="s">
        <v>100</v>
      </c>
      <c r="C76" s="4">
        <v>1424</v>
      </c>
      <c r="D76" s="4" t="s">
        <v>101</v>
      </c>
      <c r="E76" s="4">
        <v>35000188</v>
      </c>
    </row>
    <row r="77" spans="1:5" ht="15.75" customHeight="1" x14ac:dyDescent="0.3">
      <c r="A77" s="3">
        <v>76</v>
      </c>
      <c r="B77" s="4" t="s">
        <v>102</v>
      </c>
      <c r="C77" s="4">
        <v>2522</v>
      </c>
      <c r="D77" s="4" t="s">
        <v>103</v>
      </c>
      <c r="E77" s="4">
        <v>35000195</v>
      </c>
    </row>
    <row r="78" spans="1:5" ht="15.75" customHeight="1" x14ac:dyDescent="0.3">
      <c r="A78" s="3">
        <v>77</v>
      </c>
      <c r="B78" s="4" t="s">
        <v>104</v>
      </c>
      <c r="C78" s="4">
        <v>1229</v>
      </c>
      <c r="D78" s="4" t="s">
        <v>103</v>
      </c>
      <c r="E78" s="4">
        <v>35000135</v>
      </c>
    </row>
    <row r="79" spans="1:5" ht="15.75" customHeight="1" x14ac:dyDescent="0.3">
      <c r="A79" s="3">
        <v>78</v>
      </c>
      <c r="B79" s="4" t="s">
        <v>105</v>
      </c>
      <c r="C79" s="4">
        <v>1475</v>
      </c>
      <c r="D79" s="4" t="s">
        <v>103</v>
      </c>
      <c r="E79" s="4">
        <v>35000137</v>
      </c>
    </row>
    <row r="80" spans="1:5" ht="15.75" customHeight="1" x14ac:dyDescent="0.3">
      <c r="A80" s="3">
        <v>79</v>
      </c>
      <c r="B80" s="4" t="s">
        <v>106</v>
      </c>
      <c r="C80" s="4">
        <v>1292</v>
      </c>
      <c r="D80" s="4" t="s">
        <v>103</v>
      </c>
      <c r="E80" s="4">
        <v>35000136</v>
      </c>
    </row>
    <row r="81" spans="1:5" ht="15.75" customHeight="1" x14ac:dyDescent="0.3">
      <c r="A81" s="3">
        <v>80</v>
      </c>
      <c r="B81" s="4" t="s">
        <v>107</v>
      </c>
      <c r="C81" s="4">
        <v>1378</v>
      </c>
      <c r="D81" s="4" t="s">
        <v>108</v>
      </c>
      <c r="E81" s="4">
        <v>35000095</v>
      </c>
    </row>
    <row r="82" spans="1:5" ht="15.75" customHeight="1" x14ac:dyDescent="0.3">
      <c r="A82" s="3">
        <v>81</v>
      </c>
      <c r="B82" s="4" t="s">
        <v>109</v>
      </c>
      <c r="C82" s="4">
        <v>148</v>
      </c>
      <c r="D82" s="4" t="s">
        <v>110</v>
      </c>
      <c r="E82" s="4">
        <v>35000001</v>
      </c>
    </row>
    <row r="83" spans="1:5" ht="15.75" customHeight="1" x14ac:dyDescent="0.3">
      <c r="A83" s="3">
        <v>82</v>
      </c>
      <c r="B83" s="4" t="s">
        <v>111</v>
      </c>
      <c r="C83" s="4">
        <v>156</v>
      </c>
      <c r="D83" s="4" t="s">
        <v>110</v>
      </c>
      <c r="E83" s="4">
        <v>35000002</v>
      </c>
    </row>
    <row r="84" spans="1:5" ht="15.75" customHeight="1" x14ac:dyDescent="0.3">
      <c r="A84" s="3">
        <v>83</v>
      </c>
      <c r="B84" s="4" t="s">
        <v>112</v>
      </c>
      <c r="C84" s="4">
        <v>1212</v>
      </c>
      <c r="D84" s="4" t="s">
        <v>110</v>
      </c>
      <c r="E84" s="4">
        <v>35000003</v>
      </c>
    </row>
    <row r="85" spans="1:5" ht="15.75" customHeight="1" x14ac:dyDescent="0.3">
      <c r="A85" s="3">
        <v>84</v>
      </c>
      <c r="B85" s="4" t="s">
        <v>113</v>
      </c>
      <c r="C85" s="4">
        <v>20</v>
      </c>
      <c r="D85" s="4" t="s">
        <v>110</v>
      </c>
      <c r="E85" s="4">
        <v>35000004</v>
      </c>
    </row>
    <row r="86" spans="1:5" ht="15.75" customHeight="1" x14ac:dyDescent="0.3">
      <c r="A86" s="3">
        <v>85</v>
      </c>
      <c r="B86" s="4" t="s">
        <v>114</v>
      </c>
      <c r="C86" s="4">
        <v>527</v>
      </c>
      <c r="D86" s="4" t="s">
        <v>110</v>
      </c>
      <c r="E86" s="4">
        <v>35000005</v>
      </c>
    </row>
    <row r="87" spans="1:5" ht="15.75" customHeight="1" x14ac:dyDescent="0.3">
      <c r="A87" s="3">
        <v>86</v>
      </c>
      <c r="B87" s="4" t="s">
        <v>115</v>
      </c>
      <c r="C87" s="4">
        <v>457</v>
      </c>
      <c r="D87" s="4" t="s">
        <v>116</v>
      </c>
      <c r="E87" s="4">
        <v>35000006</v>
      </c>
    </row>
    <row r="88" spans="1:5" ht="15.75" customHeight="1" x14ac:dyDescent="0.3">
      <c r="A88" s="3">
        <v>87</v>
      </c>
      <c r="B88" s="4" t="s">
        <v>117</v>
      </c>
      <c r="C88" s="4">
        <v>107</v>
      </c>
      <c r="D88" s="4" t="s">
        <v>110</v>
      </c>
      <c r="E88" s="4">
        <v>35000007</v>
      </c>
    </row>
    <row r="89" spans="1:5" ht="15.75" customHeight="1" x14ac:dyDescent="0.3">
      <c r="A89" s="3">
        <v>88</v>
      </c>
      <c r="B89" s="4" t="s">
        <v>118</v>
      </c>
      <c r="C89" s="4">
        <v>39</v>
      </c>
      <c r="D89" s="4" t="s">
        <v>110</v>
      </c>
      <c r="E89" s="4">
        <v>35000008</v>
      </c>
    </row>
    <row r="90" spans="1:5" ht="15.75" customHeight="1" x14ac:dyDescent="0.3">
      <c r="A90" s="3">
        <v>89</v>
      </c>
      <c r="B90" s="4" t="s">
        <v>119</v>
      </c>
      <c r="C90" s="4">
        <v>282</v>
      </c>
      <c r="D90" s="4" t="s">
        <v>116</v>
      </c>
      <c r="E90" s="4">
        <v>35000009</v>
      </c>
    </row>
    <row r="91" spans="1:5" ht="15.75" customHeight="1" x14ac:dyDescent="0.3">
      <c r="A91" s="3">
        <v>90</v>
      </c>
      <c r="B91" s="4" t="s">
        <v>120</v>
      </c>
      <c r="C91" s="4">
        <v>726</v>
      </c>
      <c r="D91" s="4" t="s">
        <v>110</v>
      </c>
      <c r="E91" s="4">
        <v>35000010</v>
      </c>
    </row>
    <row r="92" spans="1:5" ht="15.75" customHeight="1" x14ac:dyDescent="0.3">
      <c r="A92" s="3">
        <v>91</v>
      </c>
      <c r="B92" s="4" t="s">
        <v>121</v>
      </c>
      <c r="C92" s="4">
        <v>63</v>
      </c>
      <c r="D92" s="4" t="s">
        <v>110</v>
      </c>
      <c r="E92" s="4">
        <v>35000011</v>
      </c>
    </row>
    <row r="93" spans="1:5" ht="15.75" customHeight="1" x14ac:dyDescent="0.3">
      <c r="A93" s="3">
        <v>92</v>
      </c>
      <c r="B93" s="4" t="s">
        <v>122</v>
      </c>
      <c r="C93" s="4">
        <v>70</v>
      </c>
      <c r="D93" s="4" t="s">
        <v>110</v>
      </c>
      <c r="E93" s="4">
        <v>35000012</v>
      </c>
    </row>
    <row r="94" spans="1:5" ht="15.75" customHeight="1" x14ac:dyDescent="0.3">
      <c r="A94" s="3">
        <v>93</v>
      </c>
      <c r="B94" s="4" t="s">
        <v>123</v>
      </c>
      <c r="C94" s="4">
        <v>53</v>
      </c>
      <c r="D94" s="4" t="s">
        <v>110</v>
      </c>
      <c r="E94" s="4">
        <v>35000013</v>
      </c>
    </row>
    <row r="95" spans="1:5" ht="15.75" customHeight="1" x14ac:dyDescent="0.3">
      <c r="A95" s="3">
        <v>94</v>
      </c>
      <c r="B95" s="4" t="s">
        <v>124</v>
      </c>
      <c r="C95" s="4">
        <v>193</v>
      </c>
      <c r="D95" s="4" t="s">
        <v>110</v>
      </c>
      <c r="E95" s="4">
        <v>35000014</v>
      </c>
    </row>
    <row r="96" spans="1:5" ht="15.75" customHeight="1" x14ac:dyDescent="0.3">
      <c r="A96" s="3">
        <v>95</v>
      </c>
      <c r="B96" s="4" t="s">
        <v>125</v>
      </c>
      <c r="C96" s="4">
        <v>455</v>
      </c>
      <c r="D96" s="4" t="s">
        <v>110</v>
      </c>
      <c r="E96" s="4">
        <v>35000015</v>
      </c>
    </row>
    <row r="97" spans="1:5" ht="15.75" customHeight="1" x14ac:dyDescent="0.3">
      <c r="A97" s="3">
        <v>96</v>
      </c>
      <c r="B97" s="4" t="s">
        <v>126</v>
      </c>
      <c r="C97" s="4">
        <v>16</v>
      </c>
      <c r="D97" s="4" t="s">
        <v>110</v>
      </c>
      <c r="E97" s="4">
        <v>35000016</v>
      </c>
    </row>
    <row r="98" spans="1:5" ht="15.75" customHeight="1" x14ac:dyDescent="0.3">
      <c r="A98" s="3">
        <v>97</v>
      </c>
      <c r="B98" s="4" t="s">
        <v>127</v>
      </c>
      <c r="C98" s="4">
        <v>32</v>
      </c>
      <c r="D98" s="4" t="s">
        <v>110</v>
      </c>
      <c r="E98" s="4">
        <v>35000017</v>
      </c>
    </row>
    <row r="99" spans="1:5" ht="15.75" customHeight="1" x14ac:dyDescent="0.3">
      <c r="A99" s="3">
        <v>98</v>
      </c>
      <c r="B99" s="4" t="s">
        <v>128</v>
      </c>
      <c r="C99" s="4">
        <v>46</v>
      </c>
      <c r="D99" s="4" t="s">
        <v>110</v>
      </c>
      <c r="E99" s="4">
        <v>35000018</v>
      </c>
    </row>
    <row r="100" spans="1:5" ht="15.75" customHeight="1" x14ac:dyDescent="0.3">
      <c r="A100" s="3">
        <v>99</v>
      </c>
      <c r="B100" s="4" t="s">
        <v>129</v>
      </c>
      <c r="C100" s="4">
        <v>59</v>
      </c>
      <c r="D100" s="4" t="s">
        <v>110</v>
      </c>
      <c r="E100" s="4">
        <v>35000019</v>
      </c>
    </row>
    <row r="101" spans="1:5" ht="15.75" customHeight="1" x14ac:dyDescent="0.3">
      <c r="A101" s="3">
        <v>100</v>
      </c>
      <c r="B101" s="4" t="s">
        <v>130</v>
      </c>
      <c r="C101" s="4">
        <v>119</v>
      </c>
      <c r="D101" s="4" t="s">
        <v>110</v>
      </c>
      <c r="E101" s="4">
        <v>35003010</v>
      </c>
    </row>
    <row r="102" spans="1:5" ht="15.75" customHeight="1" x14ac:dyDescent="0.3">
      <c r="A102" s="3">
        <v>101</v>
      </c>
      <c r="B102" s="4" t="s">
        <v>131</v>
      </c>
      <c r="C102" s="4">
        <v>1926</v>
      </c>
      <c r="D102" s="4" t="s">
        <v>132</v>
      </c>
      <c r="E102" s="4">
        <v>35000020</v>
      </c>
    </row>
    <row r="103" spans="1:5" ht="15.75" customHeight="1" x14ac:dyDescent="0.3">
      <c r="A103" s="3">
        <v>102</v>
      </c>
      <c r="B103" s="4" t="s">
        <v>133</v>
      </c>
      <c r="C103" s="4">
        <v>165</v>
      </c>
      <c r="D103" s="4" t="s">
        <v>134</v>
      </c>
      <c r="E103" s="4">
        <v>35000021</v>
      </c>
    </row>
    <row r="104" spans="1:5" ht="15.75" customHeight="1" x14ac:dyDescent="0.3">
      <c r="A104" s="3">
        <v>103</v>
      </c>
      <c r="B104" s="4" t="s">
        <v>135</v>
      </c>
      <c r="C104" s="4">
        <v>551</v>
      </c>
      <c r="D104" s="4" t="s">
        <v>132</v>
      </c>
      <c r="E104" s="4">
        <v>35000022</v>
      </c>
    </row>
    <row r="105" spans="1:5" ht="15.75" customHeight="1" x14ac:dyDescent="0.3">
      <c r="A105" s="3">
        <v>104</v>
      </c>
      <c r="B105" s="4" t="s">
        <v>136</v>
      </c>
      <c r="C105" s="4">
        <v>2946</v>
      </c>
      <c r="D105" s="4" t="s">
        <v>132</v>
      </c>
      <c r="E105" s="4">
        <v>35000023</v>
      </c>
    </row>
    <row r="106" spans="1:5" ht="15.75" customHeight="1" x14ac:dyDescent="0.3">
      <c r="A106" s="3">
        <v>105</v>
      </c>
      <c r="B106" s="4" t="s">
        <v>137</v>
      </c>
      <c r="C106" s="4">
        <v>69</v>
      </c>
      <c r="D106" s="4" t="s">
        <v>138</v>
      </c>
      <c r="E106" s="4">
        <v>35000024</v>
      </c>
    </row>
    <row r="107" spans="1:5" ht="15.75" customHeight="1" x14ac:dyDescent="0.3">
      <c r="A107" s="3">
        <v>106</v>
      </c>
      <c r="B107" s="4" t="s">
        <v>139</v>
      </c>
      <c r="C107" s="4">
        <v>54</v>
      </c>
      <c r="D107" s="4" t="s">
        <v>138</v>
      </c>
      <c r="E107" s="4">
        <v>35000025</v>
      </c>
    </row>
    <row r="108" spans="1:5" ht="15.75" customHeight="1" x14ac:dyDescent="0.3">
      <c r="A108" s="3">
        <v>107</v>
      </c>
      <c r="B108" s="4" t="s">
        <v>140</v>
      </c>
      <c r="C108" s="4">
        <v>23</v>
      </c>
      <c r="D108" s="4" t="s">
        <v>138</v>
      </c>
      <c r="E108" s="4">
        <v>35000026</v>
      </c>
    </row>
    <row r="109" spans="1:5" ht="15.75" customHeight="1" x14ac:dyDescent="0.3">
      <c r="A109" s="3">
        <v>108</v>
      </c>
      <c r="B109" s="4" t="s">
        <v>141</v>
      </c>
      <c r="C109" s="4">
        <v>42</v>
      </c>
      <c r="D109" s="4" t="s">
        <v>138</v>
      </c>
      <c r="E109" s="4">
        <v>35000027</v>
      </c>
    </row>
    <row r="110" spans="1:5" ht="15.75" customHeight="1" x14ac:dyDescent="0.3">
      <c r="A110" s="3">
        <v>109</v>
      </c>
      <c r="B110" s="4" t="s">
        <v>142</v>
      </c>
      <c r="C110" s="4">
        <v>51</v>
      </c>
      <c r="D110" s="4" t="s">
        <v>138</v>
      </c>
      <c r="E110" s="4">
        <v>35000028</v>
      </c>
    </row>
    <row r="111" spans="1:5" ht="15.75" customHeight="1" x14ac:dyDescent="0.3">
      <c r="A111" s="3">
        <v>110</v>
      </c>
      <c r="B111" s="4" t="s">
        <v>143</v>
      </c>
      <c r="C111" s="4">
        <v>82</v>
      </c>
      <c r="D111" s="4" t="s">
        <v>138</v>
      </c>
      <c r="E111" s="4">
        <v>35000029</v>
      </c>
    </row>
    <row r="112" spans="1:5" ht="15.75" customHeight="1" x14ac:dyDescent="0.3">
      <c r="A112" s="3">
        <v>111</v>
      </c>
      <c r="B112" s="4" t="s">
        <v>144</v>
      </c>
      <c r="C112" s="4">
        <v>62</v>
      </c>
      <c r="D112" s="4" t="s">
        <v>138</v>
      </c>
      <c r="E112" s="4">
        <v>35000030</v>
      </c>
    </row>
    <row r="113" spans="1:5" ht="15.75" customHeight="1" x14ac:dyDescent="0.3">
      <c r="A113" s="3">
        <v>112</v>
      </c>
      <c r="B113" s="4" t="s">
        <v>145</v>
      </c>
      <c r="C113" s="4">
        <v>56</v>
      </c>
      <c r="D113" s="4" t="s">
        <v>138</v>
      </c>
      <c r="E113" s="4">
        <v>35000032</v>
      </c>
    </row>
    <row r="114" spans="1:5" ht="15.75" customHeight="1" x14ac:dyDescent="0.3">
      <c r="A114" s="3">
        <v>113</v>
      </c>
      <c r="B114" s="4" t="s">
        <v>146</v>
      </c>
      <c r="C114" s="4">
        <v>38</v>
      </c>
      <c r="D114" s="4" t="s">
        <v>138</v>
      </c>
      <c r="E114" s="4">
        <v>35000033</v>
      </c>
    </row>
    <row r="115" spans="1:5" ht="15.75" customHeight="1" x14ac:dyDescent="0.3">
      <c r="A115" s="3">
        <v>114</v>
      </c>
      <c r="B115" s="4" t="s">
        <v>147</v>
      </c>
      <c r="C115" s="4">
        <v>45</v>
      </c>
      <c r="D115" s="4" t="s">
        <v>138</v>
      </c>
      <c r="E115" s="4">
        <v>35000038</v>
      </c>
    </row>
    <row r="116" spans="1:5" ht="15.75" customHeight="1" x14ac:dyDescent="0.3">
      <c r="A116" s="3">
        <v>115</v>
      </c>
      <c r="B116" s="4" t="s">
        <v>148</v>
      </c>
      <c r="C116" s="4">
        <v>461</v>
      </c>
      <c r="D116" s="4" t="s">
        <v>149</v>
      </c>
      <c r="E116" s="4">
        <v>35000039</v>
      </c>
    </row>
    <row r="117" spans="1:5" ht="15.75" customHeight="1" x14ac:dyDescent="0.3">
      <c r="A117" s="3">
        <v>116</v>
      </c>
      <c r="B117" s="4" t="s">
        <v>150</v>
      </c>
      <c r="C117" s="4">
        <v>369</v>
      </c>
      <c r="D117" s="4" t="s">
        <v>151</v>
      </c>
      <c r="E117" s="4">
        <v>35000040</v>
      </c>
    </row>
    <row r="118" spans="1:5" ht="15.75" customHeight="1" x14ac:dyDescent="0.3">
      <c r="A118" s="3">
        <v>117</v>
      </c>
      <c r="B118" s="4" t="s">
        <v>152</v>
      </c>
      <c r="C118" s="4">
        <v>281</v>
      </c>
      <c r="D118" s="4" t="s">
        <v>151</v>
      </c>
      <c r="E118" s="4">
        <v>35000041</v>
      </c>
    </row>
    <row r="119" spans="1:5" ht="15.75" customHeight="1" x14ac:dyDescent="0.3">
      <c r="A119" s="3">
        <v>118</v>
      </c>
      <c r="B119" s="4" t="s">
        <v>153</v>
      </c>
      <c r="C119" s="4">
        <v>332</v>
      </c>
      <c r="D119" s="4" t="s">
        <v>151</v>
      </c>
      <c r="E119" s="4">
        <v>35000042</v>
      </c>
    </row>
    <row r="120" spans="1:5" ht="15.75" customHeight="1" x14ac:dyDescent="0.3">
      <c r="A120" s="3">
        <v>119</v>
      </c>
      <c r="B120" s="4" t="s">
        <v>154</v>
      </c>
      <c r="C120" s="4">
        <v>108</v>
      </c>
      <c r="D120" s="4" t="s">
        <v>151</v>
      </c>
      <c r="E120" s="4">
        <v>35000043</v>
      </c>
    </row>
    <row r="121" spans="1:5" ht="15.75" customHeight="1" x14ac:dyDescent="0.3">
      <c r="A121" s="3">
        <v>120</v>
      </c>
      <c r="B121" s="4" t="s">
        <v>155</v>
      </c>
      <c r="C121" s="4">
        <v>98</v>
      </c>
      <c r="D121" s="4" t="s">
        <v>151</v>
      </c>
      <c r="E121" s="4">
        <v>35000044</v>
      </c>
    </row>
    <row r="122" spans="1:5" ht="15.75" customHeight="1" x14ac:dyDescent="0.3">
      <c r="A122" s="3">
        <v>121</v>
      </c>
      <c r="B122" s="4" t="s">
        <v>156</v>
      </c>
      <c r="C122" s="4">
        <v>245</v>
      </c>
      <c r="D122" s="4" t="s">
        <v>151</v>
      </c>
      <c r="E122" s="4">
        <v>35000200</v>
      </c>
    </row>
    <row r="123" spans="1:5" ht="15.75" customHeight="1" x14ac:dyDescent="0.3">
      <c r="A123" s="3">
        <v>122</v>
      </c>
      <c r="B123" s="4" t="s">
        <v>157</v>
      </c>
      <c r="C123" s="4">
        <v>113</v>
      </c>
      <c r="D123" s="4" t="s">
        <v>151</v>
      </c>
      <c r="E123" s="4">
        <v>35000206</v>
      </c>
    </row>
    <row r="124" spans="1:5" ht="15.75" customHeight="1" x14ac:dyDescent="0.3">
      <c r="A124" s="3">
        <v>123</v>
      </c>
      <c r="B124" s="4" t="s">
        <v>158</v>
      </c>
      <c r="C124" s="4">
        <v>69</v>
      </c>
      <c r="D124" s="4" t="s">
        <v>151</v>
      </c>
      <c r="E124" s="4">
        <v>35000202</v>
      </c>
    </row>
    <row r="125" spans="1:5" ht="15.75" customHeight="1" x14ac:dyDescent="0.3">
      <c r="A125" s="3">
        <v>124</v>
      </c>
      <c r="B125" s="4" t="s">
        <v>159</v>
      </c>
      <c r="C125" s="4">
        <v>38</v>
      </c>
      <c r="D125" s="4" t="s">
        <v>151</v>
      </c>
      <c r="E125" s="4">
        <v>35000203</v>
      </c>
    </row>
    <row r="126" spans="1:5" ht="15.75" customHeight="1" x14ac:dyDescent="0.3">
      <c r="A126" s="3">
        <v>125</v>
      </c>
      <c r="B126" s="4" t="s">
        <v>160</v>
      </c>
      <c r="C126" s="4">
        <v>445</v>
      </c>
      <c r="D126" s="4" t="s">
        <v>161</v>
      </c>
      <c r="E126" s="4">
        <v>35000193</v>
      </c>
    </row>
    <row r="127" spans="1:5" ht="15.75" customHeight="1" x14ac:dyDescent="0.3">
      <c r="A127" s="3">
        <v>126</v>
      </c>
      <c r="B127" s="4" t="s">
        <v>162</v>
      </c>
      <c r="C127" s="4">
        <v>62</v>
      </c>
      <c r="D127" s="4" t="s">
        <v>163</v>
      </c>
      <c r="E127" s="4">
        <v>35000045</v>
      </c>
    </row>
    <row r="128" spans="1:5" ht="15.75" customHeight="1" x14ac:dyDescent="0.3">
      <c r="A128" s="3">
        <v>127</v>
      </c>
      <c r="B128" s="4" t="s">
        <v>164</v>
      </c>
      <c r="C128" s="4">
        <v>288</v>
      </c>
      <c r="D128" s="4" t="s">
        <v>163</v>
      </c>
      <c r="E128" s="4">
        <v>35000046</v>
      </c>
    </row>
    <row r="129" spans="1:5" ht="15.75" customHeight="1" x14ac:dyDescent="0.3">
      <c r="A129" s="3">
        <v>128</v>
      </c>
      <c r="B129" s="4" t="s">
        <v>165</v>
      </c>
      <c r="C129" s="4">
        <v>69</v>
      </c>
      <c r="D129" s="4" t="s">
        <v>163</v>
      </c>
      <c r="E129" s="4">
        <v>35000047</v>
      </c>
    </row>
    <row r="130" spans="1:5" ht="15.75" customHeight="1" x14ac:dyDescent="0.3">
      <c r="A130" s="3">
        <v>129</v>
      </c>
      <c r="B130" s="4" t="s">
        <v>166</v>
      </c>
      <c r="C130" s="4">
        <v>661</v>
      </c>
      <c r="D130" s="4" t="s">
        <v>167</v>
      </c>
      <c r="E130" s="4">
        <v>35000048</v>
      </c>
    </row>
    <row r="131" spans="1:5" ht="15.75" customHeight="1" x14ac:dyDescent="0.3">
      <c r="A131" s="3">
        <v>130</v>
      </c>
      <c r="B131" s="4" t="s">
        <v>168</v>
      </c>
      <c r="C131" s="4">
        <v>515</v>
      </c>
      <c r="D131" s="4" t="s">
        <v>169</v>
      </c>
      <c r="E131" s="4">
        <v>35000049</v>
      </c>
    </row>
    <row r="132" spans="1:5" ht="15.75" customHeight="1" x14ac:dyDescent="0.3">
      <c r="A132" s="3">
        <v>131</v>
      </c>
      <c r="B132" s="4" t="s">
        <v>170</v>
      </c>
      <c r="C132" s="4">
        <v>293</v>
      </c>
      <c r="D132" s="4" t="s">
        <v>169</v>
      </c>
      <c r="E132" s="4">
        <v>35000050</v>
      </c>
    </row>
    <row r="133" spans="1:5" ht="15.75" customHeight="1" x14ac:dyDescent="0.3">
      <c r="A133" s="3">
        <v>132</v>
      </c>
      <c r="B133" s="4" t="s">
        <v>171</v>
      </c>
      <c r="C133" s="4">
        <v>971</v>
      </c>
      <c r="D133" s="4" t="s">
        <v>169</v>
      </c>
      <c r="E133" s="4">
        <v>35000051</v>
      </c>
    </row>
    <row r="134" spans="1:5" ht="15.75" customHeight="1" x14ac:dyDescent="0.3">
      <c r="A134" s="3">
        <v>133</v>
      </c>
      <c r="B134" s="4" t="s">
        <v>172</v>
      </c>
      <c r="C134" s="4">
        <v>638</v>
      </c>
      <c r="D134" s="4" t="s">
        <v>169</v>
      </c>
      <c r="E134" s="4">
        <v>35000052</v>
      </c>
    </row>
    <row r="135" spans="1:5" ht="15.75" customHeight="1" x14ac:dyDescent="0.3">
      <c r="A135" s="3">
        <v>134</v>
      </c>
      <c r="B135" s="4" t="s">
        <v>173</v>
      </c>
      <c r="C135" s="4">
        <v>1911</v>
      </c>
      <c r="D135" s="4" t="s">
        <v>169</v>
      </c>
      <c r="E135" s="4">
        <v>35000053</v>
      </c>
    </row>
    <row r="136" spans="1:5" ht="15.75" customHeight="1" x14ac:dyDescent="0.3">
      <c r="A136" s="3">
        <v>135</v>
      </c>
      <c r="B136" s="4" t="s">
        <v>174</v>
      </c>
      <c r="C136" s="4">
        <v>1232</v>
      </c>
      <c r="D136" s="4" t="s">
        <v>175</v>
      </c>
      <c r="E136" s="4">
        <v>35000055</v>
      </c>
    </row>
    <row r="137" spans="1:5" ht="15.75" customHeight="1" x14ac:dyDescent="0.3">
      <c r="A137" s="3">
        <v>136</v>
      </c>
      <c r="B137" s="4" t="s">
        <v>176</v>
      </c>
      <c r="C137" s="4">
        <v>50</v>
      </c>
      <c r="D137" s="4" t="s">
        <v>175</v>
      </c>
      <c r="E137" s="4">
        <v>35000197</v>
      </c>
    </row>
    <row r="138" spans="1:5" ht="15.75" customHeight="1" x14ac:dyDescent="0.3">
      <c r="A138" s="3">
        <v>137</v>
      </c>
      <c r="B138" s="4" t="s">
        <v>177</v>
      </c>
      <c r="C138" s="4">
        <v>1155</v>
      </c>
      <c r="D138" s="4" t="s">
        <v>175</v>
      </c>
      <c r="E138" s="4">
        <v>35000056</v>
      </c>
    </row>
    <row r="139" spans="1:5" ht="15.75" customHeight="1" x14ac:dyDescent="0.3">
      <c r="A139" s="3">
        <v>138</v>
      </c>
      <c r="B139" s="4" t="s">
        <v>178</v>
      </c>
      <c r="C139" s="4">
        <v>422</v>
      </c>
      <c r="D139" s="4" t="s">
        <v>175</v>
      </c>
      <c r="E139" s="4">
        <v>35000057</v>
      </c>
    </row>
    <row r="140" spans="1:5" ht="15.75" customHeight="1" x14ac:dyDescent="0.3">
      <c r="A140" s="3">
        <v>139</v>
      </c>
      <c r="B140" s="4" t="s">
        <v>179</v>
      </c>
      <c r="C140" s="4">
        <v>194</v>
      </c>
      <c r="D140" s="4" t="s">
        <v>175</v>
      </c>
      <c r="E140" s="4">
        <v>35000058</v>
      </c>
    </row>
    <row r="141" spans="1:5" ht="15.75" customHeight="1" x14ac:dyDescent="0.3">
      <c r="A141" s="3">
        <v>140</v>
      </c>
      <c r="B141" s="4" t="s">
        <v>180</v>
      </c>
      <c r="C141" s="4">
        <v>684</v>
      </c>
      <c r="D141" s="4" t="s">
        <v>175</v>
      </c>
      <c r="E141" s="4">
        <v>35000059</v>
      </c>
    </row>
    <row r="142" spans="1:5" ht="15.75" customHeight="1" x14ac:dyDescent="0.3">
      <c r="A142" s="3">
        <v>141</v>
      </c>
      <c r="B142" s="4" t="s">
        <v>181</v>
      </c>
      <c r="C142" s="4">
        <v>461</v>
      </c>
      <c r="D142" s="4" t="s">
        <v>175</v>
      </c>
      <c r="E142" s="4">
        <v>35000060</v>
      </c>
    </row>
    <row r="143" spans="1:5" ht="15.75" customHeight="1" x14ac:dyDescent="0.3">
      <c r="A143" s="3">
        <v>142</v>
      </c>
      <c r="B143" s="4" t="s">
        <v>182</v>
      </c>
      <c r="C143" s="4">
        <v>1554</v>
      </c>
      <c r="D143" s="4" t="s">
        <v>183</v>
      </c>
      <c r="E143" s="4">
        <v>35000061</v>
      </c>
    </row>
    <row r="144" spans="1:5" ht="15.75" customHeight="1" x14ac:dyDescent="0.3">
      <c r="A144" s="3">
        <v>143</v>
      </c>
      <c r="B144" s="4" t="s">
        <v>184</v>
      </c>
      <c r="C144" s="4">
        <v>745</v>
      </c>
      <c r="D144" s="4" t="s">
        <v>185</v>
      </c>
      <c r="E144" s="4">
        <v>35000062</v>
      </c>
    </row>
    <row r="145" spans="1:5" ht="15.75" customHeight="1" x14ac:dyDescent="0.3">
      <c r="A145" s="3">
        <v>144</v>
      </c>
      <c r="B145" s="4" t="s">
        <v>186</v>
      </c>
      <c r="C145" s="4">
        <v>230</v>
      </c>
      <c r="D145" s="4" t="s">
        <v>187</v>
      </c>
      <c r="E145" s="4">
        <v>35000063</v>
      </c>
    </row>
    <row r="146" spans="1:5" ht="15.75" customHeight="1" x14ac:dyDescent="0.3">
      <c r="A146" s="3">
        <v>145</v>
      </c>
      <c r="B146" s="4" t="s">
        <v>130</v>
      </c>
      <c r="C146" s="4">
        <v>367</v>
      </c>
      <c r="D146" s="4" t="s">
        <v>188</v>
      </c>
      <c r="E146" s="4">
        <v>35000064</v>
      </c>
    </row>
    <row r="147" spans="1:5" ht="15.75" customHeight="1" x14ac:dyDescent="0.3">
      <c r="A147" s="3">
        <v>146</v>
      </c>
      <c r="B147" s="4" t="s">
        <v>189</v>
      </c>
      <c r="C147" s="4">
        <v>215</v>
      </c>
      <c r="D147" s="4" t="s">
        <v>188</v>
      </c>
      <c r="E147" s="4">
        <v>35000065</v>
      </c>
    </row>
    <row r="148" spans="1:5" ht="15.75" customHeight="1" x14ac:dyDescent="0.3">
      <c r="A148" s="3">
        <v>147</v>
      </c>
      <c r="B148" s="4" t="s">
        <v>190</v>
      </c>
      <c r="C148" s="4">
        <v>165</v>
      </c>
      <c r="D148" s="4" t="s">
        <v>188</v>
      </c>
      <c r="E148" s="4">
        <v>35000066</v>
      </c>
    </row>
    <row r="149" spans="1:5" ht="15.75" customHeight="1" x14ac:dyDescent="0.3">
      <c r="A149" s="3">
        <v>148</v>
      </c>
      <c r="B149" s="4" t="s">
        <v>191</v>
      </c>
      <c r="C149" s="4">
        <v>629</v>
      </c>
      <c r="D149" s="4" t="s">
        <v>188</v>
      </c>
      <c r="E149" s="4">
        <v>35000067</v>
      </c>
    </row>
    <row r="150" spans="1:5" ht="15.75" customHeight="1" x14ac:dyDescent="0.3">
      <c r="A150" s="3">
        <v>149</v>
      </c>
      <c r="B150" s="4" t="s">
        <v>192</v>
      </c>
      <c r="C150" s="4">
        <v>2340</v>
      </c>
      <c r="D150" s="4" t="s">
        <v>188</v>
      </c>
      <c r="E150" s="4">
        <v>35000068</v>
      </c>
    </row>
    <row r="151" spans="1:5" ht="15.75" customHeight="1" x14ac:dyDescent="0.3">
      <c r="A151" s="3">
        <v>150</v>
      </c>
      <c r="B151" s="4" t="s">
        <v>193</v>
      </c>
      <c r="C151" s="4">
        <v>789</v>
      </c>
      <c r="D151" s="4" t="s">
        <v>188</v>
      </c>
      <c r="E151" s="4">
        <v>35000069</v>
      </c>
    </row>
    <row r="152" spans="1:5" ht="15.75" customHeight="1" x14ac:dyDescent="0.3">
      <c r="A152" s="3">
        <v>151</v>
      </c>
      <c r="B152" s="4" t="s">
        <v>194</v>
      </c>
      <c r="C152" s="4">
        <v>209</v>
      </c>
      <c r="D152" s="4" t="s">
        <v>188</v>
      </c>
      <c r="E152" s="4">
        <v>35000070</v>
      </c>
    </row>
    <row r="153" spans="1:5" ht="15.75" customHeight="1" x14ac:dyDescent="0.3">
      <c r="A153" s="3">
        <v>152</v>
      </c>
      <c r="B153" s="4" t="s">
        <v>195</v>
      </c>
      <c r="C153" s="4">
        <v>13</v>
      </c>
      <c r="D153" s="4" t="s">
        <v>196</v>
      </c>
      <c r="E153" s="4">
        <v>35000071</v>
      </c>
    </row>
    <row r="154" spans="1:5" ht="15.75" customHeight="1" x14ac:dyDescent="0.3">
      <c r="A154" s="3">
        <v>153</v>
      </c>
      <c r="B154" s="4" t="s">
        <v>197</v>
      </c>
      <c r="C154" s="4">
        <v>20</v>
      </c>
      <c r="D154" s="4" t="s">
        <v>188</v>
      </c>
      <c r="E154" s="4">
        <v>35000198</v>
      </c>
    </row>
    <row r="155" spans="1:5" ht="15.75" customHeight="1" x14ac:dyDescent="0.3">
      <c r="A155" s="3">
        <v>154</v>
      </c>
      <c r="B155" s="4" t="s">
        <v>198</v>
      </c>
      <c r="C155" s="4">
        <v>54</v>
      </c>
      <c r="D155" s="4" t="s">
        <v>187</v>
      </c>
      <c r="E155" s="4">
        <v>35000199</v>
      </c>
    </row>
    <row r="156" spans="1:5" ht="15.75" customHeight="1" x14ac:dyDescent="0.3">
      <c r="A156" s="3">
        <v>155</v>
      </c>
      <c r="B156" s="4" t="s">
        <v>199</v>
      </c>
      <c r="C156" s="4">
        <v>2143</v>
      </c>
      <c r="D156" s="4" t="s">
        <v>200</v>
      </c>
      <c r="E156" s="4">
        <v>35000073</v>
      </c>
    </row>
    <row r="157" spans="1:5" ht="15.75" customHeight="1" x14ac:dyDescent="0.3">
      <c r="A157" s="3">
        <v>156</v>
      </c>
      <c r="B157" s="4" t="s">
        <v>201</v>
      </c>
      <c r="C157" s="4">
        <v>2721</v>
      </c>
      <c r="D157" s="4" t="s">
        <v>202</v>
      </c>
      <c r="E157" s="4">
        <v>35000074</v>
      </c>
    </row>
    <row r="158" spans="1:5" ht="15.75" customHeight="1" x14ac:dyDescent="0.3">
      <c r="A158" s="3">
        <v>157</v>
      </c>
      <c r="B158" s="4" t="s">
        <v>203</v>
      </c>
      <c r="C158" s="4">
        <v>1146</v>
      </c>
      <c r="D158" s="4" t="s">
        <v>202</v>
      </c>
      <c r="E158" s="4">
        <v>35000075</v>
      </c>
    </row>
    <row r="159" spans="1:5" ht="15.75" customHeight="1" x14ac:dyDescent="0.3">
      <c r="A159" s="3">
        <v>158</v>
      </c>
      <c r="B159" s="4" t="s">
        <v>204</v>
      </c>
      <c r="C159" s="4">
        <v>1151</v>
      </c>
      <c r="D159" s="4" t="s">
        <v>205</v>
      </c>
      <c r="E159" s="4">
        <v>35000076</v>
      </c>
    </row>
    <row r="160" spans="1:5" ht="15.75" customHeight="1" x14ac:dyDescent="0.3">
      <c r="A160" s="3">
        <v>159</v>
      </c>
      <c r="B160" s="4" t="s">
        <v>206</v>
      </c>
      <c r="C160" s="4">
        <v>319</v>
      </c>
      <c r="D160" s="4" t="s">
        <v>205</v>
      </c>
      <c r="E160" s="4">
        <v>35000077</v>
      </c>
    </row>
    <row r="161" spans="1:5" ht="15.75" customHeight="1" x14ac:dyDescent="0.3">
      <c r="A161" s="3">
        <v>160</v>
      </c>
      <c r="B161" s="4" t="s">
        <v>207</v>
      </c>
      <c r="C161" s="4">
        <v>309</v>
      </c>
      <c r="D161" s="4" t="s">
        <v>208</v>
      </c>
      <c r="E161" s="4">
        <v>35000078</v>
      </c>
    </row>
    <row r="162" spans="1:5" ht="15.75" customHeight="1" x14ac:dyDescent="0.3">
      <c r="A162" s="3">
        <v>161</v>
      </c>
      <c r="B162" s="4" t="s">
        <v>209</v>
      </c>
      <c r="C162" s="4">
        <v>350</v>
      </c>
      <c r="D162" s="4" t="s">
        <v>208</v>
      </c>
      <c r="E162" s="4">
        <v>35000079</v>
      </c>
    </row>
    <row r="163" spans="1:5" ht="15.75" customHeight="1" x14ac:dyDescent="0.3">
      <c r="A163" s="3">
        <v>162</v>
      </c>
      <c r="B163" s="4" t="s">
        <v>210</v>
      </c>
      <c r="C163" s="4">
        <v>63</v>
      </c>
      <c r="D163" s="4" t="s">
        <v>208</v>
      </c>
      <c r="E163" s="4">
        <v>35000080</v>
      </c>
    </row>
    <row r="164" spans="1:5" ht="15.75" customHeight="1" x14ac:dyDescent="0.3">
      <c r="A164" s="3">
        <v>163</v>
      </c>
      <c r="B164" s="4" t="s">
        <v>211</v>
      </c>
      <c r="C164" s="4">
        <v>777</v>
      </c>
      <c r="D164" s="4" t="s">
        <v>212</v>
      </c>
      <c r="E164" s="4">
        <v>35000081</v>
      </c>
    </row>
    <row r="165" spans="1:5" ht="15.75" customHeight="1" x14ac:dyDescent="0.3">
      <c r="A165" s="3">
        <v>164</v>
      </c>
      <c r="B165" s="4" t="s">
        <v>213</v>
      </c>
      <c r="C165" s="4">
        <v>80</v>
      </c>
      <c r="D165" s="4" t="s">
        <v>208</v>
      </c>
      <c r="E165" s="4">
        <v>35000204</v>
      </c>
    </row>
    <row r="166" spans="1:5" ht="15.75" customHeight="1" x14ac:dyDescent="0.3">
      <c r="A166" s="3">
        <v>165</v>
      </c>
      <c r="B166" s="4" t="s">
        <v>214</v>
      </c>
      <c r="C166" s="4">
        <v>190</v>
      </c>
      <c r="D166" s="4" t="s">
        <v>215</v>
      </c>
      <c r="E166" s="4">
        <v>35000082</v>
      </c>
    </row>
    <row r="167" spans="1:5" ht="15.75" customHeight="1" x14ac:dyDescent="0.3">
      <c r="A167" s="3">
        <v>166</v>
      </c>
      <c r="B167" s="4" t="s">
        <v>216</v>
      </c>
      <c r="C167" s="4">
        <v>151</v>
      </c>
      <c r="D167" s="4" t="s">
        <v>215</v>
      </c>
      <c r="E167" s="4">
        <v>35000083</v>
      </c>
    </row>
    <row r="168" spans="1:5" ht="15.75" customHeight="1" x14ac:dyDescent="0.3">
      <c r="A168" s="3">
        <v>167</v>
      </c>
      <c r="B168" s="4" t="s">
        <v>217</v>
      </c>
      <c r="C168" s="4">
        <v>62</v>
      </c>
      <c r="D168" s="4" t="s">
        <v>215</v>
      </c>
      <c r="E168" s="4">
        <v>35000084</v>
      </c>
    </row>
    <row r="169" spans="1:5" ht="15.75" customHeight="1" x14ac:dyDescent="0.3">
      <c r="A169" s="3">
        <v>168</v>
      </c>
      <c r="B169" s="4" t="s">
        <v>218</v>
      </c>
      <c r="C169" s="4">
        <v>696</v>
      </c>
      <c r="D169" s="4" t="s">
        <v>215</v>
      </c>
      <c r="E169" s="4">
        <v>35000085</v>
      </c>
    </row>
    <row r="170" spans="1:5" ht="15.75" customHeight="1" x14ac:dyDescent="0.3">
      <c r="A170" s="3">
        <v>169</v>
      </c>
      <c r="B170" s="4" t="s">
        <v>219</v>
      </c>
      <c r="C170" s="4">
        <v>598</v>
      </c>
      <c r="D170" s="4" t="s">
        <v>215</v>
      </c>
      <c r="E170" s="4">
        <v>35000086</v>
      </c>
    </row>
    <row r="171" spans="1:5" ht="15.75" customHeight="1" x14ac:dyDescent="0.3">
      <c r="A171" s="3">
        <v>170</v>
      </c>
      <c r="B171" s="4" t="s">
        <v>220</v>
      </c>
      <c r="C171" s="4">
        <v>445</v>
      </c>
      <c r="D171" s="4" t="s">
        <v>215</v>
      </c>
      <c r="E171" s="4">
        <v>35000087</v>
      </c>
    </row>
    <row r="172" spans="1:5" ht="15.75" customHeight="1" x14ac:dyDescent="0.3">
      <c r="A172" s="3">
        <v>171</v>
      </c>
      <c r="B172" s="4" t="s">
        <v>221</v>
      </c>
      <c r="C172" s="4">
        <v>64</v>
      </c>
      <c r="D172" s="4" t="s">
        <v>215</v>
      </c>
      <c r="E172" s="4">
        <v>35000207</v>
      </c>
    </row>
    <row r="173" spans="1:5" ht="15.75" customHeight="1" x14ac:dyDescent="0.3">
      <c r="A173" s="3">
        <v>172</v>
      </c>
      <c r="B173" s="4" t="s">
        <v>222</v>
      </c>
      <c r="C173" s="4">
        <v>695</v>
      </c>
      <c r="D173" s="4" t="s">
        <v>223</v>
      </c>
      <c r="E173" s="4">
        <v>35000090</v>
      </c>
    </row>
    <row r="174" spans="1:5" ht="15.75" customHeight="1" x14ac:dyDescent="0.3">
      <c r="A174" s="3">
        <v>173</v>
      </c>
      <c r="B174" s="4" t="s">
        <v>224</v>
      </c>
      <c r="C174" s="4">
        <v>463</v>
      </c>
      <c r="D174" s="4" t="s">
        <v>223</v>
      </c>
      <c r="E174" s="4">
        <v>35000091</v>
      </c>
    </row>
    <row r="175" spans="1:5" ht="15.75" customHeight="1" x14ac:dyDescent="0.3">
      <c r="A175" s="3">
        <v>174</v>
      </c>
      <c r="B175" s="4" t="s">
        <v>225</v>
      </c>
      <c r="C175" s="4">
        <v>296</v>
      </c>
      <c r="D175" s="4" t="s">
        <v>223</v>
      </c>
      <c r="E175" s="4">
        <v>35000092</v>
      </c>
    </row>
    <row r="176" spans="1:5" ht="15.75" customHeight="1" x14ac:dyDescent="0.3">
      <c r="A176" s="3">
        <v>175</v>
      </c>
      <c r="B176" s="4" t="s">
        <v>226</v>
      </c>
      <c r="C176" s="4">
        <v>2581</v>
      </c>
      <c r="D176" s="4" t="s">
        <v>223</v>
      </c>
      <c r="E176" s="4">
        <v>35000093</v>
      </c>
    </row>
    <row r="177" spans="1:5" ht="15.75" customHeight="1" x14ac:dyDescent="0.3">
      <c r="A177" s="3">
        <v>176</v>
      </c>
      <c r="B177" s="4" t="s">
        <v>227</v>
      </c>
      <c r="C177" s="4">
        <v>876</v>
      </c>
      <c r="D177" s="4" t="s">
        <v>228</v>
      </c>
      <c r="E177" s="4">
        <v>35000094</v>
      </c>
    </row>
    <row r="178" spans="1:5" ht="15.75" customHeight="1" x14ac:dyDescent="0.3">
      <c r="A178" s="3">
        <v>177</v>
      </c>
      <c r="B178" s="4" t="s">
        <v>229</v>
      </c>
      <c r="C178" s="4">
        <v>1185</v>
      </c>
      <c r="D178" s="4" t="s">
        <v>230</v>
      </c>
      <c r="E178" s="4">
        <v>35000141</v>
      </c>
    </row>
    <row r="179" spans="1:5" ht="15.75" customHeight="1" x14ac:dyDescent="0.3">
      <c r="A179" s="3">
        <v>178</v>
      </c>
      <c r="B179" s="4" t="s">
        <v>231</v>
      </c>
      <c r="C179" s="4">
        <v>1120</v>
      </c>
      <c r="D179" s="4" t="s">
        <v>230</v>
      </c>
      <c r="E179" s="4">
        <v>35000140</v>
      </c>
    </row>
    <row r="180" spans="1:5" ht="15.75" customHeight="1" x14ac:dyDescent="0.3"/>
    <row r="181" spans="1:5" ht="15.75" customHeight="1" x14ac:dyDescent="0.3"/>
    <row r="182" spans="1:5" ht="15.75" customHeight="1" x14ac:dyDescent="0.3"/>
    <row r="183" spans="1:5" ht="15.75" customHeight="1" x14ac:dyDescent="0.3"/>
    <row r="184" spans="1:5" ht="15.75" customHeight="1" x14ac:dyDescent="0.3"/>
    <row r="185" spans="1:5" ht="15.75" customHeight="1" x14ac:dyDescent="0.3"/>
    <row r="186" spans="1:5" ht="15.75" customHeight="1" x14ac:dyDescent="0.3"/>
    <row r="187" spans="1:5" ht="15.75" customHeight="1" x14ac:dyDescent="0.3"/>
    <row r="188" spans="1:5" ht="15.75" customHeight="1" x14ac:dyDescent="0.3"/>
    <row r="189" spans="1:5" ht="15.75" customHeight="1" x14ac:dyDescent="0.3"/>
    <row r="190" spans="1:5" ht="15.75" customHeight="1" x14ac:dyDescent="0.3"/>
    <row r="191" spans="1:5" ht="15.75" customHeight="1" x14ac:dyDescent="0.3"/>
    <row r="192" spans="1:5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Z1000"/>
  <sheetViews>
    <sheetView workbookViewId="0"/>
  </sheetViews>
  <sheetFormatPr defaultColWidth="14.44140625" defaultRowHeight="15" customHeight="1" x14ac:dyDescent="0.3"/>
  <cols>
    <col min="1" max="1" width="5.33203125" customWidth="1"/>
    <col min="2" max="2" width="34.88671875" customWidth="1"/>
    <col min="3" max="3" width="15.44140625" customWidth="1"/>
    <col min="4" max="4" width="33.6640625" customWidth="1"/>
    <col min="5" max="5" width="12.5546875" customWidth="1"/>
    <col min="6" max="26" width="8.6640625" customWidth="1"/>
  </cols>
  <sheetData>
    <row r="1" spans="1:26" ht="21" customHeight="1" x14ac:dyDescent="0.3">
      <c r="A1" s="234" t="s">
        <v>232</v>
      </c>
      <c r="B1" s="235"/>
      <c r="C1" s="235"/>
      <c r="D1" s="235"/>
      <c r="E1" s="235"/>
    </row>
    <row r="2" spans="1:26" ht="42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7" t="s">
        <v>233</v>
      </c>
      <c r="B3" s="231" t="s">
        <v>234</v>
      </c>
      <c r="C3" s="232"/>
      <c r="D3" s="232"/>
      <c r="E3" s="233"/>
      <c r="F3" s="8">
        <v>1</v>
      </c>
      <c r="G3" s="9" t="s">
        <v>235</v>
      </c>
      <c r="H3" s="8"/>
      <c r="I3" s="1"/>
      <c r="J3" s="1"/>
      <c r="K3" s="10">
        <f>+SUM(C4:C8,C10:C11,C13:C23)</f>
        <v>4041</v>
      </c>
      <c r="L3" s="11">
        <v>18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2">
        <v>1</v>
      </c>
      <c r="B4" s="13" t="s">
        <v>109</v>
      </c>
      <c r="C4" s="14">
        <v>148</v>
      </c>
      <c r="D4" s="13" t="s">
        <v>110</v>
      </c>
      <c r="E4" s="13">
        <v>35000001</v>
      </c>
      <c r="F4" s="15">
        <v>2</v>
      </c>
      <c r="G4" s="16" t="s">
        <v>116</v>
      </c>
      <c r="H4" s="16"/>
      <c r="I4" s="16"/>
      <c r="J4" s="16"/>
      <c r="K4" s="17">
        <f>+C9+C12</f>
        <v>739</v>
      </c>
      <c r="L4" s="16">
        <v>2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4" x14ac:dyDescent="0.3">
      <c r="A5" s="12">
        <v>2</v>
      </c>
      <c r="B5" s="13" t="s">
        <v>111</v>
      </c>
      <c r="C5" s="14">
        <v>156</v>
      </c>
      <c r="D5" s="13" t="s">
        <v>110</v>
      </c>
      <c r="E5" s="13">
        <v>35000002</v>
      </c>
      <c r="F5" s="8">
        <v>3</v>
      </c>
      <c r="G5" s="16" t="s">
        <v>134</v>
      </c>
      <c r="H5" s="16"/>
      <c r="I5" s="16"/>
      <c r="J5" s="16"/>
      <c r="K5" s="17">
        <f>+C24</f>
        <v>165</v>
      </c>
      <c r="L5" s="16">
        <v>1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4.4" x14ac:dyDescent="0.3">
      <c r="A6" s="12">
        <v>3</v>
      </c>
      <c r="B6" s="13" t="s">
        <v>112</v>
      </c>
      <c r="C6" s="14">
        <v>1212</v>
      </c>
      <c r="D6" s="13" t="s">
        <v>110</v>
      </c>
      <c r="E6" s="13">
        <v>35000003</v>
      </c>
      <c r="F6" s="15">
        <v>4</v>
      </c>
      <c r="G6" s="16" t="s">
        <v>132</v>
      </c>
      <c r="H6" s="16"/>
      <c r="I6" s="16"/>
      <c r="J6" s="16"/>
      <c r="K6" s="17">
        <f>+C25+C40+C41</f>
        <v>5423</v>
      </c>
      <c r="L6" s="16">
        <v>3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4" x14ac:dyDescent="0.3">
      <c r="A7" s="12">
        <v>4</v>
      </c>
      <c r="B7" s="13" t="s">
        <v>113</v>
      </c>
      <c r="C7" s="14">
        <v>20</v>
      </c>
      <c r="D7" s="13" t="s">
        <v>110</v>
      </c>
      <c r="E7" s="13">
        <v>35000004</v>
      </c>
      <c r="F7" s="8">
        <v>5</v>
      </c>
      <c r="G7" s="16" t="s">
        <v>138</v>
      </c>
      <c r="H7" s="16"/>
      <c r="I7" s="16"/>
      <c r="J7" s="16"/>
      <c r="K7" s="17">
        <f>+SUM(C26:C35)</f>
        <v>522</v>
      </c>
      <c r="L7" s="16">
        <v>10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4" x14ac:dyDescent="0.3">
      <c r="A8" s="12">
        <v>5</v>
      </c>
      <c r="B8" s="13" t="s">
        <v>114</v>
      </c>
      <c r="C8" s="14">
        <v>527</v>
      </c>
      <c r="D8" s="13" t="s">
        <v>110</v>
      </c>
      <c r="E8" s="13">
        <v>35000005</v>
      </c>
      <c r="F8" s="15">
        <v>6</v>
      </c>
      <c r="G8" s="16" t="s">
        <v>149</v>
      </c>
      <c r="H8" s="16"/>
      <c r="I8" s="16"/>
      <c r="J8" s="16"/>
      <c r="K8" s="17">
        <f t="shared" ref="K8:K10" si="0">+C36</f>
        <v>461</v>
      </c>
      <c r="L8" s="16">
        <v>1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4" x14ac:dyDescent="0.3">
      <c r="A9" s="18">
        <v>6</v>
      </c>
      <c r="B9" s="19" t="s">
        <v>115</v>
      </c>
      <c r="C9" s="20">
        <v>457</v>
      </c>
      <c r="D9" s="19" t="s">
        <v>116</v>
      </c>
      <c r="E9" s="19">
        <v>35000006</v>
      </c>
      <c r="F9" s="8">
        <v>7</v>
      </c>
      <c r="G9" s="21" t="s">
        <v>13</v>
      </c>
      <c r="H9" s="21"/>
      <c r="I9" s="21"/>
      <c r="J9" s="21"/>
      <c r="K9" s="22">
        <f t="shared" si="0"/>
        <v>1763</v>
      </c>
      <c r="L9" s="21">
        <v>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4.4" x14ac:dyDescent="0.3">
      <c r="A10" s="12">
        <v>7</v>
      </c>
      <c r="B10" s="13" t="s">
        <v>117</v>
      </c>
      <c r="C10" s="14">
        <v>107</v>
      </c>
      <c r="D10" s="13" t="s">
        <v>110</v>
      </c>
      <c r="E10" s="13">
        <v>35000007</v>
      </c>
      <c r="F10" s="15">
        <v>8</v>
      </c>
      <c r="G10" s="16" t="s">
        <v>108</v>
      </c>
      <c r="H10" s="16"/>
      <c r="I10" s="16"/>
      <c r="J10" s="16"/>
      <c r="K10" s="22">
        <f t="shared" si="0"/>
        <v>1378</v>
      </c>
      <c r="L10" s="16">
        <v>1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4" x14ac:dyDescent="0.3">
      <c r="A11" s="12">
        <v>8</v>
      </c>
      <c r="B11" s="13" t="s">
        <v>118</v>
      </c>
      <c r="C11" s="14">
        <v>39</v>
      </c>
      <c r="D11" s="13" t="s">
        <v>110</v>
      </c>
      <c r="E11" s="13">
        <v>35000008</v>
      </c>
      <c r="F11" s="8">
        <v>9</v>
      </c>
      <c r="G11" s="16" t="s">
        <v>151</v>
      </c>
      <c r="H11" s="16"/>
      <c r="I11" s="16"/>
      <c r="J11" s="16"/>
      <c r="K11" s="17">
        <f>+SUM(C42:C50)</f>
        <v>1653</v>
      </c>
      <c r="L11" s="16">
        <v>9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4.4" x14ac:dyDescent="0.3">
      <c r="A12" s="18">
        <v>9</v>
      </c>
      <c r="B12" s="19" t="s">
        <v>119</v>
      </c>
      <c r="C12" s="20">
        <v>282</v>
      </c>
      <c r="D12" s="19" t="s">
        <v>116</v>
      </c>
      <c r="E12" s="19">
        <v>35000009</v>
      </c>
      <c r="F12" s="15">
        <v>10</v>
      </c>
      <c r="G12" s="21" t="s">
        <v>49</v>
      </c>
      <c r="H12" s="21"/>
      <c r="I12" s="21"/>
      <c r="J12" s="21"/>
      <c r="K12" s="22">
        <f>+SUM(C51:C52)</f>
        <v>2723</v>
      </c>
      <c r="L12" s="21">
        <v>2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4.4" x14ac:dyDescent="0.3">
      <c r="A13" s="12">
        <v>10</v>
      </c>
      <c r="B13" s="13" t="s">
        <v>120</v>
      </c>
      <c r="C13" s="14">
        <v>726</v>
      </c>
      <c r="D13" s="13" t="s">
        <v>110</v>
      </c>
      <c r="E13" s="13">
        <v>35000010</v>
      </c>
      <c r="F13" s="8">
        <v>11</v>
      </c>
      <c r="G13" s="16" t="s">
        <v>60</v>
      </c>
      <c r="H13" s="16"/>
      <c r="I13" s="16"/>
      <c r="J13" s="16"/>
      <c r="K13" s="17">
        <f>+SUM(C53:C55)</f>
        <v>3866</v>
      </c>
      <c r="L13" s="16">
        <v>3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4" x14ac:dyDescent="0.3">
      <c r="A14" s="12">
        <v>11</v>
      </c>
      <c r="B14" s="13" t="s">
        <v>121</v>
      </c>
      <c r="C14" s="14">
        <v>63</v>
      </c>
      <c r="D14" s="13" t="s">
        <v>110</v>
      </c>
      <c r="E14" s="13">
        <v>35000011</v>
      </c>
      <c r="F14" s="15">
        <v>12</v>
      </c>
      <c r="G14" s="16" t="s">
        <v>35</v>
      </c>
      <c r="H14" s="16"/>
      <c r="I14" s="16"/>
      <c r="J14" s="16"/>
      <c r="K14" s="17">
        <f>+SUM(C56:C57)</f>
        <v>2994</v>
      </c>
      <c r="L14" s="16">
        <v>2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4" x14ac:dyDescent="0.3">
      <c r="A15" s="12">
        <v>12</v>
      </c>
      <c r="B15" s="13" t="s">
        <v>122</v>
      </c>
      <c r="C15" s="14">
        <v>70</v>
      </c>
      <c r="D15" s="13" t="s">
        <v>110</v>
      </c>
      <c r="E15" s="13">
        <v>35000012</v>
      </c>
      <c r="F15" s="8">
        <v>13</v>
      </c>
      <c r="G15" s="16" t="s">
        <v>161</v>
      </c>
      <c r="H15" s="16"/>
      <c r="I15" s="16"/>
      <c r="J15" s="16"/>
      <c r="K15" s="17">
        <f>+C58</f>
        <v>445</v>
      </c>
      <c r="L15" s="16">
        <v>1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4.4" x14ac:dyDescent="0.3">
      <c r="A16" s="12">
        <v>13</v>
      </c>
      <c r="B16" s="13" t="s">
        <v>123</v>
      </c>
      <c r="C16" s="14">
        <v>53</v>
      </c>
      <c r="D16" s="13" t="s">
        <v>110</v>
      </c>
      <c r="E16" s="13">
        <v>35000013</v>
      </c>
      <c r="F16" s="15">
        <v>14</v>
      </c>
      <c r="G16" s="16" t="s">
        <v>163</v>
      </c>
      <c r="H16" s="16"/>
      <c r="I16" s="16"/>
      <c r="J16" s="16"/>
      <c r="K16" s="17">
        <f>+SUM(C60:C63)</f>
        <v>1080</v>
      </c>
      <c r="L16" s="16">
        <v>4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4" x14ac:dyDescent="0.3">
      <c r="A17" s="12">
        <v>14</v>
      </c>
      <c r="B17" s="13" t="s">
        <v>124</v>
      </c>
      <c r="C17" s="14">
        <v>193</v>
      </c>
      <c r="D17" s="13" t="s">
        <v>110</v>
      </c>
      <c r="E17" s="13">
        <v>35000014</v>
      </c>
      <c r="F17" s="8">
        <v>15</v>
      </c>
      <c r="G17" s="16" t="s">
        <v>169</v>
      </c>
      <c r="H17" s="16"/>
      <c r="I17" s="16"/>
      <c r="J17" s="16"/>
      <c r="K17" s="17">
        <f>+SUM(C64:C68)</f>
        <v>4328</v>
      </c>
      <c r="L17" s="16">
        <v>5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4.4" x14ac:dyDescent="0.3">
      <c r="A18" s="12">
        <v>15</v>
      </c>
      <c r="B18" s="13" t="s">
        <v>125</v>
      </c>
      <c r="C18" s="14">
        <v>455</v>
      </c>
      <c r="D18" s="13" t="s">
        <v>110</v>
      </c>
      <c r="E18" s="13">
        <v>35000015</v>
      </c>
      <c r="F18" s="15">
        <v>16</v>
      </c>
      <c r="G18" s="16" t="s">
        <v>58</v>
      </c>
      <c r="H18" s="16"/>
      <c r="I18" s="16"/>
      <c r="J18" s="16"/>
      <c r="K18" s="17">
        <f>+C69</f>
        <v>1055</v>
      </c>
      <c r="L18" s="16">
        <v>1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4.4" x14ac:dyDescent="0.3">
      <c r="A19" s="12">
        <v>16</v>
      </c>
      <c r="B19" s="13" t="s">
        <v>126</v>
      </c>
      <c r="C19" s="14">
        <v>16</v>
      </c>
      <c r="D19" s="13" t="s">
        <v>110</v>
      </c>
      <c r="E19" s="13">
        <v>35000016</v>
      </c>
      <c r="F19" s="8">
        <v>17</v>
      </c>
      <c r="G19" s="16" t="s">
        <v>200</v>
      </c>
      <c r="H19" s="16"/>
      <c r="I19" s="16"/>
      <c r="J19" s="16"/>
      <c r="K19" s="17">
        <f>+C71</f>
        <v>2143</v>
      </c>
      <c r="L19" s="16">
        <v>1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4.4" x14ac:dyDescent="0.3">
      <c r="A20" s="12">
        <v>17</v>
      </c>
      <c r="B20" s="13" t="s">
        <v>127</v>
      </c>
      <c r="C20" s="14">
        <v>32</v>
      </c>
      <c r="D20" s="13" t="s">
        <v>110</v>
      </c>
      <c r="E20" s="13">
        <v>35000017</v>
      </c>
      <c r="F20" s="15">
        <v>18</v>
      </c>
      <c r="G20" s="16" t="s">
        <v>202</v>
      </c>
      <c r="H20" s="16"/>
      <c r="I20" s="16"/>
      <c r="J20" s="16"/>
      <c r="K20" s="17">
        <f>+SUM(C72:C73)</f>
        <v>3867</v>
      </c>
      <c r="L20" s="16">
        <v>2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3">
      <c r="A21" s="12">
        <v>18</v>
      </c>
      <c r="B21" s="13" t="s">
        <v>128</v>
      </c>
      <c r="C21" s="14">
        <v>46</v>
      </c>
      <c r="D21" s="13" t="s">
        <v>110</v>
      </c>
      <c r="E21" s="13">
        <v>35000018</v>
      </c>
      <c r="F21" s="8">
        <v>19</v>
      </c>
      <c r="G21" s="16" t="s">
        <v>15</v>
      </c>
      <c r="H21" s="16"/>
      <c r="I21" s="16"/>
      <c r="J21" s="16"/>
      <c r="K21" s="17">
        <f>+SUM(C74:C76)</f>
        <v>4224</v>
      </c>
      <c r="L21" s="16">
        <v>3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3">
      <c r="A22" s="12">
        <v>19</v>
      </c>
      <c r="B22" s="13" t="s">
        <v>129</v>
      </c>
      <c r="C22" s="14">
        <v>59</v>
      </c>
      <c r="D22" s="13" t="s">
        <v>110</v>
      </c>
      <c r="E22" s="13">
        <v>35000019</v>
      </c>
      <c r="F22" s="15">
        <v>20</v>
      </c>
      <c r="G22" s="16" t="s">
        <v>103</v>
      </c>
      <c r="H22" s="16"/>
      <c r="I22" s="16"/>
      <c r="J22" s="16"/>
      <c r="K22" s="17">
        <f>+SUM(C77:C80)</f>
        <v>6518</v>
      </c>
      <c r="L22" s="16">
        <v>4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3">
      <c r="A23" s="12">
        <v>20</v>
      </c>
      <c r="B23" s="13" t="s">
        <v>130</v>
      </c>
      <c r="C23" s="14">
        <v>119</v>
      </c>
      <c r="D23" s="13" t="s">
        <v>110</v>
      </c>
      <c r="E23" s="13">
        <v>35003010</v>
      </c>
      <c r="F23" s="8">
        <v>21</v>
      </c>
      <c r="G23" s="16" t="s">
        <v>38</v>
      </c>
      <c r="H23" s="16"/>
      <c r="I23" s="16"/>
      <c r="J23" s="16"/>
      <c r="K23" s="17">
        <f>+SUM(C81:C86)</f>
        <v>8063</v>
      </c>
      <c r="L23" s="16">
        <v>6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3">
      <c r="A24" s="23">
        <v>21</v>
      </c>
      <c r="B24" s="24" t="s">
        <v>133</v>
      </c>
      <c r="C24" s="25">
        <v>165</v>
      </c>
      <c r="D24" s="24" t="s">
        <v>134</v>
      </c>
      <c r="E24" s="24">
        <v>35000021</v>
      </c>
      <c r="F24" s="15">
        <v>22</v>
      </c>
      <c r="G24" s="26" t="s">
        <v>22</v>
      </c>
      <c r="H24" s="26"/>
      <c r="I24" s="26"/>
      <c r="J24" s="26"/>
      <c r="K24" s="27">
        <f>+SUM(C87:C89)</f>
        <v>3960</v>
      </c>
      <c r="L24" s="26">
        <v>3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28">
        <v>22</v>
      </c>
      <c r="B25" s="29" t="s">
        <v>135</v>
      </c>
      <c r="C25" s="30">
        <v>551</v>
      </c>
      <c r="D25" s="29" t="s">
        <v>132</v>
      </c>
      <c r="E25" s="29">
        <v>35000022</v>
      </c>
      <c r="F25" s="8">
        <v>23</v>
      </c>
      <c r="G25" s="31" t="s">
        <v>175</v>
      </c>
      <c r="H25" s="31"/>
      <c r="I25" s="31"/>
      <c r="J25" s="31"/>
      <c r="K25" s="31">
        <f>+SUM(C91:C97)</f>
        <v>4198</v>
      </c>
      <c r="L25" s="31">
        <v>7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3">
      <c r="A26" s="32">
        <v>23</v>
      </c>
      <c r="B26" s="33" t="s">
        <v>137</v>
      </c>
      <c r="C26" s="34">
        <v>69</v>
      </c>
      <c r="D26" s="33" t="s">
        <v>138</v>
      </c>
      <c r="E26" s="33">
        <v>35000024</v>
      </c>
      <c r="F26" s="15">
        <v>24</v>
      </c>
      <c r="G26" s="35" t="s">
        <v>183</v>
      </c>
      <c r="H26" s="35"/>
      <c r="I26" s="35"/>
      <c r="J26" s="35"/>
      <c r="K26" s="35">
        <f t="shared" ref="K26:K27" si="1">+C98</f>
        <v>1554</v>
      </c>
      <c r="L26" s="35">
        <v>1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 x14ac:dyDescent="0.3">
      <c r="A27" s="32">
        <v>24</v>
      </c>
      <c r="B27" s="33" t="s">
        <v>139</v>
      </c>
      <c r="C27" s="34">
        <v>54</v>
      </c>
      <c r="D27" s="33" t="s">
        <v>138</v>
      </c>
      <c r="E27" s="33">
        <v>35000025</v>
      </c>
      <c r="F27" s="8">
        <v>25</v>
      </c>
      <c r="G27" s="35" t="s">
        <v>185</v>
      </c>
      <c r="H27" s="35"/>
      <c r="I27" s="35"/>
      <c r="J27" s="35"/>
      <c r="K27" s="35">
        <f t="shared" si="1"/>
        <v>745</v>
      </c>
      <c r="L27" s="35">
        <v>1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 x14ac:dyDescent="0.3">
      <c r="A28" s="32">
        <v>25</v>
      </c>
      <c r="B28" s="33" t="s">
        <v>140</v>
      </c>
      <c r="C28" s="34">
        <v>23</v>
      </c>
      <c r="D28" s="33" t="s">
        <v>138</v>
      </c>
      <c r="E28" s="33">
        <v>35000026</v>
      </c>
      <c r="F28" s="15">
        <v>26</v>
      </c>
      <c r="G28" s="35" t="s">
        <v>187</v>
      </c>
      <c r="H28" s="35"/>
      <c r="I28" s="35"/>
      <c r="J28" s="35"/>
      <c r="K28" s="35">
        <f>+C100+C110</f>
        <v>284</v>
      </c>
      <c r="L28" s="35">
        <v>2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 x14ac:dyDescent="0.3">
      <c r="A29" s="32">
        <v>26</v>
      </c>
      <c r="B29" s="33" t="s">
        <v>141</v>
      </c>
      <c r="C29" s="34">
        <v>42</v>
      </c>
      <c r="D29" s="33" t="s">
        <v>138</v>
      </c>
      <c r="E29" s="33">
        <v>35000027</v>
      </c>
      <c r="F29" s="8">
        <v>27</v>
      </c>
      <c r="G29" s="35" t="s">
        <v>188</v>
      </c>
      <c r="H29" s="35"/>
      <c r="I29" s="35"/>
      <c r="J29" s="35"/>
      <c r="K29" s="35">
        <f>+SUM(C101:C109)</f>
        <v>4747</v>
      </c>
      <c r="L29" s="35">
        <v>9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 x14ac:dyDescent="0.3">
      <c r="A30" s="32">
        <v>27</v>
      </c>
      <c r="B30" s="33" t="s">
        <v>142</v>
      </c>
      <c r="C30" s="34">
        <v>51</v>
      </c>
      <c r="D30" s="33" t="s">
        <v>138</v>
      </c>
      <c r="E30" s="33">
        <v>35000028</v>
      </c>
      <c r="F30" s="15">
        <v>28</v>
      </c>
      <c r="G30" s="35" t="s">
        <v>52</v>
      </c>
      <c r="H30" s="35"/>
      <c r="I30" s="35"/>
      <c r="J30" s="35"/>
      <c r="K30" s="35">
        <f>+SUM(C111:C115)</f>
        <v>7141</v>
      </c>
      <c r="L30" s="35">
        <v>5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 x14ac:dyDescent="0.3">
      <c r="A31" s="32">
        <v>28</v>
      </c>
      <c r="B31" s="33" t="s">
        <v>143</v>
      </c>
      <c r="C31" s="34">
        <v>82</v>
      </c>
      <c r="D31" s="33" t="s">
        <v>138</v>
      </c>
      <c r="E31" s="33">
        <v>35000029</v>
      </c>
      <c r="F31" s="8">
        <v>29</v>
      </c>
      <c r="G31" s="35" t="s">
        <v>84</v>
      </c>
      <c r="H31" s="35"/>
      <c r="I31" s="35"/>
      <c r="J31" s="35"/>
      <c r="K31" s="35">
        <f>+SUM(C116:C121)</f>
        <v>8383</v>
      </c>
      <c r="L31" s="35">
        <v>6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 x14ac:dyDescent="0.3">
      <c r="A32" s="32">
        <v>29</v>
      </c>
      <c r="B32" s="33" t="s">
        <v>144</v>
      </c>
      <c r="C32" s="34">
        <v>62</v>
      </c>
      <c r="D32" s="33" t="s">
        <v>138</v>
      </c>
      <c r="E32" s="33">
        <v>35000030</v>
      </c>
      <c r="F32" s="15">
        <v>30</v>
      </c>
      <c r="G32" s="35" t="s">
        <v>64</v>
      </c>
      <c r="H32" s="35"/>
      <c r="I32" s="35"/>
      <c r="J32" s="35"/>
      <c r="K32" s="35">
        <f>+SUM(C122:C129)</f>
        <v>11740</v>
      </c>
      <c r="L32" s="35">
        <v>8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 x14ac:dyDescent="0.3">
      <c r="A33" s="32">
        <v>30</v>
      </c>
      <c r="B33" s="33" t="s">
        <v>145</v>
      </c>
      <c r="C33" s="34">
        <v>56</v>
      </c>
      <c r="D33" s="33" t="s">
        <v>138</v>
      </c>
      <c r="E33" s="33">
        <v>35000032</v>
      </c>
      <c r="F33" s="8">
        <v>31</v>
      </c>
      <c r="G33" s="35" t="s">
        <v>215</v>
      </c>
      <c r="H33" s="35"/>
      <c r="I33" s="35"/>
      <c r="J33" s="35"/>
      <c r="K33" s="35">
        <f>+SUM(C131:C137)</f>
        <v>2206</v>
      </c>
      <c r="L33" s="35">
        <v>7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 x14ac:dyDescent="0.3">
      <c r="A34" s="32">
        <v>31</v>
      </c>
      <c r="B34" s="33" t="s">
        <v>146</v>
      </c>
      <c r="C34" s="34">
        <v>38</v>
      </c>
      <c r="D34" s="33" t="s">
        <v>138</v>
      </c>
      <c r="E34" s="33">
        <v>35000033</v>
      </c>
      <c r="F34" s="15">
        <v>32</v>
      </c>
      <c r="G34" s="35" t="s">
        <v>223</v>
      </c>
      <c r="H34" s="35"/>
      <c r="I34" s="35"/>
      <c r="J34" s="35"/>
      <c r="K34" s="35">
        <f>+SUM(C138:C141)</f>
        <v>4035</v>
      </c>
      <c r="L34" s="35">
        <v>4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 x14ac:dyDescent="0.3">
      <c r="A35" s="32">
        <v>32</v>
      </c>
      <c r="B35" s="33" t="s">
        <v>147</v>
      </c>
      <c r="C35" s="34">
        <v>45</v>
      </c>
      <c r="D35" s="33" t="s">
        <v>138</v>
      </c>
      <c r="E35" s="33">
        <v>35000038</v>
      </c>
      <c r="F35" s="8">
        <v>33</v>
      </c>
      <c r="G35" s="35" t="s">
        <v>228</v>
      </c>
      <c r="H35" s="35"/>
      <c r="I35" s="35"/>
      <c r="J35" s="35"/>
      <c r="K35" s="35">
        <f>+C142</f>
        <v>876</v>
      </c>
      <c r="L35" s="35">
        <v>1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 x14ac:dyDescent="0.3">
      <c r="A36" s="36">
        <v>33</v>
      </c>
      <c r="B36" s="37" t="s">
        <v>148</v>
      </c>
      <c r="C36" s="38">
        <v>461</v>
      </c>
      <c r="D36" s="37" t="s">
        <v>149</v>
      </c>
      <c r="E36" s="37">
        <v>35000039</v>
      </c>
      <c r="F36" s="15">
        <v>34</v>
      </c>
      <c r="G36" s="39" t="s">
        <v>91</v>
      </c>
      <c r="H36" s="39"/>
      <c r="I36" s="39"/>
      <c r="J36" s="39"/>
      <c r="K36" s="39">
        <f>+SUM(C143:C147)</f>
        <v>7815</v>
      </c>
      <c r="L36" s="39">
        <v>5</v>
      </c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 x14ac:dyDescent="0.3">
      <c r="A37" s="40">
        <v>34</v>
      </c>
      <c r="B37" s="41" t="s">
        <v>12</v>
      </c>
      <c r="C37" s="42">
        <v>1763</v>
      </c>
      <c r="D37" s="41" t="s">
        <v>13</v>
      </c>
      <c r="E37" s="41">
        <v>35000194</v>
      </c>
      <c r="F37" s="8">
        <v>35</v>
      </c>
      <c r="G37" s="43" t="s">
        <v>75</v>
      </c>
      <c r="H37" s="43"/>
      <c r="I37" s="43"/>
      <c r="J37" s="43"/>
      <c r="K37" s="43">
        <f>+SUM(C148:C155)</f>
        <v>10277</v>
      </c>
      <c r="L37" s="43">
        <v>8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3">
      <c r="A38" s="44">
        <v>35</v>
      </c>
      <c r="B38" s="45" t="s">
        <v>107</v>
      </c>
      <c r="C38" s="46">
        <v>1378</v>
      </c>
      <c r="D38" s="45" t="s">
        <v>108</v>
      </c>
      <c r="E38" s="45">
        <v>35000095</v>
      </c>
      <c r="F38" s="15">
        <v>36</v>
      </c>
      <c r="G38" s="47" t="s">
        <v>26</v>
      </c>
      <c r="H38" s="47"/>
      <c r="I38" s="47"/>
      <c r="J38" s="47"/>
      <c r="K38" s="47">
        <f>+SUM(C157:C164)</f>
        <v>13769</v>
      </c>
      <c r="L38" s="47">
        <v>5</v>
      </c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4.25" customHeight="1" x14ac:dyDescent="0.3">
      <c r="A39" s="48" t="s">
        <v>236</v>
      </c>
      <c r="B39" s="228" t="s">
        <v>237</v>
      </c>
      <c r="C39" s="229"/>
      <c r="D39" s="229"/>
      <c r="E39" s="230"/>
      <c r="F39" s="8">
        <v>37</v>
      </c>
      <c r="G39" s="9" t="s">
        <v>43</v>
      </c>
      <c r="H39" s="9"/>
      <c r="I39" s="1"/>
      <c r="J39" s="1"/>
      <c r="K39" s="11">
        <f>+SUM(C165:C169)</f>
        <v>7231</v>
      </c>
      <c r="L39" s="11"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28">
        <v>1</v>
      </c>
      <c r="B40" s="29" t="s">
        <v>131</v>
      </c>
      <c r="C40" s="30">
        <v>1926</v>
      </c>
      <c r="D40" s="29" t="s">
        <v>132</v>
      </c>
      <c r="E40" s="29">
        <v>35000020</v>
      </c>
      <c r="F40" s="15">
        <v>38</v>
      </c>
      <c r="G40" s="49" t="s">
        <v>205</v>
      </c>
      <c r="H40" s="49"/>
      <c r="I40" s="31"/>
      <c r="J40" s="31"/>
      <c r="K40" s="31">
        <f>+SUM(C171:C172)</f>
        <v>1470</v>
      </c>
      <c r="L40" s="31">
        <v>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3">
      <c r="A41" s="28">
        <v>2</v>
      </c>
      <c r="B41" s="29" t="s">
        <v>136</v>
      </c>
      <c r="C41" s="30">
        <v>2946</v>
      </c>
      <c r="D41" s="29" t="s">
        <v>132</v>
      </c>
      <c r="E41" s="29">
        <v>35000023</v>
      </c>
      <c r="F41" s="8">
        <v>39</v>
      </c>
      <c r="G41" s="49" t="s">
        <v>208</v>
      </c>
      <c r="H41" s="49"/>
      <c r="I41" s="31"/>
      <c r="J41" s="31"/>
      <c r="K41" s="31">
        <f>+SUM(C173:C175,C177)</f>
        <v>802</v>
      </c>
      <c r="L41" s="31">
        <v>4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3">
      <c r="A42" s="12">
        <v>3</v>
      </c>
      <c r="B42" s="13" t="s">
        <v>150</v>
      </c>
      <c r="C42" s="14">
        <v>369</v>
      </c>
      <c r="D42" s="13" t="s">
        <v>151</v>
      </c>
      <c r="E42" s="13">
        <v>35000040</v>
      </c>
      <c r="F42" s="15">
        <v>40</v>
      </c>
      <c r="G42" s="50" t="s">
        <v>212</v>
      </c>
      <c r="H42" s="50"/>
      <c r="I42" s="16"/>
      <c r="J42" s="16"/>
      <c r="K42" s="16">
        <f>+C176</f>
        <v>777</v>
      </c>
      <c r="L42" s="16">
        <v>1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3">
      <c r="A43" s="12">
        <v>4</v>
      </c>
      <c r="B43" s="13" t="s">
        <v>152</v>
      </c>
      <c r="C43" s="14">
        <v>281</v>
      </c>
      <c r="D43" s="13" t="s">
        <v>151</v>
      </c>
      <c r="E43" s="13">
        <v>35000041</v>
      </c>
      <c r="F43" s="8">
        <v>41</v>
      </c>
      <c r="G43" s="50" t="s">
        <v>19</v>
      </c>
      <c r="H43" s="50"/>
      <c r="I43" s="16"/>
      <c r="J43" s="16"/>
      <c r="K43" s="16">
        <f>+SUM(C178:C179)</f>
        <v>2573</v>
      </c>
      <c r="L43" s="16">
        <v>2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3">
      <c r="A44" s="12">
        <v>5</v>
      </c>
      <c r="B44" s="13" t="s">
        <v>153</v>
      </c>
      <c r="C44" s="14">
        <v>332</v>
      </c>
      <c r="D44" s="13" t="s">
        <v>151</v>
      </c>
      <c r="E44" s="13">
        <v>35000042</v>
      </c>
      <c r="F44" s="15">
        <v>42</v>
      </c>
      <c r="G44" s="50" t="s">
        <v>99</v>
      </c>
      <c r="H44" s="50"/>
      <c r="I44" s="16"/>
      <c r="J44" s="16"/>
      <c r="K44" s="16">
        <f>+C180</f>
        <v>2184</v>
      </c>
      <c r="L44" s="16">
        <v>2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3">
      <c r="A45" s="12">
        <v>6</v>
      </c>
      <c r="B45" s="13" t="s">
        <v>154</v>
      </c>
      <c r="C45" s="14">
        <v>108</v>
      </c>
      <c r="D45" s="13" t="s">
        <v>151</v>
      </c>
      <c r="E45" s="13">
        <v>35000043</v>
      </c>
      <c r="F45" s="8">
        <v>43</v>
      </c>
      <c r="G45" s="50" t="s">
        <v>9</v>
      </c>
      <c r="H45" s="50"/>
      <c r="I45" s="16"/>
      <c r="J45" s="16"/>
      <c r="K45" s="16">
        <f>+SUM(C181:C183)</f>
        <v>4333</v>
      </c>
      <c r="L45" s="16">
        <v>3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3">
      <c r="A46" s="12">
        <v>7</v>
      </c>
      <c r="B46" s="13" t="s">
        <v>155</v>
      </c>
      <c r="C46" s="14">
        <v>98</v>
      </c>
      <c r="D46" s="13" t="s">
        <v>151</v>
      </c>
      <c r="E46" s="13">
        <v>35000044</v>
      </c>
      <c r="F46" s="15">
        <v>44</v>
      </c>
      <c r="G46" s="16" t="s">
        <v>6</v>
      </c>
      <c r="H46" s="16"/>
      <c r="I46" s="16"/>
      <c r="J46" s="16"/>
      <c r="K46" s="16">
        <f>+SUM(C185:C186)</f>
        <v>2892</v>
      </c>
      <c r="L46" s="16">
        <v>2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3">
      <c r="A47" s="12">
        <v>8</v>
      </c>
      <c r="B47" s="13" t="s">
        <v>156</v>
      </c>
      <c r="C47" s="14">
        <v>245</v>
      </c>
      <c r="D47" s="13" t="s">
        <v>151</v>
      </c>
      <c r="E47" s="13">
        <v>35000200</v>
      </c>
      <c r="F47" s="8">
        <v>45</v>
      </c>
      <c r="G47" s="16" t="s">
        <v>97</v>
      </c>
      <c r="H47" s="16"/>
      <c r="I47" s="16"/>
      <c r="J47" s="16"/>
      <c r="K47" s="16">
        <f t="shared" ref="K47:K49" si="2">+C187</f>
        <v>1799</v>
      </c>
      <c r="L47" s="16">
        <v>1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3">
      <c r="A48" s="12">
        <v>9</v>
      </c>
      <c r="B48" s="13" t="s">
        <v>157</v>
      </c>
      <c r="C48" s="14">
        <v>113</v>
      </c>
      <c r="D48" s="13" t="s">
        <v>151</v>
      </c>
      <c r="E48" s="13">
        <v>35000206</v>
      </c>
      <c r="F48" s="15">
        <v>46</v>
      </c>
      <c r="G48" s="16" t="s">
        <v>73</v>
      </c>
      <c r="H48" s="16"/>
      <c r="I48" s="16"/>
      <c r="J48" s="16"/>
      <c r="K48" s="16">
        <f t="shared" si="2"/>
        <v>2462</v>
      </c>
      <c r="L48" s="16">
        <v>1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3">
      <c r="A49" s="12">
        <v>10</v>
      </c>
      <c r="B49" s="13" t="s">
        <v>158</v>
      </c>
      <c r="C49" s="14">
        <v>69</v>
      </c>
      <c r="D49" s="13" t="s">
        <v>151</v>
      </c>
      <c r="E49" s="13">
        <v>35000202</v>
      </c>
      <c r="F49" s="8">
        <v>47</v>
      </c>
      <c r="G49" s="16" t="s">
        <v>101</v>
      </c>
      <c r="H49" s="16"/>
      <c r="I49" s="16"/>
      <c r="J49" s="16"/>
      <c r="K49" s="16">
        <f t="shared" si="2"/>
        <v>1424</v>
      </c>
      <c r="L49" s="16">
        <v>1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3">
      <c r="A50" s="12">
        <v>11</v>
      </c>
      <c r="B50" s="13" t="s">
        <v>159</v>
      </c>
      <c r="C50" s="14">
        <v>38</v>
      </c>
      <c r="D50" s="13" t="s">
        <v>151</v>
      </c>
      <c r="E50" s="13">
        <v>35000203</v>
      </c>
      <c r="F50" s="16"/>
      <c r="G50" s="16"/>
      <c r="H50" s="16"/>
      <c r="I50" s="16"/>
      <c r="J50" s="16"/>
      <c r="K50" s="17">
        <f t="shared" ref="K50:L50" si="3">SUM(K3:K49)</f>
        <v>167128</v>
      </c>
      <c r="L50" s="17">
        <f t="shared" si="3"/>
        <v>179</v>
      </c>
      <c r="M50" s="1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3">
      <c r="A51" s="18">
        <v>12</v>
      </c>
      <c r="B51" s="19" t="s">
        <v>48</v>
      </c>
      <c r="C51" s="20">
        <v>1637</v>
      </c>
      <c r="D51" s="19" t="s">
        <v>49</v>
      </c>
      <c r="E51" s="19">
        <v>35000096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 x14ac:dyDescent="0.3">
      <c r="A52" s="18">
        <v>13</v>
      </c>
      <c r="B52" s="19" t="s">
        <v>50</v>
      </c>
      <c r="C52" s="20">
        <v>1086</v>
      </c>
      <c r="D52" s="19" t="s">
        <v>49</v>
      </c>
      <c r="E52" s="19">
        <v>35000097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 x14ac:dyDescent="0.3">
      <c r="A53" s="51">
        <v>14</v>
      </c>
      <c r="B53" s="52" t="s">
        <v>59</v>
      </c>
      <c r="C53" s="53">
        <v>1211</v>
      </c>
      <c r="D53" s="52" t="s">
        <v>60</v>
      </c>
      <c r="E53" s="52">
        <v>35000107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 x14ac:dyDescent="0.3">
      <c r="A54" s="51">
        <v>15</v>
      </c>
      <c r="B54" s="52" t="s">
        <v>61</v>
      </c>
      <c r="C54" s="53">
        <v>1470</v>
      </c>
      <c r="D54" s="52" t="s">
        <v>60</v>
      </c>
      <c r="E54" s="52">
        <v>35000108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3">
      <c r="A55" s="51">
        <v>16</v>
      </c>
      <c r="B55" s="52" t="s">
        <v>62</v>
      </c>
      <c r="C55" s="53">
        <v>1185</v>
      </c>
      <c r="D55" s="52" t="s">
        <v>60</v>
      </c>
      <c r="E55" s="52">
        <v>35000109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3">
      <c r="A56" s="55">
        <v>17</v>
      </c>
      <c r="B56" s="56" t="s">
        <v>34</v>
      </c>
      <c r="C56" s="57">
        <v>1812</v>
      </c>
      <c r="D56" s="56" t="s">
        <v>35</v>
      </c>
      <c r="E56" s="56">
        <v>35000111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 x14ac:dyDescent="0.3">
      <c r="A57" s="59">
        <v>18</v>
      </c>
      <c r="B57" s="60" t="s">
        <v>36</v>
      </c>
      <c r="C57" s="61">
        <v>1182</v>
      </c>
      <c r="D57" s="60" t="s">
        <v>35</v>
      </c>
      <c r="E57" s="60">
        <v>35000110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 x14ac:dyDescent="0.3">
      <c r="A58" s="62">
        <v>19</v>
      </c>
      <c r="B58" s="63" t="s">
        <v>160</v>
      </c>
      <c r="C58" s="64">
        <v>445</v>
      </c>
      <c r="D58" s="63" t="s">
        <v>161</v>
      </c>
      <c r="E58" s="63">
        <v>35000193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4.25" customHeight="1" x14ac:dyDescent="0.3">
      <c r="A59" s="48" t="s">
        <v>238</v>
      </c>
      <c r="B59" s="228" t="s">
        <v>239</v>
      </c>
      <c r="C59" s="229"/>
      <c r="D59" s="229"/>
      <c r="E59" s="23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23">
        <v>1</v>
      </c>
      <c r="B60" s="24" t="s">
        <v>162</v>
      </c>
      <c r="C60" s="25">
        <v>62</v>
      </c>
      <c r="D60" s="24" t="s">
        <v>163</v>
      </c>
      <c r="E60" s="24">
        <v>35000045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 x14ac:dyDescent="0.3">
      <c r="A61" s="23">
        <v>2</v>
      </c>
      <c r="B61" s="24" t="s">
        <v>164</v>
      </c>
      <c r="C61" s="25">
        <v>288</v>
      </c>
      <c r="D61" s="24" t="s">
        <v>163</v>
      </c>
      <c r="E61" s="24">
        <v>35000046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 x14ac:dyDescent="0.3">
      <c r="A62" s="23">
        <v>3</v>
      </c>
      <c r="B62" s="24" t="s">
        <v>165</v>
      </c>
      <c r="C62" s="25">
        <v>69</v>
      </c>
      <c r="D62" s="24" t="s">
        <v>163</v>
      </c>
      <c r="E62" s="24">
        <v>35000047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 x14ac:dyDescent="0.3">
      <c r="A63" s="23">
        <v>4</v>
      </c>
      <c r="B63" s="24" t="s">
        <v>166</v>
      </c>
      <c r="C63" s="25">
        <v>661</v>
      </c>
      <c r="D63" s="24" t="s">
        <v>167</v>
      </c>
      <c r="E63" s="24">
        <v>35000048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 x14ac:dyDescent="0.3">
      <c r="A64" s="18">
        <v>5</v>
      </c>
      <c r="B64" s="19" t="s">
        <v>168</v>
      </c>
      <c r="C64" s="20">
        <v>515</v>
      </c>
      <c r="D64" s="19" t="s">
        <v>169</v>
      </c>
      <c r="E64" s="19">
        <v>35000049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 x14ac:dyDescent="0.3">
      <c r="A65" s="18">
        <v>6</v>
      </c>
      <c r="B65" s="19" t="s">
        <v>170</v>
      </c>
      <c r="C65" s="20">
        <v>293</v>
      </c>
      <c r="D65" s="19" t="s">
        <v>169</v>
      </c>
      <c r="E65" s="19">
        <v>35000050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 x14ac:dyDescent="0.3">
      <c r="A66" s="18">
        <v>7</v>
      </c>
      <c r="B66" s="19" t="s">
        <v>171</v>
      </c>
      <c r="C66" s="20">
        <v>971</v>
      </c>
      <c r="D66" s="19" t="s">
        <v>169</v>
      </c>
      <c r="E66" s="19">
        <v>35000051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 x14ac:dyDescent="0.3">
      <c r="A67" s="18">
        <v>8</v>
      </c>
      <c r="B67" s="19" t="s">
        <v>172</v>
      </c>
      <c r="C67" s="20">
        <v>638</v>
      </c>
      <c r="D67" s="19" t="s">
        <v>169</v>
      </c>
      <c r="E67" s="19">
        <v>35000052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 x14ac:dyDescent="0.3">
      <c r="A68" s="18">
        <v>9</v>
      </c>
      <c r="B68" s="19" t="s">
        <v>173</v>
      </c>
      <c r="C68" s="20">
        <v>1911</v>
      </c>
      <c r="D68" s="19" t="s">
        <v>169</v>
      </c>
      <c r="E68" s="19">
        <v>35000053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 x14ac:dyDescent="0.3">
      <c r="A69" s="66">
        <v>10</v>
      </c>
      <c r="B69" s="67" t="s">
        <v>57</v>
      </c>
      <c r="C69" s="68">
        <v>1055</v>
      </c>
      <c r="D69" s="67" t="s">
        <v>58</v>
      </c>
      <c r="E69" s="67">
        <v>35000112</v>
      </c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4.25" customHeight="1" x14ac:dyDescent="0.3">
      <c r="A70" s="48" t="s">
        <v>240</v>
      </c>
      <c r="B70" s="228" t="s">
        <v>241</v>
      </c>
      <c r="C70" s="229"/>
      <c r="D70" s="229"/>
      <c r="E70" s="23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44">
        <v>1</v>
      </c>
      <c r="B71" s="45" t="s">
        <v>199</v>
      </c>
      <c r="C71" s="46">
        <v>2143</v>
      </c>
      <c r="D71" s="45" t="s">
        <v>200</v>
      </c>
      <c r="E71" s="45">
        <v>35000073</v>
      </c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5.75" customHeight="1" x14ac:dyDescent="0.3">
      <c r="A72" s="70">
        <v>2</v>
      </c>
      <c r="B72" s="71" t="s">
        <v>201</v>
      </c>
      <c r="C72" s="72">
        <v>2721</v>
      </c>
      <c r="D72" s="71" t="s">
        <v>202</v>
      </c>
      <c r="E72" s="71">
        <v>35000074</v>
      </c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 customHeight="1" x14ac:dyDescent="0.3">
      <c r="A73" s="70">
        <v>3</v>
      </c>
      <c r="B73" s="71" t="s">
        <v>203</v>
      </c>
      <c r="C73" s="72">
        <v>1146</v>
      </c>
      <c r="D73" s="71" t="s">
        <v>202</v>
      </c>
      <c r="E73" s="71">
        <v>35000075</v>
      </c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5.75" customHeight="1" x14ac:dyDescent="0.3">
      <c r="A74" s="74">
        <v>4</v>
      </c>
      <c r="B74" s="75" t="s">
        <v>17</v>
      </c>
      <c r="C74" s="76">
        <v>1144</v>
      </c>
      <c r="D74" s="75" t="s">
        <v>15</v>
      </c>
      <c r="E74" s="75">
        <v>35000132</v>
      </c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 x14ac:dyDescent="0.3">
      <c r="A75" s="74">
        <v>5</v>
      </c>
      <c r="B75" s="75" t="s">
        <v>16</v>
      </c>
      <c r="C75" s="76">
        <v>1347</v>
      </c>
      <c r="D75" s="75" t="s">
        <v>15</v>
      </c>
      <c r="E75" s="75">
        <v>35000133</v>
      </c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 x14ac:dyDescent="0.3">
      <c r="A76" s="74">
        <v>6</v>
      </c>
      <c r="B76" s="75" t="s">
        <v>14</v>
      </c>
      <c r="C76" s="76">
        <v>1733</v>
      </c>
      <c r="D76" s="75" t="s">
        <v>15</v>
      </c>
      <c r="E76" s="75">
        <v>35000134</v>
      </c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 x14ac:dyDescent="0.3">
      <c r="A77" s="40">
        <v>7</v>
      </c>
      <c r="B77" s="41" t="s">
        <v>104</v>
      </c>
      <c r="C77" s="42">
        <v>1229</v>
      </c>
      <c r="D77" s="41" t="s">
        <v>103</v>
      </c>
      <c r="E77" s="41">
        <v>35000135</v>
      </c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5.75" customHeight="1" x14ac:dyDescent="0.3">
      <c r="A78" s="40">
        <v>8</v>
      </c>
      <c r="B78" s="41" t="s">
        <v>106</v>
      </c>
      <c r="C78" s="42">
        <v>1292</v>
      </c>
      <c r="D78" s="41" t="s">
        <v>103</v>
      </c>
      <c r="E78" s="41">
        <v>35000136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5.75" customHeight="1" x14ac:dyDescent="0.3">
      <c r="A79" s="40">
        <v>9</v>
      </c>
      <c r="B79" s="41" t="s">
        <v>105</v>
      </c>
      <c r="C79" s="42">
        <v>1475</v>
      </c>
      <c r="D79" s="41" t="s">
        <v>103</v>
      </c>
      <c r="E79" s="41">
        <v>35000137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5.75" customHeight="1" x14ac:dyDescent="0.3">
      <c r="A80" s="40">
        <v>10</v>
      </c>
      <c r="B80" s="41" t="s">
        <v>102</v>
      </c>
      <c r="C80" s="42">
        <v>2522</v>
      </c>
      <c r="D80" s="41" t="s">
        <v>103</v>
      </c>
      <c r="E80" s="41">
        <v>35000195</v>
      </c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5.75" customHeight="1" x14ac:dyDescent="0.3">
      <c r="A81" s="12">
        <v>11</v>
      </c>
      <c r="B81" s="13" t="s">
        <v>41</v>
      </c>
      <c r="C81" s="14">
        <v>1044</v>
      </c>
      <c r="D81" s="13" t="s">
        <v>38</v>
      </c>
      <c r="E81" s="13">
        <v>35000139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3">
      <c r="A82" s="12">
        <v>12</v>
      </c>
      <c r="B82" s="13" t="s">
        <v>231</v>
      </c>
      <c r="C82" s="14">
        <v>1120</v>
      </c>
      <c r="D82" s="13" t="s">
        <v>38</v>
      </c>
      <c r="E82" s="13">
        <v>35000140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3">
      <c r="A83" s="12">
        <v>13</v>
      </c>
      <c r="B83" s="13" t="s">
        <v>229</v>
      </c>
      <c r="C83" s="14">
        <v>1185</v>
      </c>
      <c r="D83" s="13" t="s">
        <v>38</v>
      </c>
      <c r="E83" s="13">
        <v>35000141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3">
      <c r="A84" s="12">
        <v>14</v>
      </c>
      <c r="B84" s="13" t="s">
        <v>37</v>
      </c>
      <c r="C84" s="14">
        <v>1274</v>
      </c>
      <c r="D84" s="13" t="s">
        <v>38</v>
      </c>
      <c r="E84" s="13">
        <v>35000142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3">
      <c r="A85" s="12">
        <v>15</v>
      </c>
      <c r="B85" s="13" t="s">
        <v>40</v>
      </c>
      <c r="C85" s="14">
        <v>1661</v>
      </c>
      <c r="D85" s="13" t="s">
        <v>38</v>
      </c>
      <c r="E85" s="13">
        <v>35000143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3">
      <c r="A86" s="12">
        <v>16</v>
      </c>
      <c r="B86" s="13" t="s">
        <v>39</v>
      </c>
      <c r="C86" s="14">
        <v>1779</v>
      </c>
      <c r="D86" s="13" t="s">
        <v>38</v>
      </c>
      <c r="E86" s="13">
        <v>35000144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3">
      <c r="A87" s="77">
        <v>17</v>
      </c>
      <c r="B87" s="78" t="s">
        <v>23</v>
      </c>
      <c r="C87" s="79">
        <v>1054</v>
      </c>
      <c r="D87" s="78" t="s">
        <v>22</v>
      </c>
      <c r="E87" s="78">
        <v>35000145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spans="1:26" ht="15.75" customHeight="1" x14ac:dyDescent="0.3">
      <c r="A88" s="77">
        <v>18</v>
      </c>
      <c r="B88" s="78" t="s">
        <v>21</v>
      </c>
      <c r="C88" s="79">
        <v>1476</v>
      </c>
      <c r="D88" s="78" t="s">
        <v>22</v>
      </c>
      <c r="E88" s="78">
        <v>35000147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spans="1:26" ht="15.75" customHeight="1" x14ac:dyDescent="0.3">
      <c r="A89" s="77">
        <v>19</v>
      </c>
      <c r="B89" s="78" t="s">
        <v>24</v>
      </c>
      <c r="C89" s="79">
        <v>1430</v>
      </c>
      <c r="D89" s="78" t="s">
        <v>22</v>
      </c>
      <c r="E89" s="78">
        <v>35000148</v>
      </c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4.25" customHeight="1" x14ac:dyDescent="0.3">
      <c r="A90" s="48" t="s">
        <v>242</v>
      </c>
      <c r="B90" s="228" t="s">
        <v>243</v>
      </c>
      <c r="C90" s="229"/>
      <c r="D90" s="229"/>
      <c r="E90" s="23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23">
        <v>1</v>
      </c>
      <c r="B91" s="24" t="s">
        <v>174</v>
      </c>
      <c r="C91" s="24">
        <v>1232</v>
      </c>
      <c r="D91" s="24" t="s">
        <v>175</v>
      </c>
      <c r="E91" s="24">
        <v>35000055</v>
      </c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 x14ac:dyDescent="0.3">
      <c r="A92" s="23">
        <v>2</v>
      </c>
      <c r="B92" s="24" t="s">
        <v>177</v>
      </c>
      <c r="C92" s="24">
        <v>1155</v>
      </c>
      <c r="D92" s="24" t="s">
        <v>175</v>
      </c>
      <c r="E92" s="24">
        <v>35000056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 x14ac:dyDescent="0.3">
      <c r="A93" s="23">
        <v>3</v>
      </c>
      <c r="B93" s="24" t="s">
        <v>178</v>
      </c>
      <c r="C93" s="24">
        <v>422</v>
      </c>
      <c r="D93" s="24" t="s">
        <v>175</v>
      </c>
      <c r="E93" s="24">
        <v>35000057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 x14ac:dyDescent="0.3">
      <c r="A94" s="23">
        <v>4</v>
      </c>
      <c r="B94" s="24" t="s">
        <v>179</v>
      </c>
      <c r="C94" s="24">
        <v>194</v>
      </c>
      <c r="D94" s="24" t="s">
        <v>175</v>
      </c>
      <c r="E94" s="24">
        <v>35000058</v>
      </c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 x14ac:dyDescent="0.3">
      <c r="A95" s="23">
        <v>5</v>
      </c>
      <c r="B95" s="24" t="s">
        <v>180</v>
      </c>
      <c r="C95" s="24">
        <v>684</v>
      </c>
      <c r="D95" s="24" t="s">
        <v>175</v>
      </c>
      <c r="E95" s="24">
        <v>35000059</v>
      </c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 x14ac:dyDescent="0.3">
      <c r="A96" s="23">
        <v>6</v>
      </c>
      <c r="B96" s="24" t="s">
        <v>181</v>
      </c>
      <c r="C96" s="24">
        <v>461</v>
      </c>
      <c r="D96" s="24" t="s">
        <v>175</v>
      </c>
      <c r="E96" s="24">
        <v>35000060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 x14ac:dyDescent="0.3">
      <c r="A97" s="23">
        <v>7</v>
      </c>
      <c r="B97" s="24" t="s">
        <v>176</v>
      </c>
      <c r="C97" s="24">
        <v>50</v>
      </c>
      <c r="D97" s="24" t="s">
        <v>175</v>
      </c>
      <c r="E97" s="24">
        <v>35000197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 x14ac:dyDescent="0.3">
      <c r="A98" s="81">
        <v>8</v>
      </c>
      <c r="B98" s="82" t="s">
        <v>182</v>
      </c>
      <c r="C98" s="82">
        <v>1554</v>
      </c>
      <c r="D98" s="82" t="s">
        <v>183</v>
      </c>
      <c r="E98" s="82">
        <v>35000061</v>
      </c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 x14ac:dyDescent="0.3">
      <c r="A99" s="18">
        <v>9</v>
      </c>
      <c r="B99" s="19" t="s">
        <v>184</v>
      </c>
      <c r="C99" s="19">
        <v>745</v>
      </c>
      <c r="D99" s="19" t="s">
        <v>185</v>
      </c>
      <c r="E99" s="19">
        <v>35000062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 x14ac:dyDescent="0.3">
      <c r="A100" s="12">
        <v>10</v>
      </c>
      <c r="B100" s="13" t="s">
        <v>186</v>
      </c>
      <c r="C100" s="13">
        <v>230</v>
      </c>
      <c r="D100" s="13" t="s">
        <v>187</v>
      </c>
      <c r="E100" s="13">
        <v>35000063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3">
      <c r="A101" s="28">
        <v>11</v>
      </c>
      <c r="B101" s="29" t="s">
        <v>130</v>
      </c>
      <c r="C101" s="29">
        <v>367</v>
      </c>
      <c r="D101" s="29" t="s">
        <v>188</v>
      </c>
      <c r="E101" s="29">
        <v>35000064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3">
      <c r="A102" s="28">
        <v>12</v>
      </c>
      <c r="B102" s="29" t="s">
        <v>189</v>
      </c>
      <c r="C102" s="29">
        <v>215</v>
      </c>
      <c r="D102" s="29" t="s">
        <v>188</v>
      </c>
      <c r="E102" s="29">
        <v>35000065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3">
      <c r="A103" s="28">
        <v>13</v>
      </c>
      <c r="B103" s="29" t="s">
        <v>190</v>
      </c>
      <c r="C103" s="29">
        <v>165</v>
      </c>
      <c r="D103" s="29" t="s">
        <v>188</v>
      </c>
      <c r="E103" s="29">
        <v>35000066</v>
      </c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3">
      <c r="A104" s="28">
        <v>14</v>
      </c>
      <c r="B104" s="29" t="s">
        <v>191</v>
      </c>
      <c r="C104" s="29">
        <v>629</v>
      </c>
      <c r="D104" s="29" t="s">
        <v>188</v>
      </c>
      <c r="E104" s="29">
        <v>35000067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3">
      <c r="A105" s="28">
        <v>15</v>
      </c>
      <c r="B105" s="29" t="s">
        <v>192</v>
      </c>
      <c r="C105" s="29">
        <v>2340</v>
      </c>
      <c r="D105" s="29" t="s">
        <v>188</v>
      </c>
      <c r="E105" s="29">
        <v>35000068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3">
      <c r="A106" s="28">
        <v>16</v>
      </c>
      <c r="B106" s="29" t="s">
        <v>193</v>
      </c>
      <c r="C106" s="29">
        <v>789</v>
      </c>
      <c r="D106" s="29" t="s">
        <v>188</v>
      </c>
      <c r="E106" s="29">
        <v>35000069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3">
      <c r="A107" s="28">
        <v>17</v>
      </c>
      <c r="B107" s="29" t="s">
        <v>194</v>
      </c>
      <c r="C107" s="29">
        <v>209</v>
      </c>
      <c r="D107" s="29" t="s">
        <v>188</v>
      </c>
      <c r="E107" s="29">
        <v>35000070</v>
      </c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3">
      <c r="A108" s="28">
        <v>18</v>
      </c>
      <c r="B108" s="29" t="s">
        <v>195</v>
      </c>
      <c r="C108" s="29">
        <v>13</v>
      </c>
      <c r="D108" s="29" t="s">
        <v>196</v>
      </c>
      <c r="E108" s="29">
        <v>35000071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3">
      <c r="A109" s="28">
        <v>19</v>
      </c>
      <c r="B109" s="29" t="s">
        <v>197</v>
      </c>
      <c r="C109" s="29">
        <v>20</v>
      </c>
      <c r="D109" s="29" t="s">
        <v>188</v>
      </c>
      <c r="E109" s="29">
        <v>35000198</v>
      </c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3">
      <c r="A110" s="12">
        <v>20</v>
      </c>
      <c r="B110" s="13" t="s">
        <v>198</v>
      </c>
      <c r="C110" s="13">
        <v>54</v>
      </c>
      <c r="D110" s="13" t="s">
        <v>187</v>
      </c>
      <c r="E110" s="13">
        <v>35000199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3">
      <c r="A111" s="66">
        <v>21</v>
      </c>
      <c r="B111" s="67" t="s">
        <v>55</v>
      </c>
      <c r="C111" s="67">
        <v>1332</v>
      </c>
      <c r="D111" s="67" t="s">
        <v>52</v>
      </c>
      <c r="E111" s="67">
        <v>35000113</v>
      </c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3">
      <c r="A112" s="66">
        <v>22</v>
      </c>
      <c r="B112" s="67" t="s">
        <v>51</v>
      </c>
      <c r="C112" s="67">
        <v>1058</v>
      </c>
      <c r="D112" s="67" t="s">
        <v>52</v>
      </c>
      <c r="E112" s="67">
        <v>35000114</v>
      </c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3">
      <c r="A113" s="84">
        <v>23</v>
      </c>
      <c r="B113" s="85" t="s">
        <v>56</v>
      </c>
      <c r="C113" s="85">
        <v>1045</v>
      </c>
      <c r="D113" s="85" t="s">
        <v>52</v>
      </c>
      <c r="E113" s="85">
        <v>35000115</v>
      </c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3">
      <c r="A114" s="86">
        <v>24</v>
      </c>
      <c r="B114" s="87" t="s">
        <v>54</v>
      </c>
      <c r="C114" s="87">
        <v>1273</v>
      </c>
      <c r="D114" s="87" t="s">
        <v>52</v>
      </c>
      <c r="E114" s="87">
        <v>35000116</v>
      </c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3">
      <c r="A115" s="66">
        <v>25</v>
      </c>
      <c r="B115" s="67" t="s">
        <v>53</v>
      </c>
      <c r="C115" s="67">
        <v>2433</v>
      </c>
      <c r="D115" s="67" t="s">
        <v>52</v>
      </c>
      <c r="E115" s="67">
        <v>35000117</v>
      </c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3">
      <c r="A116" s="44">
        <v>26</v>
      </c>
      <c r="B116" s="45" t="s">
        <v>85</v>
      </c>
      <c r="C116" s="45">
        <v>1403</v>
      </c>
      <c r="D116" s="45" t="s">
        <v>84</v>
      </c>
      <c r="E116" s="45">
        <v>35000118</v>
      </c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75" customHeight="1" x14ac:dyDescent="0.3">
      <c r="A117" s="44">
        <v>27</v>
      </c>
      <c r="B117" s="45" t="s">
        <v>83</v>
      </c>
      <c r="C117" s="45">
        <v>1000</v>
      </c>
      <c r="D117" s="45" t="s">
        <v>84</v>
      </c>
      <c r="E117" s="45">
        <v>35000119</v>
      </c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75" customHeight="1" x14ac:dyDescent="0.3">
      <c r="A118" s="44">
        <v>28</v>
      </c>
      <c r="B118" s="45" t="s">
        <v>89</v>
      </c>
      <c r="C118" s="45">
        <v>1727</v>
      </c>
      <c r="D118" s="45" t="s">
        <v>84</v>
      </c>
      <c r="E118" s="45">
        <v>35000120</v>
      </c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75" customHeight="1" x14ac:dyDescent="0.3">
      <c r="A119" s="44">
        <v>29</v>
      </c>
      <c r="B119" s="45" t="s">
        <v>88</v>
      </c>
      <c r="C119" s="45">
        <v>1096</v>
      </c>
      <c r="D119" s="45" t="s">
        <v>84</v>
      </c>
      <c r="E119" s="45">
        <v>35000121</v>
      </c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75" customHeight="1" x14ac:dyDescent="0.3">
      <c r="A120" s="44">
        <v>30</v>
      </c>
      <c r="B120" s="45" t="s">
        <v>87</v>
      </c>
      <c r="C120" s="45">
        <v>1787</v>
      </c>
      <c r="D120" s="45" t="s">
        <v>84</v>
      </c>
      <c r="E120" s="45">
        <v>35000122</v>
      </c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5.75" customHeight="1" x14ac:dyDescent="0.3">
      <c r="A121" s="44">
        <v>31</v>
      </c>
      <c r="B121" s="45" t="s">
        <v>86</v>
      </c>
      <c r="C121" s="45">
        <v>1370</v>
      </c>
      <c r="D121" s="45" t="s">
        <v>84</v>
      </c>
      <c r="E121" s="45">
        <v>35000123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5.75" customHeight="1" x14ac:dyDescent="0.3">
      <c r="A122" s="88">
        <v>32</v>
      </c>
      <c r="B122" s="89" t="s">
        <v>67</v>
      </c>
      <c r="C122" s="89">
        <v>1341</v>
      </c>
      <c r="D122" s="89" t="s">
        <v>64</v>
      </c>
      <c r="E122" s="89">
        <v>35000124</v>
      </c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5.75" customHeight="1" x14ac:dyDescent="0.3">
      <c r="A123" s="88">
        <v>33</v>
      </c>
      <c r="B123" s="89" t="s">
        <v>69</v>
      </c>
      <c r="C123" s="89">
        <v>1046</v>
      </c>
      <c r="D123" s="89" t="s">
        <v>64</v>
      </c>
      <c r="E123" s="89">
        <v>35000125</v>
      </c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5.75" customHeight="1" x14ac:dyDescent="0.3">
      <c r="A124" s="88">
        <v>34</v>
      </c>
      <c r="B124" s="89" t="s">
        <v>65</v>
      </c>
      <c r="C124" s="89">
        <v>1593</v>
      </c>
      <c r="D124" s="89" t="s">
        <v>64</v>
      </c>
      <c r="E124" s="89">
        <v>35000126</v>
      </c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5.75" customHeight="1" x14ac:dyDescent="0.3">
      <c r="A125" s="88">
        <v>35</v>
      </c>
      <c r="B125" s="89" t="s">
        <v>63</v>
      </c>
      <c r="C125" s="89">
        <v>1921</v>
      </c>
      <c r="D125" s="89" t="s">
        <v>64</v>
      </c>
      <c r="E125" s="89">
        <v>35000127</v>
      </c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5.75" customHeight="1" x14ac:dyDescent="0.3">
      <c r="A126" s="88">
        <v>36</v>
      </c>
      <c r="B126" s="89" t="s">
        <v>68</v>
      </c>
      <c r="C126" s="89">
        <v>1884</v>
      </c>
      <c r="D126" s="89" t="s">
        <v>64</v>
      </c>
      <c r="E126" s="89">
        <v>35000129</v>
      </c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5.75" customHeight="1" x14ac:dyDescent="0.3">
      <c r="A127" s="88">
        <v>37</v>
      </c>
      <c r="B127" s="89" t="s">
        <v>70</v>
      </c>
      <c r="C127" s="89">
        <v>1337</v>
      </c>
      <c r="D127" s="89" t="s">
        <v>64</v>
      </c>
      <c r="E127" s="89">
        <v>35000128</v>
      </c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5.75" customHeight="1" x14ac:dyDescent="0.3">
      <c r="A128" s="88">
        <v>38</v>
      </c>
      <c r="B128" s="89" t="s">
        <v>66</v>
      </c>
      <c r="C128" s="89">
        <v>1246</v>
      </c>
      <c r="D128" s="89" t="s">
        <v>64</v>
      </c>
      <c r="E128" s="89">
        <v>35000130</v>
      </c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5.75" customHeight="1" x14ac:dyDescent="0.3">
      <c r="A129" s="88">
        <v>39</v>
      </c>
      <c r="B129" s="89" t="s">
        <v>71</v>
      </c>
      <c r="C129" s="89">
        <v>1372</v>
      </c>
      <c r="D129" s="89" t="s">
        <v>64</v>
      </c>
      <c r="E129" s="89">
        <v>35000131</v>
      </c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4.25" customHeight="1" x14ac:dyDescent="0.3">
      <c r="A130" s="48" t="s">
        <v>244</v>
      </c>
      <c r="B130" s="228" t="s">
        <v>245</v>
      </c>
      <c r="C130" s="229"/>
      <c r="D130" s="229"/>
      <c r="E130" s="23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74">
        <v>1</v>
      </c>
      <c r="B131" s="75" t="s">
        <v>214</v>
      </c>
      <c r="C131" s="75">
        <v>190</v>
      </c>
      <c r="D131" s="75" t="s">
        <v>215</v>
      </c>
      <c r="E131" s="75">
        <v>35000082</v>
      </c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 x14ac:dyDescent="0.3">
      <c r="A132" s="74">
        <v>2</v>
      </c>
      <c r="B132" s="75" t="s">
        <v>216</v>
      </c>
      <c r="C132" s="75">
        <v>151</v>
      </c>
      <c r="D132" s="75" t="s">
        <v>215</v>
      </c>
      <c r="E132" s="75">
        <v>35000083</v>
      </c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 x14ac:dyDescent="0.3">
      <c r="A133" s="74">
        <v>3</v>
      </c>
      <c r="B133" s="75" t="s">
        <v>217</v>
      </c>
      <c r="C133" s="75">
        <v>62</v>
      </c>
      <c r="D133" s="75" t="s">
        <v>215</v>
      </c>
      <c r="E133" s="75">
        <v>35000084</v>
      </c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 x14ac:dyDescent="0.3">
      <c r="A134" s="74">
        <v>4</v>
      </c>
      <c r="B134" s="75" t="s">
        <v>218</v>
      </c>
      <c r="C134" s="75">
        <v>696</v>
      </c>
      <c r="D134" s="75" t="s">
        <v>215</v>
      </c>
      <c r="E134" s="75">
        <v>35000085</v>
      </c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 x14ac:dyDescent="0.3">
      <c r="A135" s="74">
        <v>5</v>
      </c>
      <c r="B135" s="75" t="s">
        <v>219</v>
      </c>
      <c r="C135" s="75">
        <v>598</v>
      </c>
      <c r="D135" s="75" t="s">
        <v>215</v>
      </c>
      <c r="E135" s="75">
        <v>35000086</v>
      </c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 x14ac:dyDescent="0.3">
      <c r="A136" s="74">
        <v>6</v>
      </c>
      <c r="B136" s="75" t="s">
        <v>220</v>
      </c>
      <c r="C136" s="75">
        <v>445</v>
      </c>
      <c r="D136" s="75" t="s">
        <v>215</v>
      </c>
      <c r="E136" s="75">
        <v>35000087</v>
      </c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 x14ac:dyDescent="0.3">
      <c r="A137" s="74">
        <v>7</v>
      </c>
      <c r="B137" s="75" t="s">
        <v>221</v>
      </c>
      <c r="C137" s="75">
        <v>64</v>
      </c>
      <c r="D137" s="75" t="s">
        <v>215</v>
      </c>
      <c r="E137" s="75">
        <v>35000207</v>
      </c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 x14ac:dyDescent="0.3">
      <c r="A138" s="70">
        <v>8</v>
      </c>
      <c r="B138" s="71" t="s">
        <v>222</v>
      </c>
      <c r="C138" s="71">
        <v>695</v>
      </c>
      <c r="D138" s="71" t="s">
        <v>223</v>
      </c>
      <c r="E138" s="71">
        <v>35000090</v>
      </c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 customHeight="1" x14ac:dyDescent="0.3">
      <c r="A139" s="70">
        <v>9</v>
      </c>
      <c r="B139" s="71" t="s">
        <v>224</v>
      </c>
      <c r="C139" s="71">
        <v>463</v>
      </c>
      <c r="D139" s="71" t="s">
        <v>223</v>
      </c>
      <c r="E139" s="71">
        <v>35000091</v>
      </c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 customHeight="1" x14ac:dyDescent="0.3">
      <c r="A140" s="70">
        <v>10</v>
      </c>
      <c r="B140" s="71" t="s">
        <v>225</v>
      </c>
      <c r="C140" s="71">
        <v>296</v>
      </c>
      <c r="D140" s="71" t="s">
        <v>223</v>
      </c>
      <c r="E140" s="71">
        <v>35000092</v>
      </c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 customHeight="1" x14ac:dyDescent="0.3">
      <c r="A141" s="70">
        <v>11</v>
      </c>
      <c r="B141" s="71" t="s">
        <v>226</v>
      </c>
      <c r="C141" s="71">
        <v>2581</v>
      </c>
      <c r="D141" s="71" t="s">
        <v>223</v>
      </c>
      <c r="E141" s="71">
        <v>35000093</v>
      </c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 customHeight="1" x14ac:dyDescent="0.3">
      <c r="A142" s="88">
        <v>12</v>
      </c>
      <c r="B142" s="89" t="s">
        <v>227</v>
      </c>
      <c r="C142" s="89">
        <v>876</v>
      </c>
      <c r="D142" s="89" t="s">
        <v>228</v>
      </c>
      <c r="E142" s="89">
        <v>35000094</v>
      </c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5.75" customHeight="1" x14ac:dyDescent="0.3">
      <c r="A143" s="77">
        <v>13</v>
      </c>
      <c r="B143" s="78" t="s">
        <v>93</v>
      </c>
      <c r="C143" s="78">
        <v>1126</v>
      </c>
      <c r="D143" s="78" t="s">
        <v>91</v>
      </c>
      <c r="E143" s="78">
        <v>35000171</v>
      </c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spans="1:26" ht="15.75" customHeight="1" x14ac:dyDescent="0.3">
      <c r="A144" s="77">
        <v>14</v>
      </c>
      <c r="B144" s="78" t="s">
        <v>95</v>
      </c>
      <c r="C144" s="78">
        <v>1513</v>
      </c>
      <c r="D144" s="78" t="s">
        <v>91</v>
      </c>
      <c r="E144" s="78">
        <v>35000172</v>
      </c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spans="1:26" ht="15.75" customHeight="1" x14ac:dyDescent="0.3">
      <c r="A145" s="77">
        <v>15</v>
      </c>
      <c r="B145" s="78" t="s">
        <v>90</v>
      </c>
      <c r="C145" s="78">
        <v>1523</v>
      </c>
      <c r="D145" s="78" t="s">
        <v>91</v>
      </c>
      <c r="E145" s="78">
        <v>35000173</v>
      </c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spans="1:26" ht="15.75" customHeight="1" x14ac:dyDescent="0.3">
      <c r="A146" s="77">
        <v>16</v>
      </c>
      <c r="B146" s="78" t="s">
        <v>92</v>
      </c>
      <c r="C146" s="78">
        <v>1744</v>
      </c>
      <c r="D146" s="78" t="s">
        <v>91</v>
      </c>
      <c r="E146" s="78">
        <v>35000174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spans="1:26" ht="15.75" customHeight="1" x14ac:dyDescent="0.3">
      <c r="A147" s="77">
        <v>17</v>
      </c>
      <c r="B147" s="78" t="s">
        <v>94</v>
      </c>
      <c r="C147" s="78">
        <v>1909</v>
      </c>
      <c r="D147" s="78" t="s">
        <v>91</v>
      </c>
      <c r="E147" s="78">
        <v>35000175</v>
      </c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spans="1:26" ht="15.75" customHeight="1" x14ac:dyDescent="0.3">
      <c r="A148" s="12">
        <v>18</v>
      </c>
      <c r="B148" s="13" t="s">
        <v>78</v>
      </c>
      <c r="C148" s="13">
        <v>1008</v>
      </c>
      <c r="D148" s="13" t="s">
        <v>75</v>
      </c>
      <c r="E148" s="13">
        <v>35000176</v>
      </c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3">
      <c r="A149" s="12">
        <v>19</v>
      </c>
      <c r="B149" s="13" t="s">
        <v>80</v>
      </c>
      <c r="C149" s="13">
        <v>1085</v>
      </c>
      <c r="D149" s="13" t="s">
        <v>75</v>
      </c>
      <c r="E149" s="13">
        <v>35000177</v>
      </c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3">
      <c r="A150" s="12">
        <v>20</v>
      </c>
      <c r="B150" s="13" t="s">
        <v>82</v>
      </c>
      <c r="C150" s="13">
        <v>1132</v>
      </c>
      <c r="D150" s="13" t="s">
        <v>75</v>
      </c>
      <c r="E150" s="13">
        <v>35000178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3">
      <c r="A151" s="12">
        <v>21</v>
      </c>
      <c r="B151" s="13" t="s">
        <v>81</v>
      </c>
      <c r="C151" s="13">
        <v>1090</v>
      </c>
      <c r="D151" s="13" t="s">
        <v>75</v>
      </c>
      <c r="E151" s="13">
        <v>35000179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3">
      <c r="A152" s="12">
        <v>22</v>
      </c>
      <c r="B152" s="13" t="s">
        <v>76</v>
      </c>
      <c r="C152" s="13">
        <v>1613</v>
      </c>
      <c r="D152" s="13" t="s">
        <v>75</v>
      </c>
      <c r="E152" s="13">
        <v>35000180</v>
      </c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3">
      <c r="A153" s="12">
        <v>23</v>
      </c>
      <c r="B153" s="13" t="s">
        <v>79</v>
      </c>
      <c r="C153" s="13">
        <v>1449</v>
      </c>
      <c r="D153" s="13" t="s">
        <v>75</v>
      </c>
      <c r="E153" s="13">
        <v>35000181</v>
      </c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3">
      <c r="A154" s="12">
        <v>24</v>
      </c>
      <c r="B154" s="13" t="s">
        <v>74</v>
      </c>
      <c r="C154" s="13">
        <v>1843</v>
      </c>
      <c r="D154" s="13" t="s">
        <v>75</v>
      </c>
      <c r="E154" s="13">
        <v>35000182</v>
      </c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3">
      <c r="A155" s="12">
        <v>25</v>
      </c>
      <c r="B155" s="13" t="s">
        <v>77</v>
      </c>
      <c r="C155" s="13">
        <v>1057</v>
      </c>
      <c r="D155" s="13" t="s">
        <v>75</v>
      </c>
      <c r="E155" s="13">
        <v>35000183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4.25" customHeight="1" x14ac:dyDescent="0.3">
      <c r="A156" s="48" t="s">
        <v>246</v>
      </c>
      <c r="B156" s="228" t="s">
        <v>247</v>
      </c>
      <c r="C156" s="229"/>
      <c r="D156" s="229"/>
      <c r="E156" s="23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23">
        <v>1</v>
      </c>
      <c r="B157" s="24" t="s">
        <v>33</v>
      </c>
      <c r="C157" s="24">
        <v>1393</v>
      </c>
      <c r="D157" s="24" t="s">
        <v>26</v>
      </c>
      <c r="E157" s="24">
        <v>35000156</v>
      </c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 x14ac:dyDescent="0.3">
      <c r="A158" s="23">
        <v>2</v>
      </c>
      <c r="B158" s="24" t="s">
        <v>29</v>
      </c>
      <c r="C158" s="24">
        <v>1447</v>
      </c>
      <c r="D158" s="24" t="s">
        <v>26</v>
      </c>
      <c r="E158" s="24">
        <v>35000157</v>
      </c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 x14ac:dyDescent="0.3">
      <c r="A159" s="23">
        <v>3</v>
      </c>
      <c r="B159" s="24" t="s">
        <v>27</v>
      </c>
      <c r="C159" s="24">
        <v>1239</v>
      </c>
      <c r="D159" s="24" t="s">
        <v>26</v>
      </c>
      <c r="E159" s="24">
        <v>35000158</v>
      </c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 x14ac:dyDescent="0.3">
      <c r="A160" s="23">
        <v>4</v>
      </c>
      <c r="B160" s="24" t="s">
        <v>32</v>
      </c>
      <c r="C160" s="24">
        <v>1244</v>
      </c>
      <c r="D160" s="24" t="s">
        <v>26</v>
      </c>
      <c r="E160" s="24">
        <v>35000159</v>
      </c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 x14ac:dyDescent="0.3">
      <c r="A161" s="23">
        <v>5</v>
      </c>
      <c r="B161" s="24" t="s">
        <v>31</v>
      </c>
      <c r="C161" s="24">
        <v>1879</v>
      </c>
      <c r="D161" s="24" t="s">
        <v>26</v>
      </c>
      <c r="E161" s="24">
        <v>35000160</v>
      </c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 x14ac:dyDescent="0.3">
      <c r="A162" s="23">
        <v>6</v>
      </c>
      <c r="B162" s="24" t="s">
        <v>25</v>
      </c>
      <c r="C162" s="24">
        <v>2188</v>
      </c>
      <c r="D162" s="24" t="s">
        <v>26</v>
      </c>
      <c r="E162" s="24">
        <v>35000161</v>
      </c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 x14ac:dyDescent="0.3">
      <c r="A163" s="23">
        <v>7</v>
      </c>
      <c r="B163" s="24" t="s">
        <v>30</v>
      </c>
      <c r="C163" s="24">
        <v>2056</v>
      </c>
      <c r="D163" s="24" t="s">
        <v>26</v>
      </c>
      <c r="E163" s="24">
        <v>35000162</v>
      </c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 x14ac:dyDescent="0.3">
      <c r="A164" s="23">
        <v>8</v>
      </c>
      <c r="B164" s="24" t="s">
        <v>28</v>
      </c>
      <c r="C164" s="24">
        <v>2323</v>
      </c>
      <c r="D164" s="24" t="s">
        <v>26</v>
      </c>
      <c r="E164" s="24">
        <v>35000163</v>
      </c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 x14ac:dyDescent="0.3">
      <c r="A165" s="91">
        <v>9</v>
      </c>
      <c r="B165" s="92" t="s">
        <v>46</v>
      </c>
      <c r="C165" s="92">
        <v>1920</v>
      </c>
      <c r="D165" s="92" t="s">
        <v>43</v>
      </c>
      <c r="E165" s="92">
        <v>35000165</v>
      </c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spans="1:26" ht="15.75" customHeight="1" x14ac:dyDescent="0.3">
      <c r="A166" s="91">
        <v>10</v>
      </c>
      <c r="B166" s="92" t="s">
        <v>44</v>
      </c>
      <c r="C166" s="92">
        <v>1867</v>
      </c>
      <c r="D166" s="92" t="s">
        <v>43</v>
      </c>
      <c r="E166" s="92">
        <v>35000166</v>
      </c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spans="1:26" ht="15.75" customHeight="1" x14ac:dyDescent="0.3">
      <c r="A167" s="91">
        <v>11</v>
      </c>
      <c r="B167" s="92" t="s">
        <v>47</v>
      </c>
      <c r="C167" s="92">
        <v>1262</v>
      </c>
      <c r="D167" s="92" t="s">
        <v>43</v>
      </c>
      <c r="E167" s="92">
        <v>35000167</v>
      </c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spans="1:26" ht="15.75" customHeight="1" x14ac:dyDescent="0.3">
      <c r="A168" s="91">
        <v>12</v>
      </c>
      <c r="B168" s="92" t="s">
        <v>42</v>
      </c>
      <c r="C168" s="92">
        <v>1094</v>
      </c>
      <c r="D168" s="92" t="s">
        <v>43</v>
      </c>
      <c r="E168" s="92">
        <v>35000168</v>
      </c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spans="1:26" ht="15.75" customHeight="1" x14ac:dyDescent="0.3">
      <c r="A169" s="94">
        <v>13</v>
      </c>
      <c r="B169" s="95" t="s">
        <v>45</v>
      </c>
      <c r="C169" s="95">
        <v>1088</v>
      </c>
      <c r="D169" s="95" t="s">
        <v>43</v>
      </c>
      <c r="E169" s="95">
        <v>35000169</v>
      </c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spans="1:26" ht="14.25" customHeight="1" x14ac:dyDescent="0.3">
      <c r="A170" s="7" t="s">
        <v>248</v>
      </c>
      <c r="B170" s="231" t="s">
        <v>249</v>
      </c>
      <c r="C170" s="232"/>
      <c r="D170" s="232"/>
      <c r="E170" s="23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74">
        <v>1</v>
      </c>
      <c r="B171" s="75" t="s">
        <v>204</v>
      </c>
      <c r="C171" s="75">
        <v>1151</v>
      </c>
      <c r="D171" s="75" t="s">
        <v>205</v>
      </c>
      <c r="E171" s="75">
        <v>35000076</v>
      </c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 x14ac:dyDescent="0.3">
      <c r="A172" s="74">
        <v>2</v>
      </c>
      <c r="B172" s="75" t="s">
        <v>206</v>
      </c>
      <c r="C172" s="75">
        <v>319</v>
      </c>
      <c r="D172" s="75" t="s">
        <v>205</v>
      </c>
      <c r="E172" s="75">
        <v>35000077</v>
      </c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 x14ac:dyDescent="0.3">
      <c r="A173" s="12">
        <v>3</v>
      </c>
      <c r="B173" s="13" t="s">
        <v>207</v>
      </c>
      <c r="C173" s="13">
        <v>309</v>
      </c>
      <c r="D173" s="13" t="s">
        <v>208</v>
      </c>
      <c r="E173" s="13">
        <v>35000078</v>
      </c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3">
      <c r="A174" s="12">
        <v>4</v>
      </c>
      <c r="B174" s="13" t="s">
        <v>209</v>
      </c>
      <c r="C174" s="13">
        <v>350</v>
      </c>
      <c r="D174" s="13" t="s">
        <v>208</v>
      </c>
      <c r="E174" s="13">
        <v>35000079</v>
      </c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3">
      <c r="A175" s="12">
        <v>5</v>
      </c>
      <c r="B175" s="13" t="s">
        <v>210</v>
      </c>
      <c r="C175" s="13">
        <v>63</v>
      </c>
      <c r="D175" s="13" t="s">
        <v>208</v>
      </c>
      <c r="E175" s="13">
        <v>35000080</v>
      </c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3">
      <c r="A176" s="40">
        <v>6</v>
      </c>
      <c r="B176" s="41" t="s">
        <v>211</v>
      </c>
      <c r="C176" s="41">
        <v>777</v>
      </c>
      <c r="D176" s="41" t="s">
        <v>212</v>
      </c>
      <c r="E176" s="41">
        <v>35000081</v>
      </c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5.75" customHeight="1" x14ac:dyDescent="0.3">
      <c r="A177" s="12">
        <v>7</v>
      </c>
      <c r="B177" s="13" t="s">
        <v>213</v>
      </c>
      <c r="C177" s="13">
        <v>80</v>
      </c>
      <c r="D177" s="13" t="s">
        <v>208</v>
      </c>
      <c r="E177" s="13">
        <v>35000204</v>
      </c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3">
      <c r="A178" s="28">
        <v>8</v>
      </c>
      <c r="B178" s="29" t="s">
        <v>18</v>
      </c>
      <c r="C178" s="29">
        <v>1074</v>
      </c>
      <c r="D178" s="29" t="s">
        <v>19</v>
      </c>
      <c r="E178" s="29">
        <v>35000149</v>
      </c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3">
      <c r="A179" s="28">
        <v>9</v>
      </c>
      <c r="B179" s="29" t="s">
        <v>20</v>
      </c>
      <c r="C179" s="29">
        <v>1499</v>
      </c>
      <c r="D179" s="29" t="s">
        <v>19</v>
      </c>
      <c r="E179" s="29">
        <v>35000150</v>
      </c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3">
      <c r="A180" s="91">
        <v>10</v>
      </c>
      <c r="B180" s="92" t="s">
        <v>98</v>
      </c>
      <c r="C180" s="92">
        <v>2184</v>
      </c>
      <c r="D180" s="92" t="s">
        <v>99</v>
      </c>
      <c r="E180" s="92">
        <v>35000151</v>
      </c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spans="1:26" ht="15.75" customHeight="1" x14ac:dyDescent="0.3">
      <c r="A181" s="88">
        <v>11</v>
      </c>
      <c r="B181" s="89" t="s">
        <v>10</v>
      </c>
      <c r="C181" s="89">
        <v>1736</v>
      </c>
      <c r="D181" s="89" t="s">
        <v>9</v>
      </c>
      <c r="E181" s="89">
        <v>35000153</v>
      </c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5.75" customHeight="1" x14ac:dyDescent="0.3">
      <c r="A182" s="88">
        <v>12</v>
      </c>
      <c r="B182" s="89" t="s">
        <v>11</v>
      </c>
      <c r="C182" s="89">
        <v>1074</v>
      </c>
      <c r="D182" s="89" t="s">
        <v>9</v>
      </c>
      <c r="E182" s="89">
        <v>35000154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5.75" customHeight="1" x14ac:dyDescent="0.3">
      <c r="A183" s="88">
        <v>13</v>
      </c>
      <c r="B183" s="89" t="s">
        <v>8</v>
      </c>
      <c r="C183" s="89">
        <v>1523</v>
      </c>
      <c r="D183" s="89" t="s">
        <v>9</v>
      </c>
      <c r="E183" s="89">
        <v>35000155</v>
      </c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4.25" customHeight="1" x14ac:dyDescent="0.3">
      <c r="A184" s="48" t="s">
        <v>250</v>
      </c>
      <c r="B184" s="228" t="s">
        <v>251</v>
      </c>
      <c r="C184" s="229"/>
      <c r="D184" s="229"/>
      <c r="E184" s="23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x14ac:dyDescent="0.3">
      <c r="A185" s="18">
        <v>1</v>
      </c>
      <c r="B185" s="19" t="s">
        <v>5</v>
      </c>
      <c r="C185" s="19">
        <v>1085</v>
      </c>
      <c r="D185" s="19" t="s">
        <v>6</v>
      </c>
      <c r="E185" s="19">
        <v>35000184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 x14ac:dyDescent="0.3">
      <c r="A186" s="18">
        <v>2</v>
      </c>
      <c r="B186" s="19" t="s">
        <v>7</v>
      </c>
      <c r="C186" s="19">
        <v>1807</v>
      </c>
      <c r="D186" s="19" t="s">
        <v>6</v>
      </c>
      <c r="E186" s="19">
        <v>35000185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 x14ac:dyDescent="0.3">
      <c r="A187" s="51">
        <v>3</v>
      </c>
      <c r="B187" s="52" t="s">
        <v>96</v>
      </c>
      <c r="C187" s="52">
        <v>1799</v>
      </c>
      <c r="D187" s="52" t="s">
        <v>97</v>
      </c>
      <c r="E187" s="52">
        <v>35000186</v>
      </c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3">
      <c r="A188" s="28">
        <v>4</v>
      </c>
      <c r="B188" s="29" t="s">
        <v>72</v>
      </c>
      <c r="C188" s="29">
        <v>2462</v>
      </c>
      <c r="D188" s="29" t="s">
        <v>73</v>
      </c>
      <c r="E188" s="29">
        <v>35000187</v>
      </c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3">
      <c r="A189" s="96">
        <v>5</v>
      </c>
      <c r="B189" s="97" t="s">
        <v>100</v>
      </c>
      <c r="C189" s="97">
        <v>1424</v>
      </c>
      <c r="D189" s="97" t="s">
        <v>101</v>
      </c>
      <c r="E189" s="97">
        <v>35000188</v>
      </c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3"/>
    <row r="191" spans="1:26" ht="15.75" customHeight="1" x14ac:dyDescent="0.3"/>
    <row r="192" spans="1:26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B156:E156"/>
    <mergeCell ref="B170:E170"/>
    <mergeCell ref="B184:E184"/>
    <mergeCell ref="A1:E1"/>
    <mergeCell ref="B3:E3"/>
    <mergeCell ref="B39:E39"/>
    <mergeCell ref="B59:E59"/>
    <mergeCell ref="B70:E70"/>
    <mergeCell ref="B90:E90"/>
    <mergeCell ref="B130:E130"/>
  </mergeCells>
  <pageMargins left="0.70866141732283472" right="0.70866141732283472" top="0.74803149606299213" bottom="0.74803149606299213" header="0" footer="0"/>
  <pageSetup paperSize="9" orientation="portrait"/>
  <rowBreaks count="2" manualBreakCount="2">
    <brk id="56" man="1"/>
    <brk id="16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N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1.33203125" customWidth="1"/>
    <col min="3" max="4" width="8.6640625" customWidth="1"/>
    <col min="5" max="5" width="11.33203125" customWidth="1"/>
    <col min="6" max="26" width="8.6640625" customWidth="1"/>
  </cols>
  <sheetData>
    <row r="2" spans="1:14" ht="14.4" x14ac:dyDescent="0.3">
      <c r="A2" s="4">
        <v>1</v>
      </c>
      <c r="B2" s="98">
        <v>13</v>
      </c>
      <c r="E2" s="4" t="s">
        <v>252</v>
      </c>
      <c r="F2" s="4" t="s">
        <v>253</v>
      </c>
      <c r="M2" s="4">
        <v>1</v>
      </c>
      <c r="N2" s="4">
        <v>13</v>
      </c>
    </row>
    <row r="3" spans="1:14" ht="14.4" x14ac:dyDescent="0.3">
      <c r="A3" s="4">
        <v>2</v>
      </c>
      <c r="B3" s="99">
        <v>16</v>
      </c>
      <c r="E3" s="100">
        <f>+N85</f>
        <v>22543</v>
      </c>
      <c r="F3" s="101">
        <f t="shared" ref="F3:F4" si="0">+E3/$E$5</f>
        <v>0.13488463931836675</v>
      </c>
      <c r="G3" s="4" t="s">
        <v>254</v>
      </c>
      <c r="M3" s="4">
        <v>2</v>
      </c>
      <c r="N3" s="4">
        <v>16</v>
      </c>
    </row>
    <row r="4" spans="1:14" ht="14.4" x14ac:dyDescent="0.3">
      <c r="A4" s="4">
        <v>3</v>
      </c>
      <c r="B4" s="99">
        <v>20</v>
      </c>
      <c r="E4" s="100">
        <f>+N183</f>
        <v>144585</v>
      </c>
      <c r="F4" s="101">
        <f t="shared" si="0"/>
        <v>0.86511536068163319</v>
      </c>
      <c r="G4" s="4" t="s">
        <v>255</v>
      </c>
      <c r="M4" s="4">
        <v>3</v>
      </c>
      <c r="N4" s="4">
        <v>20</v>
      </c>
    </row>
    <row r="5" spans="1:14" ht="14.4" x14ac:dyDescent="0.3">
      <c r="A5" s="4">
        <v>4</v>
      </c>
      <c r="B5" s="99">
        <v>23</v>
      </c>
      <c r="E5" s="100">
        <f t="shared" ref="E5:F5" si="1">SUM(E3:E4)</f>
        <v>167128</v>
      </c>
      <c r="F5" s="100">
        <f t="shared" si="1"/>
        <v>1</v>
      </c>
      <c r="M5" s="4">
        <v>4</v>
      </c>
      <c r="N5" s="4">
        <v>20</v>
      </c>
    </row>
    <row r="6" spans="1:14" ht="14.4" x14ac:dyDescent="0.3">
      <c r="A6" s="4">
        <v>5</v>
      </c>
      <c r="B6" s="99">
        <v>32</v>
      </c>
      <c r="M6" s="4">
        <v>5</v>
      </c>
      <c r="N6" s="4">
        <v>23</v>
      </c>
    </row>
    <row r="7" spans="1:14" ht="14.4" x14ac:dyDescent="0.3">
      <c r="A7" s="4">
        <v>6</v>
      </c>
      <c r="B7" s="99">
        <v>38</v>
      </c>
      <c r="M7" s="4">
        <v>6</v>
      </c>
      <c r="N7" s="4">
        <v>32</v>
      </c>
    </row>
    <row r="8" spans="1:14" ht="14.4" x14ac:dyDescent="0.3">
      <c r="A8" s="4">
        <v>7</v>
      </c>
      <c r="B8" s="99">
        <v>38</v>
      </c>
      <c r="M8" s="4">
        <v>7</v>
      </c>
      <c r="N8" s="4">
        <v>38</v>
      </c>
    </row>
    <row r="9" spans="1:14" ht="14.4" x14ac:dyDescent="0.3">
      <c r="A9" s="4">
        <v>8</v>
      </c>
      <c r="B9" s="99">
        <v>39</v>
      </c>
      <c r="M9" s="4">
        <v>8</v>
      </c>
      <c r="N9" s="4">
        <v>38</v>
      </c>
    </row>
    <row r="10" spans="1:14" ht="14.4" x14ac:dyDescent="0.3">
      <c r="A10" s="4">
        <v>9</v>
      </c>
      <c r="B10" s="99">
        <v>42</v>
      </c>
      <c r="M10" s="4">
        <v>9</v>
      </c>
      <c r="N10" s="4">
        <v>39</v>
      </c>
    </row>
    <row r="11" spans="1:14" ht="14.4" x14ac:dyDescent="0.3">
      <c r="A11" s="4">
        <v>10</v>
      </c>
      <c r="B11" s="99">
        <v>45</v>
      </c>
      <c r="M11" s="4">
        <v>10</v>
      </c>
      <c r="N11" s="4">
        <v>42</v>
      </c>
    </row>
    <row r="12" spans="1:14" ht="14.4" x14ac:dyDescent="0.3">
      <c r="A12" s="4">
        <v>11</v>
      </c>
      <c r="B12" s="99">
        <v>46</v>
      </c>
      <c r="M12" s="4">
        <v>11</v>
      </c>
      <c r="N12" s="4">
        <v>45</v>
      </c>
    </row>
    <row r="13" spans="1:14" ht="14.4" x14ac:dyDescent="0.3">
      <c r="A13" s="4">
        <v>12</v>
      </c>
      <c r="B13" s="98">
        <v>50</v>
      </c>
      <c r="M13" s="4">
        <v>12</v>
      </c>
      <c r="N13" s="4">
        <v>46</v>
      </c>
    </row>
    <row r="14" spans="1:14" ht="14.4" x14ac:dyDescent="0.3">
      <c r="A14" s="4">
        <v>13</v>
      </c>
      <c r="B14" s="99">
        <v>51</v>
      </c>
      <c r="M14" s="4">
        <v>13</v>
      </c>
      <c r="N14" s="4">
        <v>50</v>
      </c>
    </row>
    <row r="15" spans="1:14" ht="14.4" x14ac:dyDescent="0.3">
      <c r="A15" s="4">
        <v>14</v>
      </c>
      <c r="B15" s="99">
        <v>53</v>
      </c>
      <c r="M15" s="4">
        <v>14</v>
      </c>
      <c r="N15" s="4">
        <v>51</v>
      </c>
    </row>
    <row r="16" spans="1:14" ht="14.4" x14ac:dyDescent="0.3">
      <c r="A16" s="4">
        <v>15</v>
      </c>
      <c r="B16" s="99">
        <v>54</v>
      </c>
      <c r="M16" s="4">
        <v>15</v>
      </c>
      <c r="N16" s="4">
        <v>53</v>
      </c>
    </row>
    <row r="17" spans="1:14" ht="14.4" x14ac:dyDescent="0.3">
      <c r="A17" s="4">
        <v>16</v>
      </c>
      <c r="B17" s="98">
        <v>54</v>
      </c>
      <c r="M17" s="4">
        <v>16</v>
      </c>
      <c r="N17" s="4">
        <v>54</v>
      </c>
    </row>
    <row r="18" spans="1:14" ht="14.4" x14ac:dyDescent="0.3">
      <c r="A18" s="4">
        <v>17</v>
      </c>
      <c r="B18" s="99">
        <v>56</v>
      </c>
      <c r="M18" s="4">
        <v>17</v>
      </c>
      <c r="N18" s="4">
        <v>54</v>
      </c>
    </row>
    <row r="19" spans="1:14" ht="14.4" x14ac:dyDescent="0.3">
      <c r="A19" s="4">
        <v>18</v>
      </c>
      <c r="B19" s="99">
        <v>59</v>
      </c>
      <c r="M19" s="4">
        <v>18</v>
      </c>
      <c r="N19" s="4">
        <v>56</v>
      </c>
    </row>
    <row r="20" spans="1:14" ht="14.4" x14ac:dyDescent="0.3">
      <c r="A20" s="4">
        <v>19</v>
      </c>
      <c r="B20" s="99">
        <v>62</v>
      </c>
      <c r="M20" s="4">
        <v>19</v>
      </c>
      <c r="N20" s="4">
        <v>59</v>
      </c>
    </row>
    <row r="21" spans="1:14" ht="15.75" customHeight="1" x14ac:dyDescent="0.3">
      <c r="A21" s="4">
        <v>20</v>
      </c>
      <c r="B21" s="99">
        <v>62</v>
      </c>
      <c r="M21" s="4">
        <v>20</v>
      </c>
      <c r="N21" s="4">
        <v>62</v>
      </c>
    </row>
    <row r="22" spans="1:14" ht="15.75" customHeight="1" x14ac:dyDescent="0.3">
      <c r="A22" s="4">
        <v>21</v>
      </c>
      <c r="B22" s="99">
        <v>63</v>
      </c>
      <c r="M22" s="4">
        <v>21</v>
      </c>
      <c r="N22" s="4">
        <v>62</v>
      </c>
    </row>
    <row r="23" spans="1:14" ht="15.75" customHeight="1" x14ac:dyDescent="0.3">
      <c r="A23" s="4">
        <v>22</v>
      </c>
      <c r="B23" s="98">
        <v>63</v>
      </c>
      <c r="M23" s="4">
        <v>22</v>
      </c>
      <c r="N23" s="4">
        <v>62</v>
      </c>
    </row>
    <row r="24" spans="1:14" ht="15.75" customHeight="1" x14ac:dyDescent="0.3">
      <c r="A24" s="4">
        <v>23</v>
      </c>
      <c r="B24" s="99">
        <v>69</v>
      </c>
      <c r="M24" s="4">
        <v>23</v>
      </c>
      <c r="N24" s="4">
        <v>63</v>
      </c>
    </row>
    <row r="25" spans="1:14" ht="15.75" customHeight="1" x14ac:dyDescent="0.3">
      <c r="A25" s="4">
        <v>24</v>
      </c>
      <c r="B25" s="99">
        <v>69</v>
      </c>
      <c r="M25" s="4">
        <v>24</v>
      </c>
      <c r="N25" s="4">
        <v>63</v>
      </c>
    </row>
    <row r="26" spans="1:14" ht="15.75" customHeight="1" x14ac:dyDescent="0.3">
      <c r="A26" s="4">
        <v>25</v>
      </c>
      <c r="B26" s="99">
        <v>69</v>
      </c>
      <c r="M26" s="4">
        <v>25</v>
      </c>
      <c r="N26" s="4">
        <v>64</v>
      </c>
    </row>
    <row r="27" spans="1:14" ht="15.75" customHeight="1" x14ac:dyDescent="0.3">
      <c r="A27" s="4">
        <v>26</v>
      </c>
      <c r="B27" s="99">
        <v>70</v>
      </c>
      <c r="M27" s="4">
        <v>26</v>
      </c>
      <c r="N27" s="4">
        <v>69</v>
      </c>
    </row>
    <row r="28" spans="1:14" ht="15.75" customHeight="1" x14ac:dyDescent="0.3">
      <c r="A28" s="4">
        <v>27</v>
      </c>
      <c r="B28" s="98">
        <v>80</v>
      </c>
      <c r="M28" s="4">
        <v>27</v>
      </c>
      <c r="N28" s="4">
        <v>69</v>
      </c>
    </row>
    <row r="29" spans="1:14" ht="15.75" customHeight="1" x14ac:dyDescent="0.3">
      <c r="A29" s="4">
        <v>28</v>
      </c>
      <c r="B29" s="99">
        <v>82</v>
      </c>
      <c r="M29" s="4">
        <v>28</v>
      </c>
      <c r="N29" s="4">
        <v>69</v>
      </c>
    </row>
    <row r="30" spans="1:14" ht="15.75" customHeight="1" x14ac:dyDescent="0.3">
      <c r="A30" s="4">
        <v>29</v>
      </c>
      <c r="B30" s="99">
        <v>98</v>
      </c>
      <c r="M30" s="4">
        <v>29</v>
      </c>
      <c r="N30" s="4">
        <v>70</v>
      </c>
    </row>
    <row r="31" spans="1:14" ht="15.75" customHeight="1" x14ac:dyDescent="0.3">
      <c r="A31" s="4">
        <v>30</v>
      </c>
      <c r="B31" s="99">
        <v>107</v>
      </c>
      <c r="M31" s="4">
        <v>30</v>
      </c>
      <c r="N31" s="4">
        <v>80</v>
      </c>
    </row>
    <row r="32" spans="1:14" ht="15.75" customHeight="1" x14ac:dyDescent="0.3">
      <c r="A32" s="4">
        <v>31</v>
      </c>
      <c r="B32" s="99">
        <v>108</v>
      </c>
      <c r="M32" s="4">
        <v>31</v>
      </c>
      <c r="N32" s="4">
        <v>82</v>
      </c>
    </row>
    <row r="33" spans="1:14" ht="15.75" customHeight="1" x14ac:dyDescent="0.3">
      <c r="A33" s="4">
        <v>32</v>
      </c>
      <c r="B33" s="99">
        <v>113</v>
      </c>
      <c r="M33" s="4">
        <v>32</v>
      </c>
      <c r="N33" s="4">
        <v>98</v>
      </c>
    </row>
    <row r="34" spans="1:14" ht="15.75" customHeight="1" x14ac:dyDescent="0.3">
      <c r="A34" s="4">
        <v>33</v>
      </c>
      <c r="B34" s="99">
        <v>119</v>
      </c>
      <c r="M34" s="4">
        <v>33</v>
      </c>
      <c r="N34" s="4">
        <v>107</v>
      </c>
    </row>
    <row r="35" spans="1:14" ht="15.75" customHeight="1" x14ac:dyDescent="0.3">
      <c r="A35" s="4">
        <v>34</v>
      </c>
      <c r="B35" s="99">
        <v>148</v>
      </c>
      <c r="M35" s="4">
        <v>34</v>
      </c>
      <c r="N35" s="4">
        <v>108</v>
      </c>
    </row>
    <row r="36" spans="1:14" ht="15.75" customHeight="1" x14ac:dyDescent="0.3">
      <c r="A36" s="4">
        <v>35</v>
      </c>
      <c r="B36" s="99">
        <v>156</v>
      </c>
      <c r="M36" s="4">
        <v>35</v>
      </c>
      <c r="N36" s="4">
        <v>113</v>
      </c>
    </row>
    <row r="37" spans="1:14" ht="15.75" customHeight="1" x14ac:dyDescent="0.3">
      <c r="A37" s="4">
        <v>36</v>
      </c>
      <c r="B37" s="99">
        <v>165</v>
      </c>
      <c r="M37" s="4">
        <v>36</v>
      </c>
      <c r="N37" s="4">
        <v>119</v>
      </c>
    </row>
    <row r="38" spans="1:14" ht="15.75" customHeight="1" x14ac:dyDescent="0.3">
      <c r="A38" s="4">
        <v>37</v>
      </c>
      <c r="B38" s="98">
        <v>165</v>
      </c>
      <c r="M38" s="4">
        <v>37</v>
      </c>
      <c r="N38" s="4">
        <v>148</v>
      </c>
    </row>
    <row r="39" spans="1:14" ht="15.75" customHeight="1" x14ac:dyDescent="0.3">
      <c r="A39" s="4">
        <v>38</v>
      </c>
      <c r="B39" s="99">
        <v>193</v>
      </c>
      <c r="M39" s="4">
        <v>38</v>
      </c>
      <c r="N39" s="4">
        <v>151</v>
      </c>
    </row>
    <row r="40" spans="1:14" ht="15.75" customHeight="1" x14ac:dyDescent="0.3">
      <c r="A40" s="4">
        <v>39</v>
      </c>
      <c r="B40" s="98">
        <v>194</v>
      </c>
      <c r="M40" s="4">
        <v>39</v>
      </c>
      <c r="N40" s="4">
        <v>156</v>
      </c>
    </row>
    <row r="41" spans="1:14" ht="15.75" customHeight="1" x14ac:dyDescent="0.3">
      <c r="A41" s="4">
        <v>40</v>
      </c>
      <c r="B41" s="98">
        <v>209</v>
      </c>
      <c r="M41" s="4">
        <v>40</v>
      </c>
      <c r="N41" s="4">
        <v>165</v>
      </c>
    </row>
    <row r="42" spans="1:14" ht="15.75" customHeight="1" x14ac:dyDescent="0.3">
      <c r="A42" s="4">
        <v>41</v>
      </c>
      <c r="B42" s="98">
        <v>215</v>
      </c>
      <c r="M42" s="4">
        <v>41</v>
      </c>
      <c r="N42" s="4">
        <v>165</v>
      </c>
    </row>
    <row r="43" spans="1:14" ht="15.75" customHeight="1" x14ac:dyDescent="0.3">
      <c r="A43" s="4">
        <v>42</v>
      </c>
      <c r="B43" s="98">
        <v>230</v>
      </c>
      <c r="M43" s="4">
        <v>42</v>
      </c>
      <c r="N43" s="4">
        <v>190</v>
      </c>
    </row>
    <row r="44" spans="1:14" ht="15.75" customHeight="1" x14ac:dyDescent="0.3">
      <c r="A44" s="4">
        <v>43</v>
      </c>
      <c r="B44" s="99">
        <v>245</v>
      </c>
      <c r="M44" s="4">
        <v>43</v>
      </c>
      <c r="N44" s="4">
        <v>193</v>
      </c>
    </row>
    <row r="45" spans="1:14" ht="15.75" customHeight="1" x14ac:dyDescent="0.3">
      <c r="A45" s="4">
        <v>44</v>
      </c>
      <c r="B45" s="99">
        <v>281</v>
      </c>
      <c r="M45" s="4">
        <v>44</v>
      </c>
      <c r="N45" s="4">
        <v>194</v>
      </c>
    </row>
    <row r="46" spans="1:14" ht="15.75" customHeight="1" x14ac:dyDescent="0.3">
      <c r="A46" s="4">
        <v>45</v>
      </c>
      <c r="B46" s="99">
        <v>282</v>
      </c>
      <c r="M46" s="4">
        <v>45</v>
      </c>
      <c r="N46" s="4">
        <v>209</v>
      </c>
    </row>
    <row r="47" spans="1:14" ht="15.75" customHeight="1" x14ac:dyDescent="0.3">
      <c r="A47" s="4">
        <v>46</v>
      </c>
      <c r="B47" s="99">
        <v>288</v>
      </c>
      <c r="M47" s="4">
        <v>46</v>
      </c>
      <c r="N47" s="4">
        <v>215</v>
      </c>
    </row>
    <row r="48" spans="1:14" ht="15.75" customHeight="1" x14ac:dyDescent="0.3">
      <c r="A48" s="4">
        <v>47</v>
      </c>
      <c r="B48" s="99">
        <v>293</v>
      </c>
      <c r="M48" s="4">
        <v>47</v>
      </c>
      <c r="N48" s="4">
        <v>230</v>
      </c>
    </row>
    <row r="49" spans="1:14" ht="15.75" customHeight="1" x14ac:dyDescent="0.3">
      <c r="A49" s="4">
        <v>48</v>
      </c>
      <c r="B49" s="98">
        <v>296</v>
      </c>
      <c r="M49" s="4">
        <v>48</v>
      </c>
      <c r="N49" s="4">
        <v>245</v>
      </c>
    </row>
    <row r="50" spans="1:14" ht="15.75" customHeight="1" x14ac:dyDescent="0.3">
      <c r="A50" s="4">
        <v>49</v>
      </c>
      <c r="B50" s="98">
        <v>309</v>
      </c>
      <c r="M50" s="4">
        <v>49</v>
      </c>
      <c r="N50" s="4">
        <v>281</v>
      </c>
    </row>
    <row r="51" spans="1:14" ht="15.75" customHeight="1" x14ac:dyDescent="0.3">
      <c r="A51" s="4">
        <v>50</v>
      </c>
      <c r="B51" s="98">
        <v>319</v>
      </c>
      <c r="M51" s="4">
        <v>50</v>
      </c>
      <c r="N51" s="4">
        <v>282</v>
      </c>
    </row>
    <row r="52" spans="1:14" ht="15.75" customHeight="1" x14ac:dyDescent="0.3">
      <c r="A52" s="4">
        <v>51</v>
      </c>
      <c r="B52" s="99">
        <v>332</v>
      </c>
      <c r="M52" s="4">
        <v>51</v>
      </c>
      <c r="N52" s="4">
        <v>288</v>
      </c>
    </row>
    <row r="53" spans="1:14" ht="15.75" customHeight="1" x14ac:dyDescent="0.3">
      <c r="A53" s="4">
        <v>52</v>
      </c>
      <c r="B53" s="98">
        <v>350</v>
      </c>
      <c r="M53" s="4">
        <v>52</v>
      </c>
      <c r="N53" s="4">
        <v>293</v>
      </c>
    </row>
    <row r="54" spans="1:14" ht="15.75" customHeight="1" x14ac:dyDescent="0.3">
      <c r="A54" s="4">
        <v>53</v>
      </c>
      <c r="B54" s="98">
        <v>367</v>
      </c>
      <c r="M54" s="4">
        <v>53</v>
      </c>
      <c r="N54" s="4">
        <v>296</v>
      </c>
    </row>
    <row r="55" spans="1:14" ht="15.75" customHeight="1" x14ac:dyDescent="0.3">
      <c r="A55" s="4">
        <v>54</v>
      </c>
      <c r="B55" s="99">
        <v>369</v>
      </c>
      <c r="M55" s="4">
        <v>54</v>
      </c>
      <c r="N55" s="4">
        <v>309</v>
      </c>
    </row>
    <row r="56" spans="1:14" ht="15.75" customHeight="1" x14ac:dyDescent="0.3">
      <c r="A56" s="4">
        <v>55</v>
      </c>
      <c r="B56" s="98">
        <v>422</v>
      </c>
      <c r="M56" s="4">
        <v>55</v>
      </c>
      <c r="N56" s="4">
        <v>319</v>
      </c>
    </row>
    <row r="57" spans="1:14" ht="15.75" customHeight="1" x14ac:dyDescent="0.3">
      <c r="A57" s="4">
        <v>56</v>
      </c>
      <c r="B57" s="99">
        <v>445</v>
      </c>
      <c r="M57" s="4">
        <v>56</v>
      </c>
      <c r="N57" s="4">
        <v>332</v>
      </c>
    </row>
    <row r="58" spans="1:14" ht="15.75" customHeight="1" x14ac:dyDescent="0.3">
      <c r="A58" s="4">
        <v>57</v>
      </c>
      <c r="B58" s="99">
        <v>455</v>
      </c>
      <c r="M58" s="4">
        <v>57</v>
      </c>
      <c r="N58" s="4">
        <v>350</v>
      </c>
    </row>
    <row r="59" spans="1:14" ht="15.75" customHeight="1" x14ac:dyDescent="0.3">
      <c r="A59" s="4">
        <v>58</v>
      </c>
      <c r="B59" s="99">
        <v>457</v>
      </c>
      <c r="M59" s="4">
        <v>58</v>
      </c>
      <c r="N59" s="4">
        <v>367</v>
      </c>
    </row>
    <row r="60" spans="1:14" ht="15.75" customHeight="1" x14ac:dyDescent="0.3">
      <c r="A60" s="4">
        <v>59</v>
      </c>
      <c r="B60" s="99">
        <v>461</v>
      </c>
      <c r="M60" s="4">
        <v>59</v>
      </c>
      <c r="N60" s="4">
        <v>369</v>
      </c>
    </row>
    <row r="61" spans="1:14" ht="15.75" customHeight="1" x14ac:dyDescent="0.3">
      <c r="A61" s="4">
        <v>60</v>
      </c>
      <c r="B61" s="98">
        <v>461</v>
      </c>
      <c r="M61" s="4">
        <v>60</v>
      </c>
      <c r="N61" s="4">
        <v>422</v>
      </c>
    </row>
    <row r="62" spans="1:14" ht="15.75" customHeight="1" x14ac:dyDescent="0.3">
      <c r="A62" s="4">
        <v>61</v>
      </c>
      <c r="B62" s="98">
        <v>463</v>
      </c>
      <c r="M62" s="4">
        <v>61</v>
      </c>
      <c r="N62" s="4">
        <v>445</v>
      </c>
    </row>
    <row r="63" spans="1:14" ht="15.75" customHeight="1" x14ac:dyDescent="0.3">
      <c r="A63" s="4">
        <v>62</v>
      </c>
      <c r="B63" s="99">
        <v>515</v>
      </c>
      <c r="M63" s="4">
        <v>62</v>
      </c>
      <c r="N63" s="4">
        <v>445</v>
      </c>
    </row>
    <row r="64" spans="1:14" ht="15.75" customHeight="1" x14ac:dyDescent="0.3">
      <c r="A64" s="4">
        <v>63</v>
      </c>
      <c r="B64" s="99">
        <v>527</v>
      </c>
      <c r="M64" s="4">
        <v>63</v>
      </c>
      <c r="N64" s="4">
        <v>455</v>
      </c>
    </row>
    <row r="65" spans="1:14" ht="15.75" customHeight="1" x14ac:dyDescent="0.3">
      <c r="A65" s="4">
        <v>64</v>
      </c>
      <c r="B65" s="99">
        <v>551</v>
      </c>
      <c r="M65" s="4">
        <v>64</v>
      </c>
      <c r="N65" s="4">
        <v>457</v>
      </c>
    </row>
    <row r="66" spans="1:14" ht="15.75" customHeight="1" x14ac:dyDescent="0.3">
      <c r="A66" s="4">
        <v>65</v>
      </c>
      <c r="B66" s="98">
        <v>629</v>
      </c>
      <c r="M66" s="4">
        <v>65</v>
      </c>
      <c r="N66" s="4">
        <v>461</v>
      </c>
    </row>
    <row r="67" spans="1:14" ht="15.75" customHeight="1" x14ac:dyDescent="0.3">
      <c r="A67" s="4">
        <v>66</v>
      </c>
      <c r="B67" s="99">
        <v>661</v>
      </c>
      <c r="M67" s="4">
        <v>66</v>
      </c>
      <c r="N67" s="4">
        <v>461</v>
      </c>
    </row>
    <row r="68" spans="1:14" ht="15.75" customHeight="1" x14ac:dyDescent="0.3">
      <c r="A68" s="4">
        <v>67</v>
      </c>
      <c r="B68" s="98">
        <v>684</v>
      </c>
      <c r="M68" s="4">
        <v>67</v>
      </c>
      <c r="N68" s="4">
        <v>463</v>
      </c>
    </row>
    <row r="69" spans="1:14" ht="15.75" customHeight="1" x14ac:dyDescent="0.3">
      <c r="A69" s="4">
        <v>68</v>
      </c>
      <c r="B69" s="98">
        <v>695</v>
      </c>
      <c r="M69" s="4">
        <v>68</v>
      </c>
      <c r="N69" s="4">
        <v>515</v>
      </c>
    </row>
    <row r="70" spans="1:14" ht="15.75" customHeight="1" x14ac:dyDescent="0.3">
      <c r="A70" s="4">
        <v>69</v>
      </c>
      <c r="B70" s="99">
        <v>726</v>
      </c>
      <c r="M70" s="4">
        <v>69</v>
      </c>
      <c r="N70" s="4">
        <v>527</v>
      </c>
    </row>
    <row r="71" spans="1:14" ht="15.75" customHeight="1" x14ac:dyDescent="0.3">
      <c r="A71" s="4">
        <v>70</v>
      </c>
      <c r="B71" s="98">
        <v>745</v>
      </c>
      <c r="M71" s="4">
        <v>70</v>
      </c>
      <c r="N71" s="4">
        <v>551</v>
      </c>
    </row>
    <row r="72" spans="1:14" ht="15.75" customHeight="1" x14ac:dyDescent="0.3">
      <c r="A72" s="4">
        <v>71</v>
      </c>
      <c r="B72" s="98">
        <v>777</v>
      </c>
      <c r="M72" s="4">
        <v>71</v>
      </c>
      <c r="N72" s="4">
        <v>598</v>
      </c>
    </row>
    <row r="73" spans="1:14" ht="15.75" customHeight="1" x14ac:dyDescent="0.3">
      <c r="A73" s="4">
        <v>72</v>
      </c>
      <c r="B73" s="98">
        <v>789</v>
      </c>
      <c r="M73" s="4">
        <v>72</v>
      </c>
      <c r="N73" s="4">
        <v>629</v>
      </c>
    </row>
    <row r="74" spans="1:14" ht="15.75" customHeight="1" x14ac:dyDescent="0.3">
      <c r="A74" s="4">
        <v>73</v>
      </c>
      <c r="B74" s="99">
        <v>971</v>
      </c>
      <c r="M74" s="4">
        <v>73</v>
      </c>
      <c r="N74" s="4">
        <v>638</v>
      </c>
    </row>
    <row r="75" spans="1:14" ht="15.75" customHeight="1" x14ac:dyDescent="0.3">
      <c r="B75" s="14">
        <f>SUM(B2:B74)</f>
        <v>18803</v>
      </c>
      <c r="M75" s="4">
        <v>74</v>
      </c>
      <c r="N75" s="4">
        <v>661</v>
      </c>
    </row>
    <row r="76" spans="1:14" ht="15.75" customHeight="1" x14ac:dyDescent="0.3">
      <c r="B76" s="99"/>
      <c r="M76" s="4">
        <v>75</v>
      </c>
      <c r="N76" s="4">
        <v>684</v>
      </c>
    </row>
    <row r="77" spans="1:14" ht="15.75" customHeight="1" x14ac:dyDescent="0.3">
      <c r="A77" s="4">
        <v>1</v>
      </c>
      <c r="B77" s="98">
        <v>1000</v>
      </c>
      <c r="M77" s="4">
        <v>76</v>
      </c>
      <c r="N77" s="4">
        <v>695</v>
      </c>
    </row>
    <row r="78" spans="1:14" ht="15.75" customHeight="1" x14ac:dyDescent="0.3">
      <c r="A78" s="4">
        <v>2</v>
      </c>
      <c r="B78" s="98">
        <v>1008</v>
      </c>
      <c r="M78" s="4">
        <v>77</v>
      </c>
      <c r="N78" s="4">
        <v>696</v>
      </c>
    </row>
    <row r="79" spans="1:14" ht="15.75" customHeight="1" x14ac:dyDescent="0.3">
      <c r="A79" s="4">
        <v>3</v>
      </c>
      <c r="B79" s="99">
        <v>1044</v>
      </c>
      <c r="M79" s="4">
        <v>78</v>
      </c>
      <c r="N79" s="4">
        <v>726</v>
      </c>
    </row>
    <row r="80" spans="1:14" ht="15.75" customHeight="1" x14ac:dyDescent="0.3">
      <c r="A80" s="4">
        <v>4</v>
      </c>
      <c r="B80" s="98">
        <v>1045</v>
      </c>
      <c r="M80" s="4">
        <v>79</v>
      </c>
      <c r="N80" s="4">
        <v>745</v>
      </c>
    </row>
    <row r="81" spans="1:14" ht="15.75" customHeight="1" x14ac:dyDescent="0.3">
      <c r="A81" s="4">
        <v>5</v>
      </c>
      <c r="B81" s="98">
        <v>1046</v>
      </c>
      <c r="M81" s="4">
        <v>80</v>
      </c>
      <c r="N81" s="4">
        <v>777</v>
      </c>
    </row>
    <row r="82" spans="1:14" ht="15.75" customHeight="1" x14ac:dyDescent="0.3">
      <c r="A82" s="4">
        <v>6</v>
      </c>
      <c r="B82" s="99">
        <v>1055</v>
      </c>
      <c r="M82" s="4">
        <v>81</v>
      </c>
      <c r="N82" s="4">
        <v>789</v>
      </c>
    </row>
    <row r="83" spans="1:14" ht="15.75" customHeight="1" x14ac:dyDescent="0.3">
      <c r="A83" s="4">
        <v>7</v>
      </c>
      <c r="B83" s="98">
        <v>1057</v>
      </c>
      <c r="M83" s="4">
        <v>82</v>
      </c>
      <c r="N83" s="4">
        <v>876</v>
      </c>
    </row>
    <row r="84" spans="1:14" ht="15.75" customHeight="1" x14ac:dyDescent="0.3">
      <c r="A84" s="4">
        <v>8</v>
      </c>
      <c r="B84" s="98">
        <v>1058</v>
      </c>
      <c r="M84" s="4">
        <v>83</v>
      </c>
      <c r="N84" s="4">
        <v>971</v>
      </c>
    </row>
    <row r="85" spans="1:14" ht="15.75" customHeight="1" x14ac:dyDescent="0.3">
      <c r="A85" s="4">
        <v>9</v>
      </c>
      <c r="B85" s="98">
        <v>1074</v>
      </c>
      <c r="N85" s="102">
        <f>SUM(N2:N84)</f>
        <v>22543</v>
      </c>
    </row>
    <row r="86" spans="1:14" ht="15.75" customHeight="1" x14ac:dyDescent="0.3">
      <c r="A86" s="4">
        <v>10</v>
      </c>
      <c r="B86" s="98">
        <v>1074</v>
      </c>
    </row>
    <row r="87" spans="1:14" ht="15.75" customHeight="1" x14ac:dyDescent="0.3">
      <c r="A87" s="4">
        <v>11</v>
      </c>
      <c r="B87" s="98">
        <v>1085</v>
      </c>
    </row>
    <row r="88" spans="1:14" ht="15.75" customHeight="1" x14ac:dyDescent="0.3">
      <c r="A88" s="4">
        <v>12</v>
      </c>
      <c r="B88" s="99">
        <v>1086</v>
      </c>
      <c r="M88" s="4">
        <v>1</v>
      </c>
      <c r="N88" s="4">
        <v>1000</v>
      </c>
    </row>
    <row r="89" spans="1:14" ht="15.75" customHeight="1" x14ac:dyDescent="0.3">
      <c r="A89" s="4">
        <v>13</v>
      </c>
      <c r="B89" s="98">
        <v>1088</v>
      </c>
      <c r="M89" s="4">
        <v>2</v>
      </c>
      <c r="N89" s="4">
        <v>1008</v>
      </c>
    </row>
    <row r="90" spans="1:14" ht="15.75" customHeight="1" x14ac:dyDescent="0.3">
      <c r="A90" s="4">
        <v>14</v>
      </c>
      <c r="B90" s="98">
        <v>1090</v>
      </c>
      <c r="M90" s="4">
        <v>3</v>
      </c>
      <c r="N90" s="4">
        <v>1044</v>
      </c>
    </row>
    <row r="91" spans="1:14" ht="15.75" customHeight="1" x14ac:dyDescent="0.3">
      <c r="A91" s="4">
        <v>15</v>
      </c>
      <c r="B91" s="98">
        <v>1094</v>
      </c>
      <c r="M91" s="4">
        <v>4</v>
      </c>
      <c r="N91" s="4">
        <v>1045</v>
      </c>
    </row>
    <row r="92" spans="1:14" ht="15.75" customHeight="1" x14ac:dyDescent="0.3">
      <c r="A92" s="4">
        <v>16</v>
      </c>
      <c r="B92" s="98">
        <v>1096</v>
      </c>
      <c r="M92" s="4">
        <v>5</v>
      </c>
      <c r="N92" s="4">
        <v>1046</v>
      </c>
    </row>
    <row r="93" spans="1:14" ht="15.75" customHeight="1" x14ac:dyDescent="0.3">
      <c r="A93" s="4">
        <v>17</v>
      </c>
      <c r="B93" s="99">
        <v>1120</v>
      </c>
      <c r="M93" s="4">
        <v>6</v>
      </c>
      <c r="N93" s="4">
        <v>1054</v>
      </c>
    </row>
    <row r="94" spans="1:14" ht="15.75" customHeight="1" x14ac:dyDescent="0.3">
      <c r="A94" s="4">
        <v>18</v>
      </c>
      <c r="B94" s="98">
        <v>1126</v>
      </c>
      <c r="M94" s="4">
        <v>7</v>
      </c>
      <c r="N94" s="4">
        <v>1055</v>
      </c>
    </row>
    <row r="95" spans="1:14" ht="15.75" customHeight="1" x14ac:dyDescent="0.3">
      <c r="A95" s="4">
        <v>19</v>
      </c>
      <c r="B95" s="99">
        <v>1144</v>
      </c>
      <c r="M95" s="4">
        <v>8</v>
      </c>
      <c r="N95" s="4">
        <v>1057</v>
      </c>
    </row>
    <row r="96" spans="1:14" ht="15.75" customHeight="1" x14ac:dyDescent="0.3">
      <c r="A96" s="4">
        <v>20</v>
      </c>
      <c r="B96" s="99">
        <v>1146</v>
      </c>
      <c r="M96" s="4">
        <v>9</v>
      </c>
      <c r="N96" s="4">
        <v>1058</v>
      </c>
    </row>
    <row r="97" spans="1:14" ht="15.75" customHeight="1" x14ac:dyDescent="0.3">
      <c r="A97" s="4">
        <v>21</v>
      </c>
      <c r="B97" s="98">
        <v>1151</v>
      </c>
      <c r="M97" s="4">
        <v>10</v>
      </c>
      <c r="N97" s="4">
        <v>1074</v>
      </c>
    </row>
    <row r="98" spans="1:14" ht="15.75" customHeight="1" x14ac:dyDescent="0.3">
      <c r="A98" s="4">
        <v>22</v>
      </c>
      <c r="B98" s="98">
        <v>1155</v>
      </c>
      <c r="M98" s="4">
        <v>11</v>
      </c>
      <c r="N98" s="4">
        <v>1074</v>
      </c>
    </row>
    <row r="99" spans="1:14" ht="15.75" customHeight="1" x14ac:dyDescent="0.3">
      <c r="A99" s="4">
        <v>23</v>
      </c>
      <c r="B99" s="99">
        <v>1182</v>
      </c>
      <c r="M99" s="4">
        <v>12</v>
      </c>
      <c r="N99" s="4">
        <v>1085</v>
      </c>
    </row>
    <row r="100" spans="1:14" ht="15.75" customHeight="1" x14ac:dyDescent="0.3">
      <c r="A100" s="4">
        <v>24</v>
      </c>
      <c r="B100" s="99">
        <v>1211</v>
      </c>
      <c r="M100" s="4">
        <v>13</v>
      </c>
      <c r="N100" s="4">
        <v>1085</v>
      </c>
    </row>
    <row r="101" spans="1:14" ht="15.75" customHeight="1" x14ac:dyDescent="0.3">
      <c r="A101" s="4">
        <v>25</v>
      </c>
      <c r="B101" s="99">
        <v>1212</v>
      </c>
      <c r="M101" s="4">
        <v>14</v>
      </c>
      <c r="N101" s="4">
        <v>1086</v>
      </c>
    </row>
    <row r="102" spans="1:14" ht="15.75" customHeight="1" x14ac:dyDescent="0.3">
      <c r="A102" s="4">
        <v>26</v>
      </c>
      <c r="B102" s="99">
        <v>1229</v>
      </c>
      <c r="M102" s="4">
        <v>15</v>
      </c>
      <c r="N102" s="4">
        <v>1088</v>
      </c>
    </row>
    <row r="103" spans="1:14" ht="15.75" customHeight="1" x14ac:dyDescent="0.3">
      <c r="A103" s="4">
        <v>27</v>
      </c>
      <c r="B103" s="98">
        <v>1232</v>
      </c>
      <c r="M103" s="4">
        <v>16</v>
      </c>
      <c r="N103" s="4">
        <v>1090</v>
      </c>
    </row>
    <row r="104" spans="1:14" ht="15.75" customHeight="1" x14ac:dyDescent="0.3">
      <c r="A104" s="4">
        <v>28</v>
      </c>
      <c r="B104" s="98">
        <v>1239</v>
      </c>
      <c r="M104" s="4">
        <v>17</v>
      </c>
      <c r="N104" s="4">
        <v>1094</v>
      </c>
    </row>
    <row r="105" spans="1:14" ht="15.75" customHeight="1" x14ac:dyDescent="0.3">
      <c r="A105" s="4">
        <v>29</v>
      </c>
      <c r="B105" s="98">
        <v>1244</v>
      </c>
      <c r="M105" s="4">
        <v>18</v>
      </c>
      <c r="N105" s="4">
        <v>1096</v>
      </c>
    </row>
    <row r="106" spans="1:14" ht="15.75" customHeight="1" x14ac:dyDescent="0.3">
      <c r="A106" s="4">
        <v>30</v>
      </c>
      <c r="B106" s="98">
        <v>1246</v>
      </c>
      <c r="M106" s="4">
        <v>19</v>
      </c>
      <c r="N106" s="4">
        <v>1120</v>
      </c>
    </row>
    <row r="107" spans="1:14" ht="15.75" customHeight="1" x14ac:dyDescent="0.3">
      <c r="A107" s="4">
        <v>31</v>
      </c>
      <c r="B107" s="98">
        <v>1262</v>
      </c>
      <c r="M107" s="4">
        <v>20</v>
      </c>
      <c r="N107" s="4">
        <v>1126</v>
      </c>
    </row>
    <row r="108" spans="1:14" ht="15.75" customHeight="1" x14ac:dyDescent="0.3">
      <c r="A108" s="4">
        <v>32</v>
      </c>
      <c r="B108" s="98">
        <v>1273</v>
      </c>
      <c r="M108" s="4">
        <v>21</v>
      </c>
      <c r="N108" s="4">
        <v>1132</v>
      </c>
    </row>
    <row r="109" spans="1:14" ht="15.75" customHeight="1" x14ac:dyDescent="0.3">
      <c r="A109" s="4">
        <v>33</v>
      </c>
      <c r="B109" s="99">
        <v>1274</v>
      </c>
      <c r="M109" s="4">
        <v>22</v>
      </c>
      <c r="N109" s="4">
        <v>1144</v>
      </c>
    </row>
    <row r="110" spans="1:14" ht="15.75" customHeight="1" x14ac:dyDescent="0.3">
      <c r="A110" s="4">
        <v>34</v>
      </c>
      <c r="B110" s="99">
        <v>1292</v>
      </c>
      <c r="M110" s="4">
        <v>23</v>
      </c>
      <c r="N110" s="4">
        <v>1146</v>
      </c>
    </row>
    <row r="111" spans="1:14" ht="15.75" customHeight="1" x14ac:dyDescent="0.3">
      <c r="A111" s="4">
        <v>35</v>
      </c>
      <c r="B111" s="98">
        <v>1332</v>
      </c>
      <c r="M111" s="4">
        <v>24</v>
      </c>
      <c r="N111" s="4">
        <v>1151</v>
      </c>
    </row>
    <row r="112" spans="1:14" ht="15.75" customHeight="1" x14ac:dyDescent="0.3">
      <c r="A112" s="4">
        <v>36</v>
      </c>
      <c r="B112" s="98">
        <v>1337</v>
      </c>
      <c r="M112" s="4">
        <v>25</v>
      </c>
      <c r="N112" s="4">
        <v>1155</v>
      </c>
    </row>
    <row r="113" spans="1:14" ht="15.75" customHeight="1" x14ac:dyDescent="0.3">
      <c r="A113" s="4">
        <v>37</v>
      </c>
      <c r="B113" s="98">
        <v>1341</v>
      </c>
      <c r="M113" s="4">
        <v>26</v>
      </c>
      <c r="N113" s="4">
        <v>1182</v>
      </c>
    </row>
    <row r="114" spans="1:14" ht="15.75" customHeight="1" x14ac:dyDescent="0.3">
      <c r="A114" s="4">
        <v>38</v>
      </c>
      <c r="B114" s="99">
        <v>1347</v>
      </c>
      <c r="M114" s="4">
        <v>27</v>
      </c>
      <c r="N114" s="4">
        <v>1185</v>
      </c>
    </row>
    <row r="115" spans="1:14" ht="15.75" customHeight="1" x14ac:dyDescent="0.3">
      <c r="A115" s="4">
        <v>39</v>
      </c>
      <c r="B115" s="98">
        <v>1370</v>
      </c>
      <c r="M115" s="4">
        <v>28</v>
      </c>
      <c r="N115" s="4">
        <v>1185</v>
      </c>
    </row>
    <row r="116" spans="1:14" ht="15.75" customHeight="1" x14ac:dyDescent="0.3">
      <c r="A116" s="4">
        <v>40</v>
      </c>
      <c r="B116" s="98">
        <v>1372</v>
      </c>
      <c r="M116" s="4">
        <v>29</v>
      </c>
      <c r="N116" s="4">
        <v>1211</v>
      </c>
    </row>
    <row r="117" spans="1:14" ht="15.75" customHeight="1" x14ac:dyDescent="0.3">
      <c r="A117" s="4">
        <v>41</v>
      </c>
      <c r="B117" s="99">
        <v>1378</v>
      </c>
      <c r="M117" s="4">
        <v>30</v>
      </c>
      <c r="N117" s="4">
        <v>1212</v>
      </c>
    </row>
    <row r="118" spans="1:14" ht="15.75" customHeight="1" x14ac:dyDescent="0.3">
      <c r="A118" s="4">
        <v>42</v>
      </c>
      <c r="B118" s="98">
        <v>1393</v>
      </c>
      <c r="M118" s="4">
        <v>31</v>
      </c>
      <c r="N118" s="4">
        <v>1229</v>
      </c>
    </row>
    <row r="119" spans="1:14" ht="15.75" customHeight="1" x14ac:dyDescent="0.3">
      <c r="A119" s="4">
        <v>43</v>
      </c>
      <c r="B119" s="98">
        <v>1403</v>
      </c>
      <c r="M119" s="4">
        <v>32</v>
      </c>
      <c r="N119" s="4">
        <v>1232</v>
      </c>
    </row>
    <row r="120" spans="1:14" ht="15.75" customHeight="1" x14ac:dyDescent="0.3">
      <c r="A120" s="4">
        <v>44</v>
      </c>
      <c r="B120" s="98">
        <v>1424</v>
      </c>
      <c r="M120" s="4">
        <v>33</v>
      </c>
      <c r="N120" s="4">
        <v>1239</v>
      </c>
    </row>
    <row r="121" spans="1:14" ht="15.75" customHeight="1" x14ac:dyDescent="0.3">
      <c r="A121" s="4">
        <v>45</v>
      </c>
      <c r="B121" s="98">
        <v>1447</v>
      </c>
      <c r="M121" s="4">
        <v>34</v>
      </c>
      <c r="N121" s="4">
        <v>1244</v>
      </c>
    </row>
    <row r="122" spans="1:14" ht="15.75" customHeight="1" x14ac:dyDescent="0.3">
      <c r="A122" s="4">
        <v>46</v>
      </c>
      <c r="B122" s="98">
        <v>1449</v>
      </c>
      <c r="M122" s="4">
        <v>35</v>
      </c>
      <c r="N122" s="4">
        <v>1246</v>
      </c>
    </row>
    <row r="123" spans="1:14" ht="15.75" customHeight="1" x14ac:dyDescent="0.3">
      <c r="A123" s="4">
        <v>47</v>
      </c>
      <c r="B123" s="99">
        <v>1470</v>
      </c>
      <c r="M123" s="4">
        <v>36</v>
      </c>
      <c r="N123" s="4">
        <v>1262</v>
      </c>
    </row>
    <row r="124" spans="1:14" ht="15.75" customHeight="1" x14ac:dyDescent="0.3">
      <c r="A124" s="4">
        <v>48</v>
      </c>
      <c r="B124" s="99">
        <v>1475</v>
      </c>
      <c r="M124" s="4">
        <v>37</v>
      </c>
      <c r="N124" s="4">
        <v>1273</v>
      </c>
    </row>
    <row r="125" spans="1:14" ht="15.75" customHeight="1" x14ac:dyDescent="0.3">
      <c r="A125" s="4">
        <v>49</v>
      </c>
      <c r="B125" s="98">
        <v>1499</v>
      </c>
      <c r="M125" s="4">
        <v>38</v>
      </c>
      <c r="N125" s="4">
        <v>1274</v>
      </c>
    </row>
    <row r="126" spans="1:14" ht="15.75" customHeight="1" x14ac:dyDescent="0.3">
      <c r="A126" s="4">
        <v>50</v>
      </c>
      <c r="B126" s="98">
        <v>1523</v>
      </c>
      <c r="M126" s="4">
        <v>39</v>
      </c>
      <c r="N126" s="4">
        <v>1292</v>
      </c>
    </row>
    <row r="127" spans="1:14" ht="15.75" customHeight="1" x14ac:dyDescent="0.3">
      <c r="A127" s="4">
        <v>51</v>
      </c>
      <c r="B127" s="98">
        <v>1523</v>
      </c>
      <c r="M127" s="4">
        <v>40</v>
      </c>
      <c r="N127" s="4">
        <v>1332</v>
      </c>
    </row>
    <row r="128" spans="1:14" ht="15.75" customHeight="1" x14ac:dyDescent="0.3">
      <c r="A128" s="4">
        <v>52</v>
      </c>
      <c r="B128" s="98">
        <v>1554</v>
      </c>
      <c r="M128" s="4">
        <v>41</v>
      </c>
      <c r="N128" s="4">
        <v>1337</v>
      </c>
    </row>
    <row r="129" spans="1:14" ht="15.75" customHeight="1" x14ac:dyDescent="0.3">
      <c r="A129" s="4">
        <v>53</v>
      </c>
      <c r="B129" s="98">
        <v>1593</v>
      </c>
      <c r="M129" s="4">
        <v>42</v>
      </c>
      <c r="N129" s="4">
        <v>1341</v>
      </c>
    </row>
    <row r="130" spans="1:14" ht="15.75" customHeight="1" x14ac:dyDescent="0.3">
      <c r="A130" s="4">
        <v>54</v>
      </c>
      <c r="B130" s="99">
        <v>1637</v>
      </c>
      <c r="M130" s="4">
        <v>43</v>
      </c>
      <c r="N130" s="4">
        <v>1347</v>
      </c>
    </row>
    <row r="131" spans="1:14" ht="15.75" customHeight="1" x14ac:dyDescent="0.3">
      <c r="A131" s="4">
        <v>55</v>
      </c>
      <c r="B131" s="99">
        <v>1661</v>
      </c>
      <c r="M131" s="4">
        <v>44</v>
      </c>
      <c r="N131" s="4">
        <v>1370</v>
      </c>
    </row>
    <row r="132" spans="1:14" ht="15.75" customHeight="1" x14ac:dyDescent="0.3">
      <c r="A132" s="4">
        <v>56</v>
      </c>
      <c r="B132" s="99">
        <v>1733</v>
      </c>
      <c r="M132" s="4">
        <v>45</v>
      </c>
      <c r="N132" s="4">
        <v>1372</v>
      </c>
    </row>
    <row r="133" spans="1:14" ht="15.75" customHeight="1" x14ac:dyDescent="0.3">
      <c r="A133" s="4">
        <v>57</v>
      </c>
      <c r="B133" s="98">
        <v>1736</v>
      </c>
      <c r="M133" s="4">
        <v>46</v>
      </c>
      <c r="N133" s="4">
        <v>1378</v>
      </c>
    </row>
    <row r="134" spans="1:14" ht="15.75" customHeight="1" x14ac:dyDescent="0.3">
      <c r="A134" s="4">
        <v>58</v>
      </c>
      <c r="B134" s="98">
        <v>1744</v>
      </c>
      <c r="M134" s="4">
        <v>47</v>
      </c>
      <c r="N134" s="4">
        <v>1393</v>
      </c>
    </row>
    <row r="135" spans="1:14" ht="15.75" customHeight="1" x14ac:dyDescent="0.3">
      <c r="A135" s="4">
        <v>59</v>
      </c>
      <c r="B135" s="99">
        <v>1763</v>
      </c>
      <c r="M135" s="4">
        <v>48</v>
      </c>
      <c r="N135" s="4">
        <v>1403</v>
      </c>
    </row>
    <row r="136" spans="1:14" ht="15.75" customHeight="1" x14ac:dyDescent="0.3">
      <c r="A136" s="4">
        <v>60</v>
      </c>
      <c r="B136" s="99">
        <v>1779</v>
      </c>
      <c r="M136" s="4">
        <v>49</v>
      </c>
      <c r="N136" s="4">
        <v>1424</v>
      </c>
    </row>
    <row r="137" spans="1:14" ht="15.75" customHeight="1" x14ac:dyDescent="0.3">
      <c r="A137" s="4">
        <v>61</v>
      </c>
      <c r="B137" s="98">
        <v>1787</v>
      </c>
      <c r="M137" s="4">
        <v>50</v>
      </c>
      <c r="N137" s="4">
        <v>1430</v>
      </c>
    </row>
    <row r="138" spans="1:14" ht="15.75" customHeight="1" x14ac:dyDescent="0.3">
      <c r="A138" s="4">
        <v>62</v>
      </c>
      <c r="B138" s="98">
        <v>1799</v>
      </c>
      <c r="M138" s="4">
        <v>51</v>
      </c>
      <c r="N138" s="4">
        <v>1447</v>
      </c>
    </row>
    <row r="139" spans="1:14" ht="15.75" customHeight="1" x14ac:dyDescent="0.3">
      <c r="A139" s="4">
        <v>63</v>
      </c>
      <c r="B139" s="98">
        <v>1807</v>
      </c>
      <c r="M139" s="4">
        <v>52</v>
      </c>
      <c r="N139" s="4">
        <v>1449</v>
      </c>
    </row>
    <row r="140" spans="1:14" ht="15.75" customHeight="1" x14ac:dyDescent="0.3">
      <c r="A140" s="4">
        <v>64</v>
      </c>
      <c r="B140" s="99">
        <v>1812</v>
      </c>
      <c r="M140" s="4">
        <v>53</v>
      </c>
      <c r="N140" s="4">
        <v>1470</v>
      </c>
    </row>
    <row r="141" spans="1:14" ht="15.75" customHeight="1" x14ac:dyDescent="0.3">
      <c r="A141" s="4">
        <v>65</v>
      </c>
      <c r="B141" s="98">
        <v>1843</v>
      </c>
      <c r="M141" s="4">
        <v>54</v>
      </c>
      <c r="N141" s="4">
        <v>1475</v>
      </c>
    </row>
    <row r="142" spans="1:14" ht="15.75" customHeight="1" x14ac:dyDescent="0.3">
      <c r="A142" s="4">
        <v>66</v>
      </c>
      <c r="B142" s="98">
        <v>1867</v>
      </c>
      <c r="M142" s="4">
        <v>55</v>
      </c>
      <c r="N142" s="4">
        <v>1476</v>
      </c>
    </row>
    <row r="143" spans="1:14" ht="15.75" customHeight="1" x14ac:dyDescent="0.3">
      <c r="A143" s="4">
        <v>67</v>
      </c>
      <c r="B143" s="98">
        <v>1879</v>
      </c>
      <c r="M143" s="4">
        <v>56</v>
      </c>
      <c r="N143" s="4">
        <v>1499</v>
      </c>
    </row>
    <row r="144" spans="1:14" ht="15.75" customHeight="1" x14ac:dyDescent="0.3">
      <c r="A144" s="4">
        <v>68</v>
      </c>
      <c r="B144" s="98">
        <v>1884</v>
      </c>
      <c r="M144" s="4">
        <v>57</v>
      </c>
      <c r="N144" s="4">
        <v>1513</v>
      </c>
    </row>
    <row r="145" spans="1:14" ht="15.75" customHeight="1" x14ac:dyDescent="0.3">
      <c r="A145" s="4">
        <v>69</v>
      </c>
      <c r="B145" s="98">
        <v>1909</v>
      </c>
      <c r="M145" s="4">
        <v>58</v>
      </c>
      <c r="N145" s="4">
        <v>1523</v>
      </c>
    </row>
    <row r="146" spans="1:14" ht="15.75" customHeight="1" x14ac:dyDescent="0.3">
      <c r="A146" s="4">
        <v>70</v>
      </c>
      <c r="B146" s="99">
        <v>1911</v>
      </c>
      <c r="M146" s="4">
        <v>59</v>
      </c>
      <c r="N146" s="4">
        <v>1523</v>
      </c>
    </row>
    <row r="147" spans="1:14" ht="15.75" customHeight="1" x14ac:dyDescent="0.3">
      <c r="A147" s="4">
        <v>71</v>
      </c>
      <c r="B147" s="98">
        <v>1920</v>
      </c>
      <c r="M147" s="4">
        <v>60</v>
      </c>
      <c r="N147" s="4">
        <v>1554</v>
      </c>
    </row>
    <row r="148" spans="1:14" ht="15.75" customHeight="1" x14ac:dyDescent="0.3">
      <c r="A148" s="4">
        <v>72</v>
      </c>
      <c r="B148" s="98">
        <v>1921</v>
      </c>
      <c r="M148" s="4">
        <v>61</v>
      </c>
      <c r="N148" s="4">
        <v>1593</v>
      </c>
    </row>
    <row r="149" spans="1:14" ht="15.75" customHeight="1" x14ac:dyDescent="0.3">
      <c r="A149" s="4">
        <v>73</v>
      </c>
      <c r="B149" s="99">
        <v>1926</v>
      </c>
      <c r="M149" s="4">
        <v>62</v>
      </c>
      <c r="N149" s="4">
        <v>1613</v>
      </c>
    </row>
    <row r="150" spans="1:14" ht="15.75" customHeight="1" x14ac:dyDescent="0.3">
      <c r="A150" s="4">
        <v>74</v>
      </c>
      <c r="B150" s="98">
        <v>2056</v>
      </c>
      <c r="M150" s="4">
        <v>63</v>
      </c>
      <c r="N150" s="4">
        <v>1637</v>
      </c>
    </row>
    <row r="151" spans="1:14" ht="15.75" customHeight="1" x14ac:dyDescent="0.3">
      <c r="A151" s="4">
        <v>75</v>
      </c>
      <c r="B151" s="99">
        <v>2143</v>
      </c>
      <c r="M151" s="4">
        <v>64</v>
      </c>
      <c r="N151" s="4">
        <v>1661</v>
      </c>
    </row>
    <row r="152" spans="1:14" ht="15.75" customHeight="1" x14ac:dyDescent="0.3">
      <c r="A152" s="4">
        <v>76</v>
      </c>
      <c r="B152" s="98">
        <v>2184</v>
      </c>
      <c r="M152" s="4">
        <v>65</v>
      </c>
      <c r="N152" s="4">
        <v>1727</v>
      </c>
    </row>
    <row r="153" spans="1:14" ht="15.75" customHeight="1" x14ac:dyDescent="0.3">
      <c r="A153" s="4">
        <v>77</v>
      </c>
      <c r="B153" s="98">
        <v>2188</v>
      </c>
      <c r="M153" s="4">
        <v>66</v>
      </c>
      <c r="N153" s="4">
        <v>1733</v>
      </c>
    </row>
    <row r="154" spans="1:14" ht="15.75" customHeight="1" x14ac:dyDescent="0.3">
      <c r="A154" s="4">
        <v>78</v>
      </c>
      <c r="B154" s="98">
        <v>2323</v>
      </c>
      <c r="M154" s="4">
        <v>67</v>
      </c>
      <c r="N154" s="4">
        <v>1736</v>
      </c>
    </row>
    <row r="155" spans="1:14" ht="15.75" customHeight="1" x14ac:dyDescent="0.3">
      <c r="A155" s="4">
        <v>79</v>
      </c>
      <c r="B155" s="98">
        <v>2340</v>
      </c>
      <c r="M155" s="4">
        <v>68</v>
      </c>
      <c r="N155" s="4">
        <v>1744</v>
      </c>
    </row>
    <row r="156" spans="1:14" ht="15.75" customHeight="1" x14ac:dyDescent="0.3">
      <c r="A156" s="4">
        <v>80</v>
      </c>
      <c r="B156" s="98">
        <v>2433</v>
      </c>
      <c r="M156" s="4">
        <v>69</v>
      </c>
      <c r="N156" s="4">
        <v>1763</v>
      </c>
    </row>
    <row r="157" spans="1:14" ht="15.75" customHeight="1" x14ac:dyDescent="0.3">
      <c r="A157" s="4">
        <v>81</v>
      </c>
      <c r="B157" s="98">
        <v>2462</v>
      </c>
      <c r="M157" s="4">
        <v>70</v>
      </c>
      <c r="N157" s="4">
        <v>1779</v>
      </c>
    </row>
    <row r="158" spans="1:14" ht="15.75" customHeight="1" x14ac:dyDescent="0.3">
      <c r="A158" s="4">
        <v>82</v>
      </c>
      <c r="B158" s="99">
        <v>2522</v>
      </c>
      <c r="M158" s="4">
        <v>71</v>
      </c>
      <c r="N158" s="4">
        <v>1787</v>
      </c>
    </row>
    <row r="159" spans="1:14" ht="15.75" customHeight="1" x14ac:dyDescent="0.3">
      <c r="A159" s="4">
        <v>83</v>
      </c>
      <c r="B159" s="98">
        <v>2581</v>
      </c>
      <c r="M159" s="4">
        <v>72</v>
      </c>
      <c r="N159" s="4">
        <v>1799</v>
      </c>
    </row>
    <row r="160" spans="1:14" ht="15.75" customHeight="1" x14ac:dyDescent="0.3">
      <c r="A160" s="4">
        <v>84</v>
      </c>
      <c r="B160" s="99">
        <v>2721</v>
      </c>
      <c r="M160" s="4">
        <v>73</v>
      </c>
      <c r="N160" s="4">
        <v>1807</v>
      </c>
    </row>
    <row r="161" spans="1:14" ht="15.75" customHeight="1" x14ac:dyDescent="0.3">
      <c r="A161" s="4">
        <v>85</v>
      </c>
      <c r="B161" s="103">
        <v>2946</v>
      </c>
      <c r="M161" s="4">
        <v>74</v>
      </c>
      <c r="N161" s="4">
        <v>1812</v>
      </c>
    </row>
    <row r="162" spans="1:14" ht="15.75" customHeight="1" x14ac:dyDescent="0.3">
      <c r="B162" s="104">
        <f>SUM(B77:B161)</f>
        <v>131185</v>
      </c>
      <c r="M162" s="4">
        <v>75</v>
      </c>
      <c r="N162" s="4">
        <v>1843</v>
      </c>
    </row>
    <row r="163" spans="1:14" ht="15.75" customHeight="1" x14ac:dyDescent="0.3">
      <c r="M163" s="4">
        <v>76</v>
      </c>
      <c r="N163" s="4">
        <v>1867</v>
      </c>
    </row>
    <row r="164" spans="1:14" ht="15.75" customHeight="1" x14ac:dyDescent="0.3">
      <c r="M164" s="4">
        <v>77</v>
      </c>
      <c r="N164" s="4">
        <v>1879</v>
      </c>
    </row>
    <row r="165" spans="1:14" ht="15.75" customHeight="1" x14ac:dyDescent="0.3">
      <c r="M165" s="4">
        <v>78</v>
      </c>
      <c r="N165" s="4">
        <v>1884</v>
      </c>
    </row>
    <row r="166" spans="1:14" ht="15.75" customHeight="1" x14ac:dyDescent="0.3">
      <c r="M166" s="4">
        <v>79</v>
      </c>
      <c r="N166" s="4">
        <v>1909</v>
      </c>
    </row>
    <row r="167" spans="1:14" ht="15.75" customHeight="1" x14ac:dyDescent="0.3">
      <c r="M167" s="4">
        <v>80</v>
      </c>
      <c r="N167" s="4">
        <v>1911</v>
      </c>
    </row>
    <row r="168" spans="1:14" ht="15.75" customHeight="1" x14ac:dyDescent="0.3">
      <c r="M168" s="4">
        <v>81</v>
      </c>
      <c r="N168" s="4">
        <v>1920</v>
      </c>
    </row>
    <row r="169" spans="1:14" ht="15.75" customHeight="1" x14ac:dyDescent="0.3">
      <c r="M169" s="4">
        <v>82</v>
      </c>
      <c r="N169" s="4">
        <v>1921</v>
      </c>
    </row>
    <row r="170" spans="1:14" ht="15.75" customHeight="1" x14ac:dyDescent="0.3">
      <c r="M170" s="4">
        <v>83</v>
      </c>
      <c r="N170" s="4">
        <v>1926</v>
      </c>
    </row>
    <row r="171" spans="1:14" ht="15.75" customHeight="1" x14ac:dyDescent="0.3">
      <c r="M171" s="4">
        <v>84</v>
      </c>
      <c r="N171" s="4">
        <v>2056</v>
      </c>
    </row>
    <row r="172" spans="1:14" ht="15.75" customHeight="1" x14ac:dyDescent="0.3">
      <c r="M172" s="4">
        <v>85</v>
      </c>
      <c r="N172" s="4">
        <v>2143</v>
      </c>
    </row>
    <row r="173" spans="1:14" ht="15.75" customHeight="1" x14ac:dyDescent="0.3">
      <c r="M173" s="4">
        <v>86</v>
      </c>
      <c r="N173" s="4">
        <v>2184</v>
      </c>
    </row>
    <row r="174" spans="1:14" ht="15.75" customHeight="1" x14ac:dyDescent="0.3">
      <c r="M174" s="4">
        <v>87</v>
      </c>
      <c r="N174" s="4">
        <v>2188</v>
      </c>
    </row>
    <row r="175" spans="1:14" ht="15.75" customHeight="1" x14ac:dyDescent="0.3">
      <c r="M175" s="4">
        <v>88</v>
      </c>
      <c r="N175" s="4">
        <v>2323</v>
      </c>
    </row>
    <row r="176" spans="1:14" ht="15.75" customHeight="1" x14ac:dyDescent="0.3">
      <c r="M176" s="4">
        <v>89</v>
      </c>
      <c r="N176" s="4">
        <v>2340</v>
      </c>
    </row>
    <row r="177" spans="13:14" ht="15.75" customHeight="1" x14ac:dyDescent="0.3">
      <c r="M177" s="4">
        <v>90</v>
      </c>
      <c r="N177" s="4">
        <v>2433</v>
      </c>
    </row>
    <row r="178" spans="13:14" ht="15.75" customHeight="1" x14ac:dyDescent="0.3">
      <c r="M178" s="4">
        <v>91</v>
      </c>
      <c r="N178" s="4">
        <v>2462</v>
      </c>
    </row>
    <row r="179" spans="13:14" ht="15.75" customHeight="1" x14ac:dyDescent="0.3">
      <c r="M179" s="4">
        <v>92</v>
      </c>
      <c r="N179" s="4">
        <v>2522</v>
      </c>
    </row>
    <row r="180" spans="13:14" ht="15.75" customHeight="1" x14ac:dyDescent="0.3">
      <c r="M180" s="4">
        <v>93</v>
      </c>
      <c r="N180" s="4">
        <v>2581</v>
      </c>
    </row>
    <row r="181" spans="13:14" ht="15.75" customHeight="1" x14ac:dyDescent="0.3">
      <c r="M181" s="4">
        <v>94</v>
      </c>
      <c r="N181" s="4">
        <v>2721</v>
      </c>
    </row>
    <row r="182" spans="13:14" ht="15.75" customHeight="1" x14ac:dyDescent="0.3">
      <c r="M182" s="4">
        <v>95</v>
      </c>
      <c r="N182" s="4">
        <v>2946</v>
      </c>
    </row>
    <row r="183" spans="13:14" ht="15.75" customHeight="1" x14ac:dyDescent="0.3">
      <c r="N183" s="102">
        <f>SUM(N88:N182)</f>
        <v>144585</v>
      </c>
    </row>
    <row r="184" spans="13:14" ht="15.75" customHeight="1" x14ac:dyDescent="0.3"/>
    <row r="185" spans="13:14" ht="15.75" customHeight="1" x14ac:dyDescent="0.3"/>
    <row r="186" spans="13:14" ht="15.75" customHeight="1" x14ac:dyDescent="0.3"/>
    <row r="187" spans="13:14" ht="15.75" customHeight="1" x14ac:dyDescent="0.3"/>
    <row r="188" spans="13:14" ht="15.75" customHeight="1" x14ac:dyDescent="0.3"/>
    <row r="189" spans="13:14" ht="15.75" customHeight="1" x14ac:dyDescent="0.3"/>
    <row r="190" spans="13:14" ht="15.75" customHeight="1" x14ac:dyDescent="0.3"/>
    <row r="191" spans="13:14" ht="15.75" customHeight="1" x14ac:dyDescent="0.3"/>
    <row r="192" spans="13:1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P1000"/>
  <sheetViews>
    <sheetView workbookViewId="0"/>
  </sheetViews>
  <sheetFormatPr defaultColWidth="14.44140625" defaultRowHeight="15" customHeight="1" x14ac:dyDescent="0.3"/>
  <cols>
    <col min="1" max="11" width="8.6640625" customWidth="1"/>
    <col min="12" max="12" width="12" customWidth="1"/>
    <col min="13" max="13" width="10.88671875" customWidth="1"/>
    <col min="14" max="14" width="11.33203125" customWidth="1"/>
    <col min="15" max="15" width="9.33203125" customWidth="1"/>
    <col min="16" max="17" width="8.6640625" customWidth="1"/>
    <col min="18" max="18" width="12" customWidth="1"/>
    <col min="19" max="20" width="8.6640625" customWidth="1"/>
    <col min="21" max="21" width="12" customWidth="1"/>
    <col min="22" max="30" width="8.6640625" customWidth="1"/>
    <col min="31" max="31" width="36.88671875" customWidth="1"/>
    <col min="32" max="35" width="8.6640625" customWidth="1"/>
    <col min="36" max="36" width="5.33203125" customWidth="1"/>
    <col min="37" max="37" width="36.88671875" customWidth="1"/>
    <col min="38" max="38" width="11.88671875" customWidth="1"/>
    <col min="39" max="39" width="29.109375" customWidth="1"/>
    <col min="40" max="40" width="14.33203125" customWidth="1"/>
    <col min="41" max="41" width="16.6640625" customWidth="1"/>
    <col min="42" max="42" width="12" customWidth="1"/>
  </cols>
  <sheetData>
    <row r="1" spans="1:42" ht="14.4" x14ac:dyDescent="0.3">
      <c r="AJ1" s="236" t="s">
        <v>256</v>
      </c>
      <c r="AK1" s="235"/>
      <c r="AL1" s="235"/>
      <c r="AM1" s="235"/>
      <c r="AN1" s="235"/>
      <c r="AO1" s="235"/>
      <c r="AP1" s="235"/>
    </row>
    <row r="2" spans="1:42" ht="46.5" customHeight="1" x14ac:dyDescent="0.3">
      <c r="H2" s="3" t="s">
        <v>257</v>
      </c>
      <c r="I2" s="3" t="s">
        <v>258</v>
      </c>
      <c r="L2" s="3" t="s">
        <v>259</v>
      </c>
      <c r="M2" s="3" t="s">
        <v>260</v>
      </c>
      <c r="N2" s="3" t="s">
        <v>261</v>
      </c>
      <c r="O2" s="3" t="s">
        <v>260</v>
      </c>
      <c r="P2" s="3" t="s">
        <v>261</v>
      </c>
      <c r="R2" s="3" t="s">
        <v>259</v>
      </c>
      <c r="S2" s="3" t="s">
        <v>260</v>
      </c>
      <c r="U2" s="3" t="s">
        <v>259</v>
      </c>
      <c r="V2" s="3" t="s">
        <v>261</v>
      </c>
      <c r="AC2" s="4" t="s">
        <v>262</v>
      </c>
      <c r="AD2" s="3" t="s">
        <v>263</v>
      </c>
      <c r="AJ2" s="5" t="s">
        <v>0</v>
      </c>
      <c r="AK2" s="5" t="s">
        <v>264</v>
      </c>
      <c r="AL2" s="5" t="s">
        <v>265</v>
      </c>
      <c r="AM2" s="5" t="s">
        <v>266</v>
      </c>
      <c r="AN2" s="6" t="s">
        <v>267</v>
      </c>
      <c r="AO2" s="6" t="s">
        <v>268</v>
      </c>
      <c r="AP2" s="6" t="s">
        <v>269</v>
      </c>
    </row>
    <row r="3" spans="1:42" ht="14.4" x14ac:dyDescent="0.3">
      <c r="A3" s="4">
        <v>1</v>
      </c>
      <c r="B3" s="105">
        <v>39.229999999999997</v>
      </c>
      <c r="C3" s="101">
        <f t="shared" ref="C3:C160" si="0">+B3/45</f>
        <v>0.87177777777777776</v>
      </c>
      <c r="D3" s="4" t="s">
        <v>270</v>
      </c>
      <c r="F3" s="4" t="s">
        <v>271</v>
      </c>
      <c r="G3" s="106">
        <f t="shared" ref="G3:G160" si="1">+H3/45</f>
        <v>0.25111111111111112</v>
      </c>
      <c r="H3" s="107">
        <v>11.3</v>
      </c>
      <c r="I3" s="14">
        <v>1475</v>
      </c>
      <c r="L3" s="4" t="s">
        <v>272</v>
      </c>
      <c r="M3" s="108">
        <f>+COUNT(AN3:AN79)</f>
        <v>77</v>
      </c>
      <c r="N3" s="100">
        <f>+SUM(AH3:AH78)</f>
        <v>57266</v>
      </c>
      <c r="O3" s="101">
        <f t="shared" ref="O3:O5" si="2">+M3/$M$6</f>
        <v>0.43258426966292135</v>
      </c>
      <c r="P3" s="101">
        <f t="shared" ref="P3:P5" si="3">+N3/$N$6</f>
        <v>0.3426475515772342</v>
      </c>
      <c r="R3" s="4" t="str">
        <f t="shared" ref="R3:R5" si="4">+L3</f>
        <v>Jelek</v>
      </c>
      <c r="S3" s="101">
        <f t="shared" ref="S3:S5" si="5">+O3</f>
        <v>0.43258426966292135</v>
      </c>
      <c r="U3" s="4" t="str">
        <f t="shared" ref="U3:U5" si="6">+R3</f>
        <v>Jelek</v>
      </c>
      <c r="V3" s="101">
        <f t="shared" ref="V3:V5" si="7">+P3</f>
        <v>0.3426475515772342</v>
      </c>
      <c r="AB3" s="4">
        <v>1</v>
      </c>
      <c r="AC3" s="4">
        <v>1000</v>
      </c>
      <c r="AD3" s="109">
        <v>30</v>
      </c>
      <c r="AE3" s="4" t="s">
        <v>273</v>
      </c>
      <c r="AG3" s="4">
        <v>1</v>
      </c>
      <c r="AH3" s="4">
        <v>45</v>
      </c>
      <c r="AI3" s="109">
        <v>5.3</v>
      </c>
      <c r="AJ3" s="110">
        <v>1</v>
      </c>
      <c r="AK3" s="111" t="s">
        <v>274</v>
      </c>
      <c r="AL3" s="111">
        <v>45</v>
      </c>
      <c r="AM3" s="111" t="s">
        <v>138</v>
      </c>
      <c r="AN3" s="112">
        <v>5.3</v>
      </c>
      <c r="AO3" s="112">
        <f t="shared" ref="AO3:AO180" si="8">+AN3/45*100</f>
        <v>11.777777777777777</v>
      </c>
      <c r="AP3" s="111" t="s">
        <v>275</v>
      </c>
    </row>
    <row r="4" spans="1:42" ht="14.4" x14ac:dyDescent="0.3">
      <c r="A4" s="4">
        <v>2</v>
      </c>
      <c r="B4" s="105">
        <v>38.83</v>
      </c>
      <c r="C4" s="101">
        <f t="shared" si="0"/>
        <v>0.86288888888888882</v>
      </c>
      <c r="D4" s="4" t="s">
        <v>270</v>
      </c>
      <c r="F4" s="4" t="s">
        <v>271</v>
      </c>
      <c r="G4" s="106">
        <f t="shared" si="1"/>
        <v>0.26733333333333331</v>
      </c>
      <c r="H4" s="107">
        <v>12.03</v>
      </c>
      <c r="I4" s="13">
        <v>50</v>
      </c>
      <c r="L4" s="4" t="s">
        <v>276</v>
      </c>
      <c r="M4" s="4">
        <f>+COUNT(AN80:AN177)</f>
        <v>98</v>
      </c>
      <c r="N4" s="100">
        <f>+SUM(AH79:AH177)</f>
        <v>103660</v>
      </c>
      <c r="O4" s="101">
        <f t="shared" si="2"/>
        <v>0.550561797752809</v>
      </c>
      <c r="P4" s="101">
        <f t="shared" si="3"/>
        <v>0.62024316691398207</v>
      </c>
      <c r="R4" s="4" t="str">
        <f t="shared" si="4"/>
        <v>Sedang</v>
      </c>
      <c r="S4" s="101">
        <f t="shared" si="5"/>
        <v>0.550561797752809</v>
      </c>
      <c r="U4" s="4" t="str">
        <f t="shared" si="6"/>
        <v>Sedang</v>
      </c>
      <c r="V4" s="101">
        <f t="shared" si="7"/>
        <v>0.62024316691398207</v>
      </c>
      <c r="AB4" s="4">
        <v>2</v>
      </c>
      <c r="AC4" s="4">
        <v>1403</v>
      </c>
      <c r="AD4" s="109">
        <v>21.53</v>
      </c>
      <c r="AE4" s="4" t="s">
        <v>277</v>
      </c>
      <c r="AG4" s="4">
        <v>2</v>
      </c>
      <c r="AH4" s="4">
        <v>50</v>
      </c>
      <c r="AI4" s="109">
        <v>12.03</v>
      </c>
      <c r="AJ4" s="110">
        <v>2</v>
      </c>
      <c r="AK4" s="111" t="s">
        <v>278</v>
      </c>
      <c r="AL4" s="111">
        <v>50</v>
      </c>
      <c r="AM4" s="111" t="s">
        <v>175</v>
      </c>
      <c r="AN4" s="112">
        <v>12.03</v>
      </c>
      <c r="AO4" s="112">
        <f t="shared" si="8"/>
        <v>26.733333333333331</v>
      </c>
      <c r="AP4" s="111" t="s">
        <v>275</v>
      </c>
    </row>
    <row r="5" spans="1:42" ht="14.4" x14ac:dyDescent="0.3">
      <c r="A5" s="4">
        <v>3</v>
      </c>
      <c r="B5" s="105">
        <v>38.119999999999997</v>
      </c>
      <c r="C5" s="101">
        <f t="shared" si="0"/>
        <v>0.84711111111111104</v>
      </c>
      <c r="D5" s="4" t="s">
        <v>270</v>
      </c>
      <c r="F5" s="4" t="s">
        <v>271</v>
      </c>
      <c r="G5" s="106">
        <f t="shared" si="1"/>
        <v>0.27644444444444444</v>
      </c>
      <c r="H5" s="113">
        <v>12.44</v>
      </c>
      <c r="I5" s="30">
        <v>1120</v>
      </c>
      <c r="L5" s="4" t="s">
        <v>279</v>
      </c>
      <c r="M5" s="4">
        <f>+COUNT(AN178:AN180)</f>
        <v>3</v>
      </c>
      <c r="N5" s="100">
        <f>+SUM(AH178:AH180)</f>
        <v>6202</v>
      </c>
      <c r="O5" s="101">
        <f t="shared" si="2"/>
        <v>1.6853932584269662E-2</v>
      </c>
      <c r="P5" s="101">
        <f t="shared" si="3"/>
        <v>3.710928150878369E-2</v>
      </c>
      <c r="R5" s="4" t="str">
        <f t="shared" si="4"/>
        <v>Baik</v>
      </c>
      <c r="S5" s="101">
        <f t="shared" si="5"/>
        <v>1.6853932584269662E-2</v>
      </c>
      <c r="U5" s="4" t="str">
        <f t="shared" si="6"/>
        <v>Baik</v>
      </c>
      <c r="V5" s="101">
        <f t="shared" si="7"/>
        <v>3.710928150878369E-2</v>
      </c>
      <c r="AB5" s="4">
        <v>3</v>
      </c>
      <c r="AC5" s="4">
        <v>1370</v>
      </c>
      <c r="AD5" s="109">
        <v>30.94</v>
      </c>
      <c r="AE5" s="4" t="s">
        <v>280</v>
      </c>
      <c r="AG5" s="4">
        <v>3</v>
      </c>
      <c r="AH5" s="4">
        <v>151</v>
      </c>
      <c r="AI5" s="109">
        <v>12.05</v>
      </c>
      <c r="AJ5" s="110">
        <v>3</v>
      </c>
      <c r="AK5" s="111" t="s">
        <v>281</v>
      </c>
      <c r="AL5" s="111">
        <v>151</v>
      </c>
      <c r="AM5" s="111" t="s">
        <v>215</v>
      </c>
      <c r="AN5" s="112">
        <v>12.05</v>
      </c>
      <c r="AO5" s="112">
        <f t="shared" si="8"/>
        <v>26.777777777777779</v>
      </c>
      <c r="AP5" s="111" t="s">
        <v>275</v>
      </c>
    </row>
    <row r="6" spans="1:42" ht="14.4" x14ac:dyDescent="0.3">
      <c r="A6" s="4">
        <v>4</v>
      </c>
      <c r="B6" s="105">
        <v>37.79</v>
      </c>
      <c r="C6" s="101">
        <f t="shared" si="0"/>
        <v>0.83977777777777773</v>
      </c>
      <c r="D6" s="4" t="s">
        <v>270</v>
      </c>
      <c r="F6" s="4" t="s">
        <v>271</v>
      </c>
      <c r="G6" s="106">
        <f t="shared" si="1"/>
        <v>0.29733333333333334</v>
      </c>
      <c r="H6" s="107">
        <v>13.38</v>
      </c>
      <c r="I6" s="14">
        <v>113</v>
      </c>
      <c r="M6" s="108">
        <f t="shared" ref="M6:P6" si="9">SUM(M3:M5)</f>
        <v>178</v>
      </c>
      <c r="N6" s="100">
        <f t="shared" si="9"/>
        <v>167128</v>
      </c>
      <c r="O6" s="101">
        <f t="shared" si="9"/>
        <v>1</v>
      </c>
      <c r="P6" s="101">
        <f t="shared" si="9"/>
        <v>1</v>
      </c>
      <c r="AB6" s="4">
        <v>4</v>
      </c>
      <c r="AC6" s="4">
        <v>1787</v>
      </c>
      <c r="AD6" s="109">
        <v>27.97</v>
      </c>
      <c r="AE6" s="4" t="s">
        <v>282</v>
      </c>
      <c r="AG6" s="4">
        <v>4</v>
      </c>
      <c r="AH6" s="4">
        <v>1476</v>
      </c>
      <c r="AI6" s="109">
        <v>12.06</v>
      </c>
      <c r="AJ6" s="110">
        <v>4</v>
      </c>
      <c r="AK6" s="111" t="s">
        <v>283</v>
      </c>
      <c r="AL6" s="111">
        <v>1476</v>
      </c>
      <c r="AM6" s="111" t="s">
        <v>284</v>
      </c>
      <c r="AN6" s="112">
        <v>12.06</v>
      </c>
      <c r="AO6" s="112">
        <f t="shared" si="8"/>
        <v>26.8</v>
      </c>
      <c r="AP6" s="111" t="s">
        <v>275</v>
      </c>
    </row>
    <row r="7" spans="1:42" ht="14.4" x14ac:dyDescent="0.3">
      <c r="A7" s="4">
        <v>5</v>
      </c>
      <c r="B7" s="105">
        <v>37.57</v>
      </c>
      <c r="C7" s="101">
        <f t="shared" si="0"/>
        <v>0.8348888888888889</v>
      </c>
      <c r="D7" s="4" t="s">
        <v>270</v>
      </c>
      <c r="F7" s="4" t="s">
        <v>271</v>
      </c>
      <c r="G7" s="106">
        <f t="shared" si="1"/>
        <v>0.29888888888888887</v>
      </c>
      <c r="H7" s="107">
        <v>13.45</v>
      </c>
      <c r="I7" s="14">
        <v>281</v>
      </c>
      <c r="AB7" s="4">
        <v>5</v>
      </c>
      <c r="AC7" s="4">
        <v>1096</v>
      </c>
      <c r="AD7" s="109">
        <v>25.69</v>
      </c>
      <c r="AE7" s="4" t="s">
        <v>285</v>
      </c>
      <c r="AG7" s="4">
        <v>5</v>
      </c>
      <c r="AH7" s="4">
        <v>1120</v>
      </c>
      <c r="AI7" s="109">
        <v>12.44</v>
      </c>
      <c r="AJ7" s="110">
        <v>5</v>
      </c>
      <c r="AK7" s="111" t="s">
        <v>286</v>
      </c>
      <c r="AL7" s="111">
        <v>1120</v>
      </c>
      <c r="AM7" s="111" t="s">
        <v>230</v>
      </c>
      <c r="AN7" s="112">
        <v>12.44</v>
      </c>
      <c r="AO7" s="112">
        <f t="shared" si="8"/>
        <v>27.644444444444442</v>
      </c>
      <c r="AP7" s="111" t="s">
        <v>275</v>
      </c>
    </row>
    <row r="8" spans="1:42" ht="14.4" x14ac:dyDescent="0.3">
      <c r="A8" s="4">
        <v>6</v>
      </c>
      <c r="B8" s="105">
        <v>36.950000000000003</v>
      </c>
      <c r="C8" s="101">
        <f t="shared" si="0"/>
        <v>0.82111111111111112</v>
      </c>
      <c r="D8" s="4" t="s">
        <v>270</v>
      </c>
      <c r="F8" s="4" t="s">
        <v>271</v>
      </c>
      <c r="G8" s="106">
        <f t="shared" si="1"/>
        <v>0.3066666666666667</v>
      </c>
      <c r="H8" s="107">
        <v>13.8</v>
      </c>
      <c r="I8" s="14">
        <v>51</v>
      </c>
      <c r="AB8" s="4">
        <v>6</v>
      </c>
      <c r="AC8" s="4">
        <v>1727</v>
      </c>
      <c r="AD8" s="109">
        <v>29.38</v>
      </c>
      <c r="AE8" s="4" t="s">
        <v>287</v>
      </c>
      <c r="AG8" s="4">
        <v>6</v>
      </c>
      <c r="AH8" s="4">
        <v>1054</v>
      </c>
      <c r="AI8" s="109">
        <v>13.04</v>
      </c>
      <c r="AJ8" s="110">
        <v>6</v>
      </c>
      <c r="AK8" s="111" t="s">
        <v>288</v>
      </c>
      <c r="AL8" s="111">
        <v>1054</v>
      </c>
      <c r="AM8" s="111" t="s">
        <v>284</v>
      </c>
      <c r="AN8" s="112">
        <v>13.04</v>
      </c>
      <c r="AO8" s="112">
        <f t="shared" si="8"/>
        <v>28.977777777777774</v>
      </c>
      <c r="AP8" s="111" t="s">
        <v>275</v>
      </c>
    </row>
    <row r="9" spans="1:42" ht="14.4" x14ac:dyDescent="0.3">
      <c r="A9" s="4">
        <v>7</v>
      </c>
      <c r="B9" s="105">
        <v>36.72</v>
      </c>
      <c r="C9" s="101">
        <f t="shared" si="0"/>
        <v>0.81599999999999995</v>
      </c>
      <c r="D9" s="4" t="s">
        <v>270</v>
      </c>
      <c r="F9" s="4" t="s">
        <v>271</v>
      </c>
      <c r="G9" s="106">
        <f t="shared" si="1"/>
        <v>0.30888888888888888</v>
      </c>
      <c r="H9" s="107">
        <v>13.9</v>
      </c>
      <c r="I9" s="13">
        <v>13</v>
      </c>
      <c r="AB9" s="4">
        <v>7</v>
      </c>
      <c r="AC9" s="4">
        <v>1378</v>
      </c>
      <c r="AD9" s="109">
        <v>23.96</v>
      </c>
      <c r="AE9" s="4" t="s">
        <v>289</v>
      </c>
      <c r="AG9" s="4">
        <v>7</v>
      </c>
      <c r="AH9" s="4">
        <v>113</v>
      </c>
      <c r="AI9" s="109">
        <v>13.38</v>
      </c>
      <c r="AJ9" s="110">
        <v>7</v>
      </c>
      <c r="AK9" s="111" t="s">
        <v>290</v>
      </c>
      <c r="AL9" s="111">
        <v>113</v>
      </c>
      <c r="AM9" s="111" t="s">
        <v>151</v>
      </c>
      <c r="AN9" s="112">
        <v>13.38</v>
      </c>
      <c r="AO9" s="112">
        <f t="shared" si="8"/>
        <v>29.733333333333334</v>
      </c>
      <c r="AP9" s="111" t="s">
        <v>275</v>
      </c>
    </row>
    <row r="10" spans="1:42" ht="14.4" x14ac:dyDescent="0.3">
      <c r="A10" s="4">
        <v>8</v>
      </c>
      <c r="B10" s="105">
        <v>36.450000000000003</v>
      </c>
      <c r="C10" s="101">
        <f t="shared" si="0"/>
        <v>0.81</v>
      </c>
      <c r="D10" s="4" t="s">
        <v>270</v>
      </c>
      <c r="F10" s="4" t="s">
        <v>271</v>
      </c>
      <c r="G10" s="106">
        <f t="shared" si="1"/>
        <v>0.32311111111111107</v>
      </c>
      <c r="H10" s="107">
        <v>14.54</v>
      </c>
      <c r="I10" s="14">
        <v>1779</v>
      </c>
      <c r="AB10" s="4">
        <v>8</v>
      </c>
      <c r="AC10" s="4">
        <v>1763</v>
      </c>
      <c r="AD10" s="109">
        <v>33.18</v>
      </c>
      <c r="AE10" s="4" t="s">
        <v>291</v>
      </c>
      <c r="AG10" s="4">
        <v>8</v>
      </c>
      <c r="AH10" s="4">
        <v>51</v>
      </c>
      <c r="AI10" s="109">
        <v>13.8</v>
      </c>
      <c r="AJ10" s="110">
        <v>8</v>
      </c>
      <c r="AK10" s="111" t="s">
        <v>292</v>
      </c>
      <c r="AL10" s="111">
        <v>51</v>
      </c>
      <c r="AM10" s="111" t="s">
        <v>138</v>
      </c>
      <c r="AN10" s="112">
        <v>13.8</v>
      </c>
      <c r="AO10" s="112">
        <f t="shared" si="8"/>
        <v>30.666666666666671</v>
      </c>
      <c r="AP10" s="111" t="s">
        <v>275</v>
      </c>
    </row>
    <row r="11" spans="1:42" ht="14.4" x14ac:dyDescent="0.3">
      <c r="A11" s="4">
        <v>9</v>
      </c>
      <c r="B11" s="105">
        <v>35.97</v>
      </c>
      <c r="C11" s="101">
        <f t="shared" si="0"/>
        <v>0.79933333333333334</v>
      </c>
      <c r="D11" s="4" t="s">
        <v>293</v>
      </c>
      <c r="F11" s="4" t="s">
        <v>271</v>
      </c>
      <c r="G11" s="106">
        <f t="shared" si="1"/>
        <v>0.33444444444444443</v>
      </c>
      <c r="H11" s="107">
        <v>15.05</v>
      </c>
      <c r="I11" s="13">
        <v>209</v>
      </c>
      <c r="AB11" s="4">
        <v>9</v>
      </c>
      <c r="AC11" s="4">
        <v>1637</v>
      </c>
      <c r="AD11" s="109">
        <v>32</v>
      </c>
      <c r="AE11" s="4" t="s">
        <v>294</v>
      </c>
      <c r="AG11" s="4">
        <v>9</v>
      </c>
      <c r="AH11" s="4">
        <v>13</v>
      </c>
      <c r="AI11" s="109">
        <v>13.9</v>
      </c>
      <c r="AJ11" s="110">
        <v>9</v>
      </c>
      <c r="AK11" s="111" t="s">
        <v>295</v>
      </c>
      <c r="AL11" s="111">
        <v>13</v>
      </c>
      <c r="AM11" s="111" t="s">
        <v>296</v>
      </c>
      <c r="AN11" s="112">
        <v>13.9</v>
      </c>
      <c r="AO11" s="112">
        <f t="shared" si="8"/>
        <v>30.888888888888889</v>
      </c>
      <c r="AP11" s="111" t="s">
        <v>275</v>
      </c>
    </row>
    <row r="12" spans="1:42" ht="14.4" x14ac:dyDescent="0.3">
      <c r="A12" s="4">
        <v>10</v>
      </c>
      <c r="B12" s="114">
        <v>32</v>
      </c>
      <c r="C12" s="101">
        <f t="shared" si="0"/>
        <v>0.71111111111111114</v>
      </c>
      <c r="D12" s="4" t="s">
        <v>293</v>
      </c>
      <c r="F12" s="4" t="s">
        <v>271</v>
      </c>
      <c r="G12" s="106">
        <f t="shared" si="1"/>
        <v>0.35755555555555557</v>
      </c>
      <c r="H12" s="113">
        <v>16.09</v>
      </c>
      <c r="I12" s="29">
        <v>1799</v>
      </c>
      <c r="AB12" s="4">
        <v>10</v>
      </c>
      <c r="AC12" s="4">
        <v>1086</v>
      </c>
      <c r="AD12" s="109">
        <v>30</v>
      </c>
      <c r="AE12" s="4" t="s">
        <v>297</v>
      </c>
      <c r="AG12" s="4">
        <v>10</v>
      </c>
      <c r="AH12" s="4">
        <v>1779</v>
      </c>
      <c r="AI12" s="109">
        <v>14.54</v>
      </c>
      <c r="AJ12" s="110">
        <v>10</v>
      </c>
      <c r="AK12" s="111" t="s">
        <v>298</v>
      </c>
      <c r="AL12" s="111">
        <v>1779</v>
      </c>
      <c r="AM12" s="111" t="s">
        <v>230</v>
      </c>
      <c r="AN12" s="112">
        <v>14.54</v>
      </c>
      <c r="AO12" s="112">
        <f t="shared" si="8"/>
        <v>32.31111111111111</v>
      </c>
      <c r="AP12" s="111" t="s">
        <v>275</v>
      </c>
    </row>
    <row r="13" spans="1:42" ht="14.4" x14ac:dyDescent="0.3">
      <c r="A13" s="4">
        <v>11</v>
      </c>
      <c r="B13" s="114">
        <v>31.96</v>
      </c>
      <c r="C13" s="101">
        <f t="shared" si="0"/>
        <v>0.7102222222222222</v>
      </c>
      <c r="D13" s="4" t="s">
        <v>293</v>
      </c>
      <c r="F13" s="4" t="s">
        <v>271</v>
      </c>
      <c r="G13" s="106">
        <f t="shared" si="1"/>
        <v>0.37822222222222224</v>
      </c>
      <c r="H13" s="107">
        <v>17.02</v>
      </c>
      <c r="I13" s="13">
        <v>194</v>
      </c>
      <c r="AB13" s="4">
        <v>11</v>
      </c>
      <c r="AC13" s="4">
        <v>1094</v>
      </c>
      <c r="AD13" s="109">
        <v>32.119999999999997</v>
      </c>
      <c r="AE13" s="4" t="s">
        <v>299</v>
      </c>
      <c r="AG13" s="4">
        <v>11</v>
      </c>
      <c r="AH13" s="4">
        <v>209</v>
      </c>
      <c r="AI13" s="109">
        <v>15.05</v>
      </c>
      <c r="AJ13" s="110">
        <v>11</v>
      </c>
      <c r="AK13" s="111" t="s">
        <v>300</v>
      </c>
      <c r="AL13" s="111">
        <v>209</v>
      </c>
      <c r="AM13" s="111" t="s">
        <v>296</v>
      </c>
      <c r="AN13" s="112">
        <v>15.05</v>
      </c>
      <c r="AO13" s="112">
        <f t="shared" si="8"/>
        <v>33.444444444444443</v>
      </c>
      <c r="AP13" s="111" t="s">
        <v>275</v>
      </c>
    </row>
    <row r="14" spans="1:42" ht="14.4" x14ac:dyDescent="0.3">
      <c r="A14" s="4">
        <v>12</v>
      </c>
      <c r="B14" s="114">
        <v>31.88</v>
      </c>
      <c r="C14" s="101">
        <f t="shared" si="0"/>
        <v>0.70844444444444443</v>
      </c>
      <c r="D14" s="4" t="s">
        <v>293</v>
      </c>
      <c r="F14" s="4" t="s">
        <v>271</v>
      </c>
      <c r="G14" s="106">
        <f t="shared" si="1"/>
        <v>0.38333333333333336</v>
      </c>
      <c r="H14" s="107">
        <v>17.25</v>
      </c>
      <c r="I14" s="14">
        <v>38</v>
      </c>
      <c r="AB14" s="4">
        <v>12</v>
      </c>
      <c r="AC14" s="4">
        <v>1867</v>
      </c>
      <c r="AD14" s="109">
        <v>33.119999999999997</v>
      </c>
      <c r="AE14" s="4" t="s">
        <v>301</v>
      </c>
      <c r="AG14" s="4">
        <v>12</v>
      </c>
      <c r="AH14" s="4">
        <v>62</v>
      </c>
      <c r="AI14" s="109">
        <v>15.95</v>
      </c>
      <c r="AJ14" s="110">
        <v>12</v>
      </c>
      <c r="AK14" s="111" t="s">
        <v>302</v>
      </c>
      <c r="AL14" s="111">
        <v>62</v>
      </c>
      <c r="AM14" s="111" t="s">
        <v>215</v>
      </c>
      <c r="AN14" s="112">
        <v>15.95</v>
      </c>
      <c r="AO14" s="112">
        <f t="shared" si="8"/>
        <v>35.444444444444443</v>
      </c>
      <c r="AP14" s="111" t="s">
        <v>275</v>
      </c>
    </row>
    <row r="15" spans="1:42" ht="14.4" x14ac:dyDescent="0.3">
      <c r="A15" s="4">
        <v>13</v>
      </c>
      <c r="B15" s="114">
        <v>31.79</v>
      </c>
      <c r="C15" s="101">
        <f t="shared" si="0"/>
        <v>0.70644444444444443</v>
      </c>
      <c r="D15" s="4" t="s">
        <v>293</v>
      </c>
      <c r="F15" s="4" t="s">
        <v>271</v>
      </c>
      <c r="G15" s="106">
        <f t="shared" si="1"/>
        <v>0.3942222222222222</v>
      </c>
      <c r="H15" s="113">
        <v>17.739999999999998</v>
      </c>
      <c r="I15" s="30">
        <v>1055</v>
      </c>
      <c r="AB15" s="4">
        <v>13</v>
      </c>
      <c r="AC15" s="4">
        <v>1088</v>
      </c>
      <c r="AD15" s="109">
        <v>21.64</v>
      </c>
      <c r="AE15" s="4" t="s">
        <v>303</v>
      </c>
      <c r="AG15" s="4">
        <v>13</v>
      </c>
      <c r="AH15" s="4">
        <v>281</v>
      </c>
      <c r="AI15" s="109">
        <v>16.149999999999999</v>
      </c>
      <c r="AJ15" s="110">
        <v>13</v>
      </c>
      <c r="AK15" s="111" t="s">
        <v>304</v>
      </c>
      <c r="AL15" s="111">
        <v>281</v>
      </c>
      <c r="AM15" s="111" t="s">
        <v>151</v>
      </c>
      <c r="AN15" s="112">
        <v>16.149999999999999</v>
      </c>
      <c r="AO15" s="112">
        <f t="shared" si="8"/>
        <v>35.888888888888886</v>
      </c>
      <c r="AP15" s="111" t="s">
        <v>275</v>
      </c>
    </row>
    <row r="16" spans="1:42" ht="14.4" x14ac:dyDescent="0.3">
      <c r="A16" s="4">
        <v>14</v>
      </c>
      <c r="B16" s="114">
        <v>30.94</v>
      </c>
      <c r="C16" s="101">
        <f t="shared" si="0"/>
        <v>0.68755555555555559</v>
      </c>
      <c r="D16" s="4" t="s">
        <v>293</v>
      </c>
      <c r="F16" s="4" t="s">
        <v>271</v>
      </c>
      <c r="G16" s="106">
        <f t="shared" si="1"/>
        <v>0.39933333333333332</v>
      </c>
      <c r="H16" s="107">
        <v>17.97</v>
      </c>
      <c r="I16" s="14">
        <v>551</v>
      </c>
      <c r="AB16" s="4">
        <v>14</v>
      </c>
      <c r="AC16" s="4">
        <v>1920</v>
      </c>
      <c r="AD16" s="109">
        <v>22.26</v>
      </c>
      <c r="AE16" s="4" t="s">
        <v>305</v>
      </c>
      <c r="AG16" s="4">
        <v>14</v>
      </c>
      <c r="AH16" s="4">
        <v>1475</v>
      </c>
      <c r="AI16" s="109">
        <v>16.59</v>
      </c>
      <c r="AJ16" s="110">
        <v>14</v>
      </c>
      <c r="AK16" s="111" t="s">
        <v>306</v>
      </c>
      <c r="AL16" s="111">
        <v>1475</v>
      </c>
      <c r="AM16" s="111" t="s">
        <v>307</v>
      </c>
      <c r="AN16" s="112">
        <v>16.59</v>
      </c>
      <c r="AO16" s="112">
        <f t="shared" si="8"/>
        <v>36.866666666666667</v>
      </c>
      <c r="AP16" s="111" t="s">
        <v>275</v>
      </c>
    </row>
    <row r="17" spans="1:42" ht="14.4" x14ac:dyDescent="0.3">
      <c r="A17" s="4">
        <v>15</v>
      </c>
      <c r="B17" s="114">
        <v>30.8</v>
      </c>
      <c r="C17" s="101">
        <f t="shared" si="0"/>
        <v>0.68444444444444441</v>
      </c>
      <c r="D17" s="4" t="s">
        <v>293</v>
      </c>
      <c r="F17" s="4" t="s">
        <v>271</v>
      </c>
      <c r="G17" s="106">
        <f t="shared" si="1"/>
        <v>0.41888888888888892</v>
      </c>
      <c r="H17" s="107">
        <v>18.850000000000001</v>
      </c>
      <c r="I17" s="13">
        <v>1008</v>
      </c>
      <c r="AB17" s="4">
        <v>15</v>
      </c>
      <c r="AC17" s="4">
        <v>1262</v>
      </c>
      <c r="AD17" s="109">
        <v>23.34</v>
      </c>
      <c r="AE17" s="4" t="s">
        <v>308</v>
      </c>
      <c r="AG17" s="4">
        <v>15</v>
      </c>
      <c r="AH17" s="4">
        <v>38</v>
      </c>
      <c r="AI17" s="109">
        <v>17.25</v>
      </c>
      <c r="AJ17" s="110">
        <v>15</v>
      </c>
      <c r="AK17" s="111" t="s">
        <v>309</v>
      </c>
      <c r="AL17" s="111">
        <v>38</v>
      </c>
      <c r="AM17" s="111" t="s">
        <v>138</v>
      </c>
      <c r="AN17" s="112">
        <v>17.25</v>
      </c>
      <c r="AO17" s="112">
        <f t="shared" si="8"/>
        <v>38.333333333333336</v>
      </c>
      <c r="AP17" s="111" t="s">
        <v>275</v>
      </c>
    </row>
    <row r="18" spans="1:42" ht="14.4" x14ac:dyDescent="0.3">
      <c r="A18" s="4">
        <v>16</v>
      </c>
      <c r="B18" s="114">
        <v>30.77</v>
      </c>
      <c r="C18" s="101">
        <f t="shared" si="0"/>
        <v>0.68377777777777782</v>
      </c>
      <c r="D18" s="4" t="s">
        <v>293</v>
      </c>
      <c r="F18" s="4" t="s">
        <v>271</v>
      </c>
      <c r="G18" s="106">
        <f t="shared" si="1"/>
        <v>0.42733333333333334</v>
      </c>
      <c r="H18" s="107">
        <v>19.23</v>
      </c>
      <c r="I18" s="14">
        <v>1661</v>
      </c>
      <c r="AB18" s="4">
        <v>16</v>
      </c>
      <c r="AC18" s="4">
        <v>2188</v>
      </c>
      <c r="AD18" s="109">
        <v>30.37</v>
      </c>
      <c r="AE18" s="4" t="s">
        <v>310</v>
      </c>
      <c r="AG18" s="4">
        <v>16</v>
      </c>
      <c r="AH18" s="4">
        <v>527</v>
      </c>
      <c r="AI18" s="109">
        <v>19.29</v>
      </c>
      <c r="AJ18" s="110">
        <v>16</v>
      </c>
      <c r="AK18" s="111" t="s">
        <v>311</v>
      </c>
      <c r="AL18" s="111">
        <v>527</v>
      </c>
      <c r="AM18" s="111" t="s">
        <v>110</v>
      </c>
      <c r="AN18" s="112">
        <v>19.29</v>
      </c>
      <c r="AO18" s="112">
        <f t="shared" si="8"/>
        <v>42.866666666666667</v>
      </c>
      <c r="AP18" s="111" t="s">
        <v>275</v>
      </c>
    </row>
    <row r="19" spans="1:42" ht="14.4" x14ac:dyDescent="0.3">
      <c r="A19" s="4">
        <v>17</v>
      </c>
      <c r="B19" s="114">
        <v>30.37</v>
      </c>
      <c r="C19" s="101">
        <f t="shared" si="0"/>
        <v>0.67488888888888887</v>
      </c>
      <c r="D19" s="4" t="s">
        <v>293</v>
      </c>
      <c r="F19" s="4" t="s">
        <v>271</v>
      </c>
      <c r="G19" s="106">
        <f t="shared" si="1"/>
        <v>0.42733333333333334</v>
      </c>
      <c r="H19" s="107">
        <v>19.23</v>
      </c>
      <c r="I19" s="13">
        <v>1094</v>
      </c>
      <c r="AB19" s="4">
        <v>17</v>
      </c>
      <c r="AC19" s="4">
        <v>1239</v>
      </c>
      <c r="AD19" s="109">
        <v>30</v>
      </c>
      <c r="AE19" s="4" t="s">
        <v>312</v>
      </c>
      <c r="AG19" s="4">
        <v>17</v>
      </c>
      <c r="AH19" s="4">
        <v>350</v>
      </c>
      <c r="AI19" s="109">
        <v>19.32</v>
      </c>
      <c r="AJ19" s="110">
        <v>17</v>
      </c>
      <c r="AK19" s="111" t="s">
        <v>313</v>
      </c>
      <c r="AL19" s="111">
        <v>350</v>
      </c>
      <c r="AM19" s="111" t="s">
        <v>314</v>
      </c>
      <c r="AN19" s="112">
        <v>19.32</v>
      </c>
      <c r="AO19" s="112">
        <f t="shared" si="8"/>
        <v>42.933333333333337</v>
      </c>
      <c r="AP19" s="111" t="s">
        <v>275</v>
      </c>
    </row>
    <row r="20" spans="1:42" ht="14.4" x14ac:dyDescent="0.3">
      <c r="A20" s="4">
        <v>18</v>
      </c>
      <c r="B20" s="114">
        <v>30.26</v>
      </c>
      <c r="C20" s="101">
        <f t="shared" si="0"/>
        <v>0.67244444444444451</v>
      </c>
      <c r="D20" s="4" t="s">
        <v>293</v>
      </c>
      <c r="F20" s="4" t="s">
        <v>271</v>
      </c>
      <c r="G20" s="106">
        <f t="shared" si="1"/>
        <v>0.42777777777777776</v>
      </c>
      <c r="H20" s="107">
        <v>19.25</v>
      </c>
      <c r="I20" s="13">
        <v>2340</v>
      </c>
      <c r="AB20" s="4">
        <v>18</v>
      </c>
      <c r="AC20" s="4">
        <v>2323</v>
      </c>
      <c r="AD20" s="109">
        <v>20.18</v>
      </c>
      <c r="AE20" s="4" t="s">
        <v>315</v>
      </c>
      <c r="AG20" s="4">
        <v>18</v>
      </c>
      <c r="AH20" s="4">
        <v>1430</v>
      </c>
      <c r="AI20" s="109">
        <v>19.53</v>
      </c>
      <c r="AJ20" s="110">
        <v>18</v>
      </c>
      <c r="AK20" s="111" t="s">
        <v>316</v>
      </c>
      <c r="AL20" s="111">
        <v>1430</v>
      </c>
      <c r="AM20" s="111" t="s">
        <v>284</v>
      </c>
      <c r="AN20" s="112">
        <v>19.53</v>
      </c>
      <c r="AO20" s="112">
        <f t="shared" si="8"/>
        <v>43.400000000000006</v>
      </c>
      <c r="AP20" s="111" t="s">
        <v>275</v>
      </c>
    </row>
    <row r="21" spans="1:42" ht="15.75" customHeight="1" x14ac:dyDescent="0.3">
      <c r="A21" s="4">
        <v>19</v>
      </c>
      <c r="B21" s="105">
        <v>29.97</v>
      </c>
      <c r="C21" s="101">
        <f t="shared" si="0"/>
        <v>0.66599999999999993</v>
      </c>
      <c r="D21" s="4" t="s">
        <v>293</v>
      </c>
      <c r="F21" s="4" t="s">
        <v>271</v>
      </c>
      <c r="G21" s="106">
        <f t="shared" si="1"/>
        <v>0.42844444444444446</v>
      </c>
      <c r="H21" s="115">
        <v>19.28</v>
      </c>
      <c r="I21" s="116">
        <v>1085</v>
      </c>
      <c r="AB21" s="4">
        <v>19</v>
      </c>
      <c r="AC21" s="4">
        <v>1447</v>
      </c>
      <c r="AD21" s="109">
        <v>28.1</v>
      </c>
      <c r="AE21" s="4" t="s">
        <v>317</v>
      </c>
      <c r="AG21" s="4">
        <v>19</v>
      </c>
      <c r="AH21" s="4">
        <v>1593</v>
      </c>
      <c r="AI21" s="109">
        <v>19.649999999999999</v>
      </c>
      <c r="AJ21" s="110">
        <v>19</v>
      </c>
      <c r="AK21" s="111" t="s">
        <v>318</v>
      </c>
      <c r="AL21" s="111">
        <v>1593</v>
      </c>
      <c r="AM21" s="111" t="s">
        <v>319</v>
      </c>
      <c r="AN21" s="112">
        <v>19.649999999999999</v>
      </c>
      <c r="AO21" s="112">
        <f t="shared" si="8"/>
        <v>43.666666666666664</v>
      </c>
      <c r="AP21" s="111" t="s">
        <v>275</v>
      </c>
    </row>
    <row r="22" spans="1:42" ht="15.75" customHeight="1" x14ac:dyDescent="0.3">
      <c r="A22" s="4">
        <v>20</v>
      </c>
      <c r="B22" s="114">
        <v>29.92</v>
      </c>
      <c r="C22" s="101">
        <f t="shared" si="0"/>
        <v>0.66488888888888897</v>
      </c>
      <c r="D22" s="4" t="s">
        <v>293</v>
      </c>
      <c r="F22" s="4" t="s">
        <v>271</v>
      </c>
      <c r="G22" s="106">
        <f t="shared" si="1"/>
        <v>0.42866666666666664</v>
      </c>
      <c r="H22" s="107">
        <v>19.29</v>
      </c>
      <c r="I22" s="14">
        <v>527</v>
      </c>
      <c r="AB22" s="4">
        <v>20</v>
      </c>
      <c r="AC22" s="4">
        <v>2056</v>
      </c>
      <c r="AD22" s="109">
        <v>28.8</v>
      </c>
      <c r="AE22" s="4" t="s">
        <v>320</v>
      </c>
      <c r="AG22" s="4">
        <v>20</v>
      </c>
      <c r="AH22" s="4">
        <v>629</v>
      </c>
      <c r="AI22" s="109">
        <v>19.66</v>
      </c>
      <c r="AJ22" s="110">
        <v>20</v>
      </c>
      <c r="AK22" s="111" t="s">
        <v>321</v>
      </c>
      <c r="AL22" s="111">
        <v>629</v>
      </c>
      <c r="AM22" s="111" t="s">
        <v>296</v>
      </c>
      <c r="AN22" s="112">
        <v>19.66</v>
      </c>
      <c r="AO22" s="112">
        <f t="shared" si="8"/>
        <v>43.68888888888889</v>
      </c>
      <c r="AP22" s="111" t="s">
        <v>275</v>
      </c>
    </row>
    <row r="23" spans="1:42" ht="15.75" customHeight="1" x14ac:dyDescent="0.3">
      <c r="A23" s="4">
        <v>21</v>
      </c>
      <c r="B23" s="114">
        <v>29.82</v>
      </c>
      <c r="C23" s="101">
        <f t="shared" si="0"/>
        <v>0.66266666666666663</v>
      </c>
      <c r="D23" s="4" t="s">
        <v>293</v>
      </c>
      <c r="F23" s="4" t="s">
        <v>271</v>
      </c>
      <c r="G23" s="106">
        <f t="shared" si="1"/>
        <v>0.42933333333333334</v>
      </c>
      <c r="H23" s="107">
        <v>19.32</v>
      </c>
      <c r="I23" s="13">
        <v>350</v>
      </c>
      <c r="AB23" s="4">
        <v>21</v>
      </c>
      <c r="AC23" s="4">
        <v>1879</v>
      </c>
      <c r="AD23" s="109">
        <v>32.979999999999997</v>
      </c>
      <c r="AE23" s="4" t="s">
        <v>322</v>
      </c>
      <c r="AG23" s="4">
        <v>21</v>
      </c>
      <c r="AH23" s="4">
        <v>1085</v>
      </c>
      <c r="AI23" s="109">
        <v>20.16</v>
      </c>
      <c r="AJ23" s="110">
        <v>21</v>
      </c>
      <c r="AK23" s="111" t="s">
        <v>323</v>
      </c>
      <c r="AL23" s="111">
        <v>1085</v>
      </c>
      <c r="AM23" s="111" t="s">
        <v>324</v>
      </c>
      <c r="AN23" s="112">
        <v>20.16</v>
      </c>
      <c r="AO23" s="112">
        <f t="shared" si="8"/>
        <v>44.800000000000004</v>
      </c>
      <c r="AP23" s="111" t="s">
        <v>275</v>
      </c>
    </row>
    <row r="24" spans="1:42" ht="15.75" customHeight="1" x14ac:dyDescent="0.3">
      <c r="A24" s="4">
        <v>22</v>
      </c>
      <c r="B24" s="114">
        <v>29.82</v>
      </c>
      <c r="C24" s="101">
        <f t="shared" si="0"/>
        <v>0.66266666666666663</v>
      </c>
      <c r="D24" s="4" t="s">
        <v>293</v>
      </c>
      <c r="F24" s="4" t="s">
        <v>271</v>
      </c>
      <c r="G24" s="106">
        <f t="shared" si="1"/>
        <v>0.43666666666666665</v>
      </c>
      <c r="H24" s="107">
        <v>19.649999999999999</v>
      </c>
      <c r="I24" s="13">
        <v>1593</v>
      </c>
      <c r="AB24" s="4">
        <v>22</v>
      </c>
      <c r="AC24" s="4">
        <v>1244</v>
      </c>
      <c r="AD24" s="109">
        <v>32.25</v>
      </c>
      <c r="AE24" s="4" t="s">
        <v>325</v>
      </c>
      <c r="AG24" s="4">
        <v>22</v>
      </c>
      <c r="AH24" s="4">
        <v>2323</v>
      </c>
      <c r="AI24" s="109">
        <v>20.18</v>
      </c>
      <c r="AJ24" s="110">
        <v>22</v>
      </c>
      <c r="AK24" s="111" t="s">
        <v>315</v>
      </c>
      <c r="AL24" s="111">
        <v>2323</v>
      </c>
      <c r="AM24" s="111" t="s">
        <v>326</v>
      </c>
      <c r="AN24" s="112">
        <v>20.18</v>
      </c>
      <c r="AO24" s="112">
        <f t="shared" si="8"/>
        <v>44.844444444444441</v>
      </c>
      <c r="AP24" s="111" t="s">
        <v>275</v>
      </c>
    </row>
    <row r="25" spans="1:42" ht="15.75" customHeight="1" x14ac:dyDescent="0.3">
      <c r="A25" s="4">
        <v>23</v>
      </c>
      <c r="B25" s="114">
        <v>29.73</v>
      </c>
      <c r="C25" s="101">
        <f t="shared" si="0"/>
        <v>0.66066666666666662</v>
      </c>
      <c r="D25" s="4" t="s">
        <v>293</v>
      </c>
      <c r="F25" s="4" t="s">
        <v>271</v>
      </c>
      <c r="G25" s="106">
        <f t="shared" si="1"/>
        <v>0.43688888888888888</v>
      </c>
      <c r="H25" s="107">
        <v>19.66</v>
      </c>
      <c r="I25" s="13">
        <v>629</v>
      </c>
      <c r="AB25" s="4">
        <v>23</v>
      </c>
      <c r="AC25" s="4">
        <v>1393</v>
      </c>
      <c r="AD25" s="109">
        <v>33.1</v>
      </c>
      <c r="AE25" s="4" t="s">
        <v>327</v>
      </c>
      <c r="AG25" s="4">
        <v>23</v>
      </c>
      <c r="AH25" s="4">
        <v>165</v>
      </c>
      <c r="AI25" s="109">
        <v>20.22</v>
      </c>
      <c r="AJ25" s="110">
        <v>23</v>
      </c>
      <c r="AK25" s="111" t="s">
        <v>328</v>
      </c>
      <c r="AL25" s="111">
        <v>165</v>
      </c>
      <c r="AM25" s="111" t="s">
        <v>296</v>
      </c>
      <c r="AN25" s="112">
        <v>20.22</v>
      </c>
      <c r="AO25" s="112">
        <f t="shared" si="8"/>
        <v>44.93333333333333</v>
      </c>
      <c r="AP25" s="111" t="s">
        <v>275</v>
      </c>
    </row>
    <row r="26" spans="1:42" ht="15.75" customHeight="1" x14ac:dyDescent="0.3">
      <c r="A26" s="4">
        <v>24</v>
      </c>
      <c r="B26" s="114">
        <v>29.66</v>
      </c>
      <c r="C26" s="101">
        <f t="shared" si="0"/>
        <v>0.65911111111111109</v>
      </c>
      <c r="D26" s="4" t="s">
        <v>293</v>
      </c>
      <c r="F26" s="4" t="s">
        <v>271</v>
      </c>
      <c r="G26" s="106">
        <f t="shared" si="1"/>
        <v>0.43777777777777777</v>
      </c>
      <c r="H26" s="107">
        <v>19.7</v>
      </c>
      <c r="I26" s="14">
        <v>461</v>
      </c>
      <c r="AB26" s="4">
        <v>24</v>
      </c>
      <c r="AC26" s="4">
        <v>1523</v>
      </c>
      <c r="AD26" s="109">
        <v>32.229999999999997</v>
      </c>
      <c r="AE26" s="4" t="s">
        <v>329</v>
      </c>
      <c r="AG26" s="4">
        <v>24</v>
      </c>
      <c r="AH26" s="4">
        <v>1341</v>
      </c>
      <c r="AI26" s="109">
        <v>20.32</v>
      </c>
      <c r="AJ26" s="110">
        <v>24</v>
      </c>
      <c r="AK26" s="111" t="s">
        <v>330</v>
      </c>
      <c r="AL26" s="111">
        <v>1341</v>
      </c>
      <c r="AM26" s="111" t="s">
        <v>319</v>
      </c>
      <c r="AN26" s="112">
        <v>20.32</v>
      </c>
      <c r="AO26" s="112">
        <f t="shared" si="8"/>
        <v>45.155555555555551</v>
      </c>
      <c r="AP26" s="111" t="s">
        <v>275</v>
      </c>
    </row>
    <row r="27" spans="1:42" ht="15.75" customHeight="1" x14ac:dyDescent="0.3">
      <c r="A27" s="4">
        <v>25</v>
      </c>
      <c r="B27" s="114">
        <v>29.45</v>
      </c>
      <c r="C27" s="101">
        <f t="shared" si="0"/>
        <v>0.65444444444444438</v>
      </c>
      <c r="D27" s="4" t="s">
        <v>293</v>
      </c>
      <c r="F27" s="4" t="s">
        <v>271</v>
      </c>
      <c r="G27" s="106">
        <f t="shared" si="1"/>
        <v>0.44022222222222218</v>
      </c>
      <c r="H27" s="107">
        <v>19.809999999999999</v>
      </c>
      <c r="I27" s="14">
        <v>1274</v>
      </c>
      <c r="AB27" s="4">
        <v>25</v>
      </c>
      <c r="AC27" s="4">
        <v>1736</v>
      </c>
      <c r="AD27" s="109">
        <v>24.43</v>
      </c>
      <c r="AE27" s="4" t="s">
        <v>331</v>
      </c>
      <c r="AG27" s="4">
        <v>25</v>
      </c>
      <c r="AH27" s="4">
        <v>2143</v>
      </c>
      <c r="AI27" s="109">
        <v>20.46</v>
      </c>
      <c r="AJ27" s="110">
        <v>25</v>
      </c>
      <c r="AK27" s="111" t="s">
        <v>332</v>
      </c>
      <c r="AL27" s="111">
        <v>2143</v>
      </c>
      <c r="AM27" s="111" t="s">
        <v>333</v>
      </c>
      <c r="AN27" s="112">
        <v>20.46</v>
      </c>
      <c r="AO27" s="112">
        <f t="shared" si="8"/>
        <v>45.466666666666669</v>
      </c>
      <c r="AP27" s="111" t="s">
        <v>275</v>
      </c>
    </row>
    <row r="28" spans="1:42" ht="15.75" customHeight="1" x14ac:dyDescent="0.3">
      <c r="A28" s="4">
        <v>26</v>
      </c>
      <c r="B28" s="114">
        <v>29.28</v>
      </c>
      <c r="C28" s="101">
        <f t="shared" si="0"/>
        <v>0.65066666666666673</v>
      </c>
      <c r="D28" s="4" t="s">
        <v>293</v>
      </c>
      <c r="F28" s="4" t="s">
        <v>271</v>
      </c>
      <c r="G28" s="106">
        <f t="shared" si="1"/>
        <v>0.44177777777777777</v>
      </c>
      <c r="H28" s="107">
        <v>19.88</v>
      </c>
      <c r="I28" s="13">
        <v>422</v>
      </c>
      <c r="AB28" s="4">
        <v>26</v>
      </c>
      <c r="AC28" s="4">
        <v>1074</v>
      </c>
      <c r="AD28" s="109">
        <v>27.37</v>
      </c>
      <c r="AE28" s="4" t="s">
        <v>334</v>
      </c>
      <c r="AG28" s="4">
        <v>26</v>
      </c>
      <c r="AH28" s="4">
        <v>1044</v>
      </c>
      <c r="AI28" s="109">
        <v>20.72</v>
      </c>
      <c r="AJ28" s="110">
        <v>26</v>
      </c>
      <c r="AK28" s="111" t="s">
        <v>335</v>
      </c>
      <c r="AL28" s="111">
        <v>1044</v>
      </c>
      <c r="AM28" s="111" t="s">
        <v>230</v>
      </c>
      <c r="AN28" s="112">
        <v>20.72</v>
      </c>
      <c r="AO28" s="112">
        <f t="shared" si="8"/>
        <v>46.044444444444444</v>
      </c>
      <c r="AP28" s="111" t="s">
        <v>275</v>
      </c>
    </row>
    <row r="29" spans="1:42" ht="15.75" customHeight="1" x14ac:dyDescent="0.3">
      <c r="A29" s="4">
        <v>27</v>
      </c>
      <c r="B29" s="114">
        <v>28.87</v>
      </c>
      <c r="C29" s="101">
        <f t="shared" si="0"/>
        <v>0.64155555555555555</v>
      </c>
      <c r="D29" s="4" t="s">
        <v>293</v>
      </c>
      <c r="F29" s="4" t="s">
        <v>271</v>
      </c>
      <c r="G29" s="106">
        <f t="shared" si="1"/>
        <v>0.44844444444444442</v>
      </c>
      <c r="H29" s="107">
        <v>20.18</v>
      </c>
      <c r="I29" s="13">
        <v>2323</v>
      </c>
      <c r="AB29" s="4">
        <v>27</v>
      </c>
      <c r="AC29" s="4">
        <v>1074</v>
      </c>
      <c r="AD29" s="109">
        <v>23.65</v>
      </c>
      <c r="AE29" s="4" t="s">
        <v>336</v>
      </c>
      <c r="AG29" s="4">
        <v>27</v>
      </c>
      <c r="AH29" s="4">
        <v>245</v>
      </c>
      <c r="AI29" s="109">
        <v>20.81</v>
      </c>
      <c r="AJ29" s="110">
        <v>27</v>
      </c>
      <c r="AK29" s="111" t="s">
        <v>337</v>
      </c>
      <c r="AL29" s="111">
        <v>245</v>
      </c>
      <c r="AM29" s="111" t="s">
        <v>151</v>
      </c>
      <c r="AN29" s="112">
        <v>20.81</v>
      </c>
      <c r="AO29" s="112">
        <f t="shared" si="8"/>
        <v>46.24444444444444</v>
      </c>
      <c r="AP29" s="111" t="s">
        <v>275</v>
      </c>
    </row>
    <row r="30" spans="1:42" ht="15.75" customHeight="1" x14ac:dyDescent="0.3">
      <c r="A30" s="4">
        <v>28</v>
      </c>
      <c r="B30" s="114">
        <v>28.83</v>
      </c>
      <c r="C30" s="101">
        <f t="shared" si="0"/>
        <v>0.64066666666666661</v>
      </c>
      <c r="D30" s="4" t="s">
        <v>293</v>
      </c>
      <c r="F30" s="4" t="s">
        <v>271</v>
      </c>
      <c r="G30" s="106">
        <f t="shared" si="1"/>
        <v>0.44933333333333331</v>
      </c>
      <c r="H30" s="107">
        <v>20.22</v>
      </c>
      <c r="I30" s="13">
        <v>165</v>
      </c>
      <c r="AB30" s="4">
        <v>28</v>
      </c>
      <c r="AC30" s="4">
        <v>1499</v>
      </c>
      <c r="AD30" s="109">
        <v>27.53</v>
      </c>
      <c r="AE30" s="4" t="s">
        <v>338</v>
      </c>
      <c r="AG30" s="4">
        <v>28</v>
      </c>
      <c r="AH30" s="4">
        <v>367</v>
      </c>
      <c r="AI30" s="109">
        <v>20.94</v>
      </c>
      <c r="AJ30" s="110">
        <v>28</v>
      </c>
      <c r="AK30" s="111" t="s">
        <v>339</v>
      </c>
      <c r="AL30" s="111">
        <v>367</v>
      </c>
      <c r="AM30" s="111" t="s">
        <v>110</v>
      </c>
      <c r="AN30" s="112">
        <v>20.94</v>
      </c>
      <c r="AO30" s="112">
        <f t="shared" si="8"/>
        <v>46.533333333333339</v>
      </c>
      <c r="AP30" s="111" t="s">
        <v>275</v>
      </c>
    </row>
    <row r="31" spans="1:42" ht="15.75" customHeight="1" x14ac:dyDescent="0.3">
      <c r="A31" s="4">
        <v>29</v>
      </c>
      <c r="B31" s="114">
        <v>28.8</v>
      </c>
      <c r="C31" s="101">
        <f t="shared" si="0"/>
        <v>0.64</v>
      </c>
      <c r="D31" s="4" t="s">
        <v>293</v>
      </c>
      <c r="F31" s="4" t="s">
        <v>271</v>
      </c>
      <c r="G31" s="106">
        <f t="shared" si="1"/>
        <v>0.45155555555555554</v>
      </c>
      <c r="H31" s="107">
        <v>20.32</v>
      </c>
      <c r="I31" s="13">
        <v>1341</v>
      </c>
      <c r="AB31" s="4">
        <v>29</v>
      </c>
      <c r="AC31" s="4">
        <v>2184</v>
      </c>
      <c r="AD31" s="109">
        <v>34</v>
      </c>
      <c r="AE31" s="4" t="s">
        <v>340</v>
      </c>
      <c r="AG31" s="4">
        <v>29</v>
      </c>
      <c r="AH31" s="4">
        <v>62</v>
      </c>
      <c r="AI31" s="109">
        <v>21.06</v>
      </c>
      <c r="AJ31" s="110">
        <v>29</v>
      </c>
      <c r="AK31" s="111" t="s">
        <v>341</v>
      </c>
      <c r="AL31" s="111">
        <v>62</v>
      </c>
      <c r="AM31" s="111" t="s">
        <v>342</v>
      </c>
      <c r="AN31" s="112">
        <v>21.06</v>
      </c>
      <c r="AO31" s="112">
        <f t="shared" si="8"/>
        <v>46.8</v>
      </c>
      <c r="AP31" s="111" t="s">
        <v>275</v>
      </c>
    </row>
    <row r="32" spans="1:42" ht="15.75" customHeight="1" x14ac:dyDescent="0.3">
      <c r="A32" s="4">
        <v>30</v>
      </c>
      <c r="B32" s="114">
        <v>28.65</v>
      </c>
      <c r="C32" s="101">
        <f t="shared" si="0"/>
        <v>0.6366666666666666</v>
      </c>
      <c r="D32" s="4" t="s">
        <v>293</v>
      </c>
      <c r="F32" s="4" t="s">
        <v>271</v>
      </c>
      <c r="G32" s="106">
        <f t="shared" si="1"/>
        <v>0.45466666666666666</v>
      </c>
      <c r="H32" s="107">
        <v>20.46</v>
      </c>
      <c r="I32" s="14">
        <v>2143</v>
      </c>
      <c r="AB32" s="4">
        <v>30</v>
      </c>
      <c r="AC32" s="4">
        <v>1523</v>
      </c>
      <c r="AD32" s="109">
        <v>31.88</v>
      </c>
      <c r="AE32" s="4" t="s">
        <v>343</v>
      </c>
      <c r="AG32" s="4">
        <v>30</v>
      </c>
      <c r="AH32" s="4">
        <v>69</v>
      </c>
      <c r="AI32" s="109">
        <v>21.16</v>
      </c>
      <c r="AJ32" s="110">
        <v>30</v>
      </c>
      <c r="AK32" s="111" t="s">
        <v>344</v>
      </c>
      <c r="AL32" s="111">
        <v>69</v>
      </c>
      <c r="AM32" s="111" t="s">
        <v>342</v>
      </c>
      <c r="AN32" s="112">
        <v>21.16</v>
      </c>
      <c r="AO32" s="112">
        <f t="shared" si="8"/>
        <v>47.022222222222219</v>
      </c>
      <c r="AP32" s="111" t="s">
        <v>275</v>
      </c>
    </row>
    <row r="33" spans="1:42" ht="15.75" customHeight="1" x14ac:dyDescent="0.3">
      <c r="A33" s="4">
        <v>31</v>
      </c>
      <c r="B33" s="114">
        <v>28.63</v>
      </c>
      <c r="C33" s="101">
        <f t="shared" si="0"/>
        <v>0.63622222222222224</v>
      </c>
      <c r="D33" s="4" t="s">
        <v>293</v>
      </c>
      <c r="F33" s="4" t="s">
        <v>271</v>
      </c>
      <c r="G33" s="106">
        <f t="shared" si="1"/>
        <v>0.45999999999999996</v>
      </c>
      <c r="H33" s="107">
        <v>20.7</v>
      </c>
      <c r="I33" s="13">
        <v>1155</v>
      </c>
      <c r="AB33" s="4">
        <v>31</v>
      </c>
      <c r="AC33" s="4">
        <v>1744</v>
      </c>
      <c r="AD33" s="109">
        <v>31.21</v>
      </c>
      <c r="AE33" s="4" t="s">
        <v>345</v>
      </c>
      <c r="AG33" s="4">
        <v>31</v>
      </c>
      <c r="AH33" s="4">
        <v>1372</v>
      </c>
      <c r="AI33" s="109">
        <v>21.51</v>
      </c>
      <c r="AJ33" s="110">
        <v>31</v>
      </c>
      <c r="AK33" s="111" t="s">
        <v>346</v>
      </c>
      <c r="AL33" s="111">
        <v>1372</v>
      </c>
      <c r="AM33" s="111" t="s">
        <v>319</v>
      </c>
      <c r="AN33" s="112">
        <v>21.51</v>
      </c>
      <c r="AO33" s="112">
        <f t="shared" si="8"/>
        <v>47.800000000000004</v>
      </c>
      <c r="AP33" s="111" t="s">
        <v>275</v>
      </c>
    </row>
    <row r="34" spans="1:42" ht="15.75" customHeight="1" x14ac:dyDescent="0.3">
      <c r="A34" s="4">
        <v>32</v>
      </c>
      <c r="B34" s="114">
        <v>28.57</v>
      </c>
      <c r="C34" s="101">
        <f t="shared" si="0"/>
        <v>0.63488888888888895</v>
      </c>
      <c r="D34" s="4" t="s">
        <v>293</v>
      </c>
      <c r="F34" s="4" t="s">
        <v>271</v>
      </c>
      <c r="G34" s="106">
        <f t="shared" si="1"/>
        <v>0.46044444444444443</v>
      </c>
      <c r="H34" s="107">
        <v>20.72</v>
      </c>
      <c r="I34" s="14">
        <v>1044</v>
      </c>
      <c r="AB34" s="4">
        <v>32</v>
      </c>
      <c r="AC34" s="4">
        <v>1126</v>
      </c>
      <c r="AD34" s="109">
        <v>32.32</v>
      </c>
      <c r="AE34" s="4" t="s">
        <v>347</v>
      </c>
      <c r="AG34" s="4">
        <v>32</v>
      </c>
      <c r="AH34" s="4">
        <v>1403</v>
      </c>
      <c r="AI34" s="109">
        <v>21.53</v>
      </c>
      <c r="AJ34" s="110">
        <v>32</v>
      </c>
      <c r="AK34" s="111" t="s">
        <v>277</v>
      </c>
      <c r="AL34" s="111">
        <v>1403</v>
      </c>
      <c r="AM34" s="111" t="s">
        <v>348</v>
      </c>
      <c r="AN34" s="112">
        <v>21.53</v>
      </c>
      <c r="AO34" s="112">
        <f t="shared" si="8"/>
        <v>47.844444444444449</v>
      </c>
      <c r="AP34" s="111" t="s">
        <v>275</v>
      </c>
    </row>
    <row r="35" spans="1:42" ht="15.75" customHeight="1" x14ac:dyDescent="0.3">
      <c r="A35" s="4">
        <v>33</v>
      </c>
      <c r="B35" s="114">
        <v>28.53</v>
      </c>
      <c r="C35" s="101">
        <f t="shared" si="0"/>
        <v>0.63400000000000001</v>
      </c>
      <c r="D35" s="4" t="s">
        <v>293</v>
      </c>
      <c r="F35" s="4" t="s">
        <v>271</v>
      </c>
      <c r="G35" s="106">
        <f t="shared" si="1"/>
        <v>0.46244444444444444</v>
      </c>
      <c r="H35" s="107">
        <v>20.81</v>
      </c>
      <c r="I35" s="14">
        <v>245</v>
      </c>
      <c r="AB35" s="4">
        <v>33</v>
      </c>
      <c r="AC35" s="4">
        <v>1909</v>
      </c>
      <c r="AD35" s="109">
        <v>28.37</v>
      </c>
      <c r="AE35" s="4" t="s">
        <v>349</v>
      </c>
      <c r="AG35" s="4">
        <v>33</v>
      </c>
      <c r="AH35" s="4">
        <v>165</v>
      </c>
      <c r="AI35" s="109">
        <v>21.53</v>
      </c>
      <c r="AJ35" s="110">
        <v>33</v>
      </c>
      <c r="AK35" s="111" t="s">
        <v>350</v>
      </c>
      <c r="AL35" s="111">
        <v>165</v>
      </c>
      <c r="AM35" s="111" t="s">
        <v>351</v>
      </c>
      <c r="AN35" s="112">
        <v>21.53</v>
      </c>
      <c r="AO35" s="112">
        <f t="shared" si="8"/>
        <v>47.844444444444449</v>
      </c>
      <c r="AP35" s="111" t="s">
        <v>275</v>
      </c>
    </row>
    <row r="36" spans="1:42" ht="15.75" customHeight="1" x14ac:dyDescent="0.3">
      <c r="A36" s="4">
        <v>34</v>
      </c>
      <c r="B36" s="114">
        <v>28.48</v>
      </c>
      <c r="C36" s="101">
        <f t="shared" si="0"/>
        <v>0.63288888888888895</v>
      </c>
      <c r="D36" s="4" t="s">
        <v>293</v>
      </c>
      <c r="F36" s="4" t="s">
        <v>271</v>
      </c>
      <c r="G36" s="106">
        <f t="shared" si="1"/>
        <v>0.46533333333333338</v>
      </c>
      <c r="H36" s="107">
        <v>20.94</v>
      </c>
      <c r="I36" s="13">
        <v>367</v>
      </c>
      <c r="AB36" s="4">
        <v>34</v>
      </c>
      <c r="AC36" s="4">
        <v>1513</v>
      </c>
      <c r="AD36" s="109">
        <v>23.99</v>
      </c>
      <c r="AE36" s="4" t="s">
        <v>352</v>
      </c>
      <c r="AG36" s="4">
        <v>34</v>
      </c>
      <c r="AH36" s="4">
        <v>1088</v>
      </c>
      <c r="AI36" s="109">
        <v>21.64</v>
      </c>
      <c r="AJ36" s="110">
        <v>34</v>
      </c>
      <c r="AK36" s="111" t="s">
        <v>303</v>
      </c>
      <c r="AL36" s="111">
        <v>1088</v>
      </c>
      <c r="AM36" s="111" t="s">
        <v>353</v>
      </c>
      <c r="AN36" s="112">
        <v>21.64</v>
      </c>
      <c r="AO36" s="112">
        <f t="shared" si="8"/>
        <v>48.088888888888889</v>
      </c>
      <c r="AP36" s="111" t="s">
        <v>275</v>
      </c>
    </row>
    <row r="37" spans="1:42" ht="15.75" customHeight="1" x14ac:dyDescent="0.3">
      <c r="A37" s="4">
        <v>35</v>
      </c>
      <c r="B37" s="114">
        <v>28.39</v>
      </c>
      <c r="C37" s="101">
        <f t="shared" si="0"/>
        <v>0.63088888888888894</v>
      </c>
      <c r="D37" s="4" t="s">
        <v>293</v>
      </c>
      <c r="F37" s="4" t="s">
        <v>271</v>
      </c>
      <c r="G37" s="106">
        <f t="shared" si="1"/>
        <v>0.46799999999999997</v>
      </c>
      <c r="H37" s="107">
        <v>21.06</v>
      </c>
      <c r="I37" s="14">
        <v>62</v>
      </c>
      <c r="AB37" s="4">
        <v>35</v>
      </c>
      <c r="AC37" s="4">
        <v>1843</v>
      </c>
      <c r="AD37" s="109">
        <v>31</v>
      </c>
      <c r="AE37" s="4" t="s">
        <v>354</v>
      </c>
      <c r="AG37" s="4">
        <v>35</v>
      </c>
      <c r="AH37" s="4">
        <v>288</v>
      </c>
      <c r="AI37" s="109">
        <v>21.67</v>
      </c>
      <c r="AJ37" s="110">
        <v>35</v>
      </c>
      <c r="AK37" s="111" t="s">
        <v>355</v>
      </c>
      <c r="AL37" s="111">
        <v>288</v>
      </c>
      <c r="AM37" s="111" t="s">
        <v>342</v>
      </c>
      <c r="AN37" s="112">
        <v>21.67</v>
      </c>
      <c r="AO37" s="112">
        <f t="shared" si="8"/>
        <v>48.155555555555559</v>
      </c>
      <c r="AP37" s="111" t="s">
        <v>275</v>
      </c>
    </row>
    <row r="38" spans="1:42" ht="15.75" customHeight="1" x14ac:dyDescent="0.3">
      <c r="A38" s="4">
        <v>36</v>
      </c>
      <c r="B38" s="114">
        <v>28.37</v>
      </c>
      <c r="C38" s="101">
        <f t="shared" si="0"/>
        <v>0.63044444444444447</v>
      </c>
      <c r="D38" s="4" t="s">
        <v>293</v>
      </c>
      <c r="F38" s="4" t="s">
        <v>271</v>
      </c>
      <c r="G38" s="106">
        <f t="shared" si="1"/>
        <v>0.47022222222222221</v>
      </c>
      <c r="H38" s="107">
        <v>21.16</v>
      </c>
      <c r="I38" s="14">
        <v>69</v>
      </c>
      <c r="AB38" s="4">
        <v>36</v>
      </c>
      <c r="AC38" s="4">
        <v>1613</v>
      </c>
      <c r="AD38" s="109">
        <v>28.11</v>
      </c>
      <c r="AE38" s="4" t="s">
        <v>356</v>
      </c>
      <c r="AG38" s="4">
        <v>36</v>
      </c>
      <c r="AH38" s="4">
        <v>59</v>
      </c>
      <c r="AI38" s="109">
        <v>21.83</v>
      </c>
      <c r="AJ38" s="110">
        <v>36</v>
      </c>
      <c r="AK38" s="111" t="s">
        <v>357</v>
      </c>
      <c r="AL38" s="111">
        <v>59</v>
      </c>
      <c r="AM38" s="111" t="s">
        <v>110</v>
      </c>
      <c r="AN38" s="112">
        <v>21.83</v>
      </c>
      <c r="AO38" s="112">
        <f t="shared" si="8"/>
        <v>48.511111111111106</v>
      </c>
      <c r="AP38" s="111" t="s">
        <v>275</v>
      </c>
    </row>
    <row r="39" spans="1:42" ht="15.75" customHeight="1" x14ac:dyDescent="0.3">
      <c r="A39" s="4">
        <v>37</v>
      </c>
      <c r="B39" s="114">
        <v>28.1</v>
      </c>
      <c r="C39" s="101">
        <f t="shared" si="0"/>
        <v>0.62444444444444447</v>
      </c>
      <c r="D39" s="4" t="s">
        <v>293</v>
      </c>
      <c r="F39" s="4" t="s">
        <v>271</v>
      </c>
      <c r="G39" s="106">
        <f t="shared" si="1"/>
        <v>0.4757777777777778</v>
      </c>
      <c r="H39" s="107">
        <v>21.41</v>
      </c>
      <c r="I39" s="13">
        <v>1151</v>
      </c>
      <c r="AB39" s="4">
        <v>37</v>
      </c>
      <c r="AC39" s="4">
        <v>1057</v>
      </c>
      <c r="AD39" s="109">
        <v>31.79</v>
      </c>
      <c r="AE39" s="4" t="s">
        <v>358</v>
      </c>
      <c r="AG39" s="4">
        <v>37</v>
      </c>
      <c r="AH39" s="4">
        <v>53</v>
      </c>
      <c r="AI39" s="109">
        <v>22.16</v>
      </c>
      <c r="AJ39" s="110">
        <v>37</v>
      </c>
      <c r="AK39" s="111" t="s">
        <v>359</v>
      </c>
      <c r="AL39" s="111">
        <v>53</v>
      </c>
      <c r="AM39" s="111" t="s">
        <v>110</v>
      </c>
      <c r="AN39" s="112">
        <v>22.16</v>
      </c>
      <c r="AO39" s="112">
        <f t="shared" si="8"/>
        <v>49.244444444444447</v>
      </c>
      <c r="AP39" s="111" t="s">
        <v>275</v>
      </c>
    </row>
    <row r="40" spans="1:42" ht="15.75" customHeight="1" x14ac:dyDescent="0.3">
      <c r="A40" s="4">
        <v>38</v>
      </c>
      <c r="B40" s="114">
        <v>28.09</v>
      </c>
      <c r="C40" s="101">
        <f t="shared" si="0"/>
        <v>0.62422222222222223</v>
      </c>
      <c r="D40" s="4" t="s">
        <v>293</v>
      </c>
      <c r="F40" s="4" t="s">
        <v>271</v>
      </c>
      <c r="G40" s="106">
        <f t="shared" si="1"/>
        <v>0.47800000000000004</v>
      </c>
      <c r="H40" s="107">
        <v>21.51</v>
      </c>
      <c r="I40" s="13">
        <v>1372</v>
      </c>
      <c r="AB40" s="4">
        <v>38</v>
      </c>
      <c r="AC40" s="4">
        <v>1008</v>
      </c>
      <c r="AD40" s="109">
        <v>30.41</v>
      </c>
      <c r="AE40" s="4" t="s">
        <v>360</v>
      </c>
      <c r="AG40" s="4">
        <v>38</v>
      </c>
      <c r="AH40" s="4">
        <v>1920</v>
      </c>
      <c r="AI40" s="109">
        <v>22.26</v>
      </c>
      <c r="AJ40" s="110">
        <v>38</v>
      </c>
      <c r="AK40" s="111" t="s">
        <v>305</v>
      </c>
      <c r="AL40" s="111">
        <v>1920</v>
      </c>
      <c r="AM40" s="111" t="s">
        <v>353</v>
      </c>
      <c r="AN40" s="112">
        <v>22.26</v>
      </c>
      <c r="AO40" s="112">
        <f t="shared" si="8"/>
        <v>49.466666666666669</v>
      </c>
      <c r="AP40" s="111" t="s">
        <v>275</v>
      </c>
    </row>
    <row r="41" spans="1:42" ht="15.75" customHeight="1" x14ac:dyDescent="0.3">
      <c r="A41" s="4">
        <v>39</v>
      </c>
      <c r="B41" s="114">
        <v>27.97</v>
      </c>
      <c r="C41" s="101">
        <f t="shared" si="0"/>
        <v>0.62155555555555553</v>
      </c>
      <c r="D41" s="4" t="s">
        <v>293</v>
      </c>
      <c r="F41" s="4" t="s">
        <v>271</v>
      </c>
      <c r="G41" s="106">
        <f t="shared" si="1"/>
        <v>0.47844444444444445</v>
      </c>
      <c r="H41" s="107">
        <v>21.53</v>
      </c>
      <c r="I41" s="14">
        <v>165</v>
      </c>
      <c r="AB41" s="4">
        <v>39</v>
      </c>
      <c r="AC41" s="4">
        <v>1449</v>
      </c>
      <c r="AD41" s="109">
        <v>37.79</v>
      </c>
      <c r="AE41" s="4" t="s">
        <v>361</v>
      </c>
      <c r="AG41" s="4">
        <v>39</v>
      </c>
      <c r="AH41" s="4">
        <v>422</v>
      </c>
      <c r="AI41" s="109">
        <v>22.5</v>
      </c>
      <c r="AJ41" s="110">
        <v>39</v>
      </c>
      <c r="AK41" s="111" t="s">
        <v>362</v>
      </c>
      <c r="AL41" s="111">
        <v>422</v>
      </c>
      <c r="AM41" s="111" t="s">
        <v>175</v>
      </c>
      <c r="AN41" s="112">
        <v>22.5</v>
      </c>
      <c r="AO41" s="112">
        <f t="shared" si="8"/>
        <v>50</v>
      </c>
      <c r="AP41" s="111" t="s">
        <v>275</v>
      </c>
    </row>
    <row r="42" spans="1:42" ht="15.75" customHeight="1" x14ac:dyDescent="0.3">
      <c r="A42" s="4">
        <v>40</v>
      </c>
      <c r="B42" s="114">
        <v>27.88</v>
      </c>
      <c r="C42" s="101">
        <f t="shared" si="0"/>
        <v>0.61955555555555553</v>
      </c>
      <c r="D42" s="4" t="s">
        <v>293</v>
      </c>
      <c r="F42" s="4" t="s">
        <v>271</v>
      </c>
      <c r="G42" s="106">
        <f t="shared" si="1"/>
        <v>0.47844444444444445</v>
      </c>
      <c r="H42" s="107">
        <v>21.53</v>
      </c>
      <c r="I42" s="13">
        <v>1403</v>
      </c>
      <c r="AB42" s="4">
        <v>40</v>
      </c>
      <c r="AC42" s="4">
        <v>1085</v>
      </c>
      <c r="AD42" s="109">
        <v>20.16</v>
      </c>
      <c r="AE42" s="4" t="s">
        <v>323</v>
      </c>
      <c r="AG42" s="4">
        <v>40</v>
      </c>
      <c r="AH42" s="4">
        <v>32</v>
      </c>
      <c r="AI42" s="109">
        <v>22.54</v>
      </c>
      <c r="AJ42" s="110">
        <v>40</v>
      </c>
      <c r="AK42" s="111" t="s">
        <v>363</v>
      </c>
      <c r="AL42" s="111">
        <v>32</v>
      </c>
      <c r="AM42" s="111" t="s">
        <v>110</v>
      </c>
      <c r="AN42" s="112">
        <v>22.54</v>
      </c>
      <c r="AO42" s="112">
        <f t="shared" si="8"/>
        <v>50.088888888888881</v>
      </c>
      <c r="AP42" s="111" t="s">
        <v>275</v>
      </c>
    </row>
    <row r="43" spans="1:42" ht="15.75" customHeight="1" x14ac:dyDescent="0.3">
      <c r="A43" s="4">
        <v>41</v>
      </c>
      <c r="B43" s="114">
        <v>27.87</v>
      </c>
      <c r="C43" s="101">
        <f t="shared" si="0"/>
        <v>0.6193333333333334</v>
      </c>
      <c r="D43" s="4" t="s">
        <v>293</v>
      </c>
      <c r="F43" s="4" t="s">
        <v>271</v>
      </c>
      <c r="G43" s="106">
        <f t="shared" si="1"/>
        <v>0.48155555555555557</v>
      </c>
      <c r="H43" s="107">
        <v>21.67</v>
      </c>
      <c r="I43" s="14">
        <v>288</v>
      </c>
      <c r="AB43" s="4">
        <v>41</v>
      </c>
      <c r="AC43" s="4">
        <v>1090</v>
      </c>
      <c r="AD43" s="109">
        <v>30.5</v>
      </c>
      <c r="AE43" s="4" t="s">
        <v>364</v>
      </c>
      <c r="AG43" s="4">
        <v>41</v>
      </c>
      <c r="AH43" s="4">
        <v>695</v>
      </c>
      <c r="AI43" s="109">
        <v>22.73</v>
      </c>
      <c r="AJ43" s="110">
        <v>41</v>
      </c>
      <c r="AK43" s="111" t="s">
        <v>365</v>
      </c>
      <c r="AL43" s="111">
        <v>695</v>
      </c>
      <c r="AM43" s="111" t="s">
        <v>223</v>
      </c>
      <c r="AN43" s="112">
        <v>22.73</v>
      </c>
      <c r="AO43" s="112">
        <f t="shared" si="8"/>
        <v>50.511111111111106</v>
      </c>
      <c r="AP43" s="111" t="s">
        <v>275</v>
      </c>
    </row>
    <row r="44" spans="1:42" ht="15.75" customHeight="1" x14ac:dyDescent="0.3">
      <c r="A44" s="4">
        <v>42</v>
      </c>
      <c r="B44" s="114">
        <v>27.72</v>
      </c>
      <c r="C44" s="101">
        <f t="shared" si="0"/>
        <v>0.61599999999999999</v>
      </c>
      <c r="D44" s="4" t="s">
        <v>293</v>
      </c>
      <c r="F44" s="4" t="s">
        <v>271</v>
      </c>
      <c r="G44" s="106">
        <f t="shared" si="1"/>
        <v>0.48333333333333334</v>
      </c>
      <c r="H44" s="107">
        <v>21.75</v>
      </c>
      <c r="I44" s="14">
        <v>1144</v>
      </c>
      <c r="AB44" s="4">
        <v>42</v>
      </c>
      <c r="AC44" s="4">
        <v>1132</v>
      </c>
      <c r="AD44" s="109">
        <v>25.4</v>
      </c>
      <c r="AE44" s="4" t="s">
        <v>366</v>
      </c>
      <c r="AG44" s="4">
        <v>42</v>
      </c>
      <c r="AH44" s="4">
        <v>1921</v>
      </c>
      <c r="AI44" s="109">
        <v>22.88</v>
      </c>
      <c r="AJ44" s="110">
        <v>42</v>
      </c>
      <c r="AK44" s="111" t="s">
        <v>367</v>
      </c>
      <c r="AL44" s="111">
        <v>1921</v>
      </c>
      <c r="AM44" s="111" t="s">
        <v>319</v>
      </c>
      <c r="AN44" s="112">
        <v>22.88</v>
      </c>
      <c r="AO44" s="112">
        <f t="shared" si="8"/>
        <v>50.844444444444449</v>
      </c>
      <c r="AP44" s="111" t="s">
        <v>275</v>
      </c>
    </row>
    <row r="45" spans="1:42" ht="15.75" customHeight="1" x14ac:dyDescent="0.3">
      <c r="A45" s="4">
        <v>43</v>
      </c>
      <c r="B45" s="114">
        <v>27.63</v>
      </c>
      <c r="C45" s="101">
        <f t="shared" si="0"/>
        <v>0.61399999999999999</v>
      </c>
      <c r="D45" s="4" t="s">
        <v>293</v>
      </c>
      <c r="F45" s="4" t="s">
        <v>271</v>
      </c>
      <c r="G45" s="106">
        <f t="shared" si="1"/>
        <v>0.48511111111111105</v>
      </c>
      <c r="H45" s="107">
        <v>21.83</v>
      </c>
      <c r="I45" s="14">
        <v>59</v>
      </c>
      <c r="AB45" s="4">
        <v>43</v>
      </c>
      <c r="AC45" s="4">
        <v>1055</v>
      </c>
      <c r="AD45" s="109">
        <v>32.380000000000003</v>
      </c>
      <c r="AE45" s="4" t="s">
        <v>368</v>
      </c>
      <c r="AG45" s="4">
        <v>43</v>
      </c>
      <c r="AH45" s="4">
        <v>461</v>
      </c>
      <c r="AI45" s="109">
        <v>22.88</v>
      </c>
      <c r="AJ45" s="110">
        <v>43</v>
      </c>
      <c r="AK45" s="111" t="s">
        <v>369</v>
      </c>
      <c r="AL45" s="111">
        <v>461</v>
      </c>
      <c r="AM45" s="111" t="s">
        <v>370</v>
      </c>
      <c r="AN45" s="112">
        <v>22.88</v>
      </c>
      <c r="AO45" s="112">
        <f t="shared" si="8"/>
        <v>50.844444444444449</v>
      </c>
      <c r="AP45" s="111" t="s">
        <v>275</v>
      </c>
    </row>
    <row r="46" spans="1:42" ht="15.75" customHeight="1" x14ac:dyDescent="0.3">
      <c r="A46" s="4">
        <v>44</v>
      </c>
      <c r="B46" s="114">
        <v>27.6</v>
      </c>
      <c r="C46" s="101">
        <f t="shared" si="0"/>
        <v>0.6133333333333334</v>
      </c>
      <c r="D46" s="4" t="s">
        <v>293</v>
      </c>
      <c r="F46" s="4" t="s">
        <v>271</v>
      </c>
      <c r="G46" s="106">
        <f t="shared" si="1"/>
        <v>0.48822222222222222</v>
      </c>
      <c r="H46" s="107">
        <v>21.97</v>
      </c>
      <c r="I46" s="13">
        <v>2433</v>
      </c>
      <c r="AB46" s="4">
        <v>44</v>
      </c>
      <c r="AC46" s="4">
        <v>1812</v>
      </c>
      <c r="AD46" s="109">
        <v>30.8</v>
      </c>
      <c r="AE46" s="4" t="s">
        <v>371</v>
      </c>
      <c r="AG46" s="4">
        <v>44</v>
      </c>
      <c r="AH46" s="4">
        <v>1733</v>
      </c>
      <c r="AI46" s="109">
        <v>23.01</v>
      </c>
      <c r="AJ46" s="110">
        <v>44</v>
      </c>
      <c r="AK46" s="111" t="s">
        <v>372</v>
      </c>
      <c r="AL46" s="111">
        <v>1733</v>
      </c>
      <c r="AM46" s="111" t="s">
        <v>373</v>
      </c>
      <c r="AN46" s="112">
        <v>23.01</v>
      </c>
      <c r="AO46" s="112">
        <f t="shared" si="8"/>
        <v>51.13333333333334</v>
      </c>
      <c r="AP46" s="111" t="s">
        <v>275</v>
      </c>
    </row>
    <row r="47" spans="1:42" ht="15.75" customHeight="1" x14ac:dyDescent="0.3">
      <c r="A47" s="4">
        <v>45</v>
      </c>
      <c r="B47" s="114">
        <v>27.57</v>
      </c>
      <c r="C47" s="101">
        <f t="shared" si="0"/>
        <v>0.61266666666666669</v>
      </c>
      <c r="D47" s="4" t="s">
        <v>293</v>
      </c>
      <c r="F47" s="4" t="s">
        <v>271</v>
      </c>
      <c r="G47" s="106">
        <f t="shared" si="1"/>
        <v>0.48822222222222222</v>
      </c>
      <c r="H47" s="107">
        <v>21.97</v>
      </c>
      <c r="I47" s="13">
        <v>1879</v>
      </c>
      <c r="AB47" s="4">
        <v>45</v>
      </c>
      <c r="AC47" s="4">
        <v>1182</v>
      </c>
      <c r="AD47" s="109">
        <v>27.41</v>
      </c>
      <c r="AE47" s="4" t="s">
        <v>374</v>
      </c>
      <c r="AG47" s="4">
        <v>45</v>
      </c>
      <c r="AH47" s="4">
        <v>1332</v>
      </c>
      <c r="AI47" s="109">
        <v>23.17</v>
      </c>
      <c r="AJ47" s="110">
        <v>45</v>
      </c>
      <c r="AK47" s="111" t="s">
        <v>375</v>
      </c>
      <c r="AL47" s="111">
        <v>1332</v>
      </c>
      <c r="AM47" s="111" t="s">
        <v>376</v>
      </c>
      <c r="AN47" s="112">
        <v>23.17</v>
      </c>
      <c r="AO47" s="112">
        <f t="shared" si="8"/>
        <v>51.488888888888894</v>
      </c>
      <c r="AP47" s="111" t="s">
        <v>275</v>
      </c>
    </row>
    <row r="48" spans="1:42" ht="15.75" customHeight="1" x14ac:dyDescent="0.3">
      <c r="A48" s="4">
        <v>46</v>
      </c>
      <c r="B48" s="114">
        <v>27.55</v>
      </c>
      <c r="C48" s="101">
        <f t="shared" si="0"/>
        <v>0.61222222222222222</v>
      </c>
      <c r="D48" s="4" t="s">
        <v>293</v>
      </c>
      <c r="F48" s="4" t="s">
        <v>271</v>
      </c>
      <c r="G48" s="106">
        <f t="shared" si="1"/>
        <v>0.48888888888888887</v>
      </c>
      <c r="H48" s="107">
        <v>22</v>
      </c>
      <c r="I48" s="14">
        <v>369</v>
      </c>
      <c r="AB48" s="4">
        <v>46</v>
      </c>
      <c r="AC48" s="4">
        <v>1211</v>
      </c>
      <c r="AD48" s="109">
        <v>32.61</v>
      </c>
      <c r="AE48" s="4" t="s">
        <v>377</v>
      </c>
      <c r="AG48" s="4">
        <v>46</v>
      </c>
      <c r="AH48" s="4">
        <v>1146</v>
      </c>
      <c r="AI48" s="109">
        <v>23.24</v>
      </c>
      <c r="AJ48" s="110">
        <v>46</v>
      </c>
      <c r="AK48" s="111" t="s">
        <v>378</v>
      </c>
      <c r="AL48" s="111">
        <v>1146</v>
      </c>
      <c r="AM48" s="111" t="s">
        <v>379</v>
      </c>
      <c r="AN48" s="112">
        <v>23.24</v>
      </c>
      <c r="AO48" s="112">
        <f t="shared" si="8"/>
        <v>51.644444444444439</v>
      </c>
      <c r="AP48" s="111" t="s">
        <v>275</v>
      </c>
    </row>
    <row r="49" spans="1:42" ht="15.75" customHeight="1" x14ac:dyDescent="0.3">
      <c r="A49" s="4">
        <v>47</v>
      </c>
      <c r="B49" s="114">
        <v>27.53</v>
      </c>
      <c r="C49" s="101">
        <f t="shared" si="0"/>
        <v>0.61177777777777775</v>
      </c>
      <c r="D49" s="4" t="s">
        <v>293</v>
      </c>
      <c r="F49" s="4" t="s">
        <v>271</v>
      </c>
      <c r="G49" s="106">
        <f t="shared" si="1"/>
        <v>0.49088888888888887</v>
      </c>
      <c r="H49" s="107">
        <v>22.09</v>
      </c>
      <c r="I49" s="13">
        <v>684</v>
      </c>
      <c r="AB49" s="4">
        <v>47</v>
      </c>
      <c r="AC49" s="4">
        <v>1470</v>
      </c>
      <c r="AD49" s="109">
        <v>30</v>
      </c>
      <c r="AE49" s="4" t="s">
        <v>380</v>
      </c>
      <c r="AG49" s="4">
        <v>47</v>
      </c>
      <c r="AH49" s="4">
        <v>1262</v>
      </c>
      <c r="AI49" s="109">
        <v>23.34</v>
      </c>
      <c r="AJ49" s="110">
        <v>47</v>
      </c>
      <c r="AK49" s="111" t="s">
        <v>308</v>
      </c>
      <c r="AL49" s="111">
        <v>1262</v>
      </c>
      <c r="AM49" s="111" t="s">
        <v>353</v>
      </c>
      <c r="AN49" s="112">
        <v>23.34</v>
      </c>
      <c r="AO49" s="112">
        <f t="shared" si="8"/>
        <v>51.86666666666666</v>
      </c>
      <c r="AP49" s="111" t="s">
        <v>275</v>
      </c>
    </row>
    <row r="50" spans="1:42" ht="15.75" customHeight="1" x14ac:dyDescent="0.3">
      <c r="A50" s="4">
        <v>48</v>
      </c>
      <c r="B50" s="114">
        <v>27.48</v>
      </c>
      <c r="C50" s="101">
        <f t="shared" si="0"/>
        <v>0.61066666666666669</v>
      </c>
      <c r="D50" s="4" t="s">
        <v>293</v>
      </c>
      <c r="F50" s="4" t="s">
        <v>271</v>
      </c>
      <c r="G50" s="106">
        <f t="shared" si="1"/>
        <v>0.49244444444444446</v>
      </c>
      <c r="H50" s="107">
        <v>22.16</v>
      </c>
      <c r="I50" s="14">
        <v>53</v>
      </c>
      <c r="AB50" s="4">
        <v>48</v>
      </c>
      <c r="AC50" s="4">
        <v>1185</v>
      </c>
      <c r="AD50" s="109">
        <v>31.3</v>
      </c>
      <c r="AE50" s="4" t="s">
        <v>381</v>
      </c>
      <c r="AG50" s="4">
        <v>48</v>
      </c>
      <c r="AH50" s="4">
        <v>69</v>
      </c>
      <c r="AI50" s="109">
        <v>23.57</v>
      </c>
      <c r="AJ50" s="110">
        <v>48</v>
      </c>
      <c r="AK50" s="111" t="s">
        <v>382</v>
      </c>
      <c r="AL50" s="111">
        <v>69</v>
      </c>
      <c r="AM50" s="111" t="s">
        <v>151</v>
      </c>
      <c r="AN50" s="112">
        <v>23.57</v>
      </c>
      <c r="AO50" s="112">
        <f t="shared" si="8"/>
        <v>52.37777777777778</v>
      </c>
      <c r="AP50" s="111" t="s">
        <v>275</v>
      </c>
    </row>
    <row r="51" spans="1:42" ht="15.75" customHeight="1" x14ac:dyDescent="0.3">
      <c r="A51" s="4">
        <v>49</v>
      </c>
      <c r="B51" s="114">
        <v>27.43</v>
      </c>
      <c r="C51" s="101">
        <f t="shared" si="0"/>
        <v>0.60955555555555552</v>
      </c>
      <c r="D51" s="4" t="s">
        <v>293</v>
      </c>
      <c r="F51" s="4" t="s">
        <v>271</v>
      </c>
      <c r="G51" s="106">
        <f t="shared" si="1"/>
        <v>0.4946666666666667</v>
      </c>
      <c r="H51" s="107">
        <v>22.26</v>
      </c>
      <c r="I51" s="13">
        <v>1920</v>
      </c>
      <c r="AB51" s="4">
        <v>49</v>
      </c>
      <c r="AC51" s="4">
        <v>1058</v>
      </c>
      <c r="AD51" s="109">
        <v>27.41</v>
      </c>
      <c r="AE51" s="4" t="s">
        <v>383</v>
      </c>
      <c r="AG51" s="4">
        <v>49</v>
      </c>
      <c r="AH51" s="4">
        <v>1273</v>
      </c>
      <c r="AI51" s="109">
        <v>23.58</v>
      </c>
      <c r="AJ51" s="110">
        <v>49</v>
      </c>
      <c r="AK51" s="111" t="s">
        <v>384</v>
      </c>
      <c r="AL51" s="111">
        <v>1273</v>
      </c>
      <c r="AM51" s="111" t="s">
        <v>376</v>
      </c>
      <c r="AN51" s="112">
        <v>23.58</v>
      </c>
      <c r="AO51" s="112">
        <f t="shared" si="8"/>
        <v>52.399999999999991</v>
      </c>
      <c r="AP51" s="111" t="s">
        <v>275</v>
      </c>
    </row>
    <row r="52" spans="1:42" ht="15.75" customHeight="1" x14ac:dyDescent="0.3">
      <c r="A52" s="4">
        <v>50</v>
      </c>
      <c r="B52" s="114">
        <v>27.41</v>
      </c>
      <c r="C52" s="101">
        <f t="shared" si="0"/>
        <v>0.60911111111111116</v>
      </c>
      <c r="D52" s="4" t="s">
        <v>293</v>
      </c>
      <c r="F52" s="4" t="s">
        <v>271</v>
      </c>
      <c r="G52" s="106">
        <f t="shared" si="1"/>
        <v>0.49622222222222218</v>
      </c>
      <c r="H52" s="115">
        <v>22.33</v>
      </c>
      <c r="I52" s="116">
        <v>319</v>
      </c>
      <c r="AB52" s="4">
        <v>50</v>
      </c>
      <c r="AC52" s="4">
        <v>2433</v>
      </c>
      <c r="AD52" s="109">
        <v>33.46</v>
      </c>
      <c r="AE52" s="4" t="s">
        <v>385</v>
      </c>
      <c r="AG52" s="4">
        <v>50</v>
      </c>
      <c r="AH52" s="4">
        <v>463</v>
      </c>
      <c r="AI52" s="109">
        <v>23.63</v>
      </c>
      <c r="AJ52" s="110">
        <v>50</v>
      </c>
      <c r="AK52" s="111" t="s">
        <v>386</v>
      </c>
      <c r="AL52" s="111">
        <v>463</v>
      </c>
      <c r="AM52" s="111" t="s">
        <v>223</v>
      </c>
      <c r="AN52" s="112">
        <v>23.63</v>
      </c>
      <c r="AO52" s="112">
        <f t="shared" si="8"/>
        <v>52.511111111111106</v>
      </c>
      <c r="AP52" s="111" t="s">
        <v>275</v>
      </c>
    </row>
    <row r="53" spans="1:42" ht="15.75" customHeight="1" x14ac:dyDescent="0.3">
      <c r="A53" s="4">
        <v>51</v>
      </c>
      <c r="B53" s="114">
        <v>27.41</v>
      </c>
      <c r="C53" s="101">
        <f t="shared" si="0"/>
        <v>0.60911111111111116</v>
      </c>
      <c r="D53" s="4" t="s">
        <v>293</v>
      </c>
      <c r="F53" s="4" t="s">
        <v>271</v>
      </c>
      <c r="G53" s="106">
        <f t="shared" si="1"/>
        <v>0.50088888888888883</v>
      </c>
      <c r="H53" s="107">
        <v>22.54</v>
      </c>
      <c r="I53" s="14">
        <v>32</v>
      </c>
      <c r="AB53" s="4">
        <v>51</v>
      </c>
      <c r="AC53" s="4">
        <v>1273</v>
      </c>
      <c r="AD53" s="109">
        <v>23.58</v>
      </c>
      <c r="AE53" s="4" t="s">
        <v>384</v>
      </c>
      <c r="AG53" s="4">
        <v>51</v>
      </c>
      <c r="AH53" s="4">
        <v>1074</v>
      </c>
      <c r="AI53" s="109">
        <v>23.65</v>
      </c>
      <c r="AJ53" s="110">
        <v>51</v>
      </c>
      <c r="AK53" s="111" t="s">
        <v>336</v>
      </c>
      <c r="AL53" s="111">
        <v>1074</v>
      </c>
      <c r="AM53" s="111" t="s">
        <v>387</v>
      </c>
      <c r="AN53" s="112">
        <v>23.65</v>
      </c>
      <c r="AO53" s="112">
        <f t="shared" si="8"/>
        <v>52.555555555555557</v>
      </c>
      <c r="AP53" s="111" t="s">
        <v>275</v>
      </c>
    </row>
    <row r="54" spans="1:42" ht="15.75" customHeight="1" x14ac:dyDescent="0.3">
      <c r="A54" s="4">
        <v>52</v>
      </c>
      <c r="B54" s="114">
        <v>27.22</v>
      </c>
      <c r="C54" s="101">
        <f t="shared" si="0"/>
        <v>0.60488888888888881</v>
      </c>
      <c r="D54" s="4" t="s">
        <v>293</v>
      </c>
      <c r="F54" s="4" t="s">
        <v>271</v>
      </c>
      <c r="G54" s="106">
        <f t="shared" si="1"/>
        <v>0.50177777777777777</v>
      </c>
      <c r="H54" s="115">
        <v>22.58</v>
      </c>
      <c r="I54" s="117">
        <v>1911</v>
      </c>
      <c r="AB54" s="4">
        <v>52</v>
      </c>
      <c r="AC54" s="4">
        <v>1332</v>
      </c>
      <c r="AD54" s="109">
        <v>23.17</v>
      </c>
      <c r="AE54" s="4" t="s">
        <v>375</v>
      </c>
      <c r="AG54" s="4">
        <v>52</v>
      </c>
      <c r="AH54" s="4">
        <v>1378</v>
      </c>
      <c r="AI54" s="109">
        <v>23.96</v>
      </c>
      <c r="AJ54" s="110">
        <v>52</v>
      </c>
      <c r="AK54" s="111" t="s">
        <v>289</v>
      </c>
      <c r="AL54" s="111">
        <v>1378</v>
      </c>
      <c r="AM54" s="111" t="s">
        <v>388</v>
      </c>
      <c r="AN54" s="112">
        <v>23.96</v>
      </c>
      <c r="AO54" s="112">
        <f t="shared" si="8"/>
        <v>53.244444444444447</v>
      </c>
      <c r="AP54" s="111" t="s">
        <v>275</v>
      </c>
    </row>
    <row r="55" spans="1:42" ht="15.75" customHeight="1" x14ac:dyDescent="0.3">
      <c r="A55" s="4">
        <v>53</v>
      </c>
      <c r="B55" s="114">
        <v>27.18</v>
      </c>
      <c r="C55" s="101">
        <f t="shared" si="0"/>
        <v>0.60399999999999998</v>
      </c>
      <c r="D55" s="4" t="s">
        <v>293</v>
      </c>
      <c r="F55" s="4" t="s">
        <v>271</v>
      </c>
      <c r="G55" s="106">
        <f t="shared" si="1"/>
        <v>0.50511111111111107</v>
      </c>
      <c r="H55" s="107">
        <v>22.73</v>
      </c>
      <c r="I55" s="13">
        <v>695</v>
      </c>
      <c r="AB55" s="4">
        <v>53</v>
      </c>
      <c r="AC55" s="4">
        <v>1045</v>
      </c>
      <c r="AD55" s="109">
        <v>27.22</v>
      </c>
      <c r="AE55" s="4" t="s">
        <v>389</v>
      </c>
      <c r="AG55" s="4">
        <v>53</v>
      </c>
      <c r="AH55" s="4">
        <v>457</v>
      </c>
      <c r="AI55" s="109">
        <v>23.97</v>
      </c>
      <c r="AJ55" s="110">
        <v>53</v>
      </c>
      <c r="AK55" s="111" t="s">
        <v>390</v>
      </c>
      <c r="AL55" s="111">
        <v>457</v>
      </c>
      <c r="AM55" s="111" t="s">
        <v>391</v>
      </c>
      <c r="AN55" s="112">
        <v>23.97</v>
      </c>
      <c r="AO55" s="112">
        <f t="shared" si="8"/>
        <v>53.266666666666666</v>
      </c>
      <c r="AP55" s="111" t="s">
        <v>275</v>
      </c>
    </row>
    <row r="56" spans="1:42" ht="15.75" customHeight="1" x14ac:dyDescent="0.3">
      <c r="A56" s="4">
        <v>54</v>
      </c>
      <c r="B56" s="114">
        <v>27.13</v>
      </c>
      <c r="C56" s="101">
        <f t="shared" si="0"/>
        <v>0.60288888888888892</v>
      </c>
      <c r="D56" s="4" t="s">
        <v>293</v>
      </c>
      <c r="F56" s="4" t="s">
        <v>271</v>
      </c>
      <c r="G56" s="106">
        <f t="shared" si="1"/>
        <v>0.5073333333333333</v>
      </c>
      <c r="H56" s="107">
        <v>22.83</v>
      </c>
      <c r="I56" s="14">
        <v>1733</v>
      </c>
      <c r="AB56" s="4">
        <v>54</v>
      </c>
      <c r="AC56" s="4">
        <v>1921</v>
      </c>
      <c r="AD56" s="109">
        <v>22.88</v>
      </c>
      <c r="AE56" s="4" t="s">
        <v>367</v>
      </c>
      <c r="AG56" s="4">
        <v>54</v>
      </c>
      <c r="AH56" s="4">
        <v>1513</v>
      </c>
      <c r="AI56" s="109">
        <v>23.99</v>
      </c>
      <c r="AJ56" s="110">
        <v>54</v>
      </c>
      <c r="AK56" s="111" t="s">
        <v>352</v>
      </c>
      <c r="AL56" s="111">
        <v>1513</v>
      </c>
      <c r="AM56" s="111" t="s">
        <v>392</v>
      </c>
      <c r="AN56" s="112">
        <v>23.99</v>
      </c>
      <c r="AO56" s="112">
        <f t="shared" si="8"/>
        <v>53.31111111111111</v>
      </c>
      <c r="AP56" s="111" t="s">
        <v>275</v>
      </c>
    </row>
    <row r="57" spans="1:42" ht="15.75" customHeight="1" x14ac:dyDescent="0.3">
      <c r="A57" s="4">
        <v>55</v>
      </c>
      <c r="B57" s="114">
        <v>27.01</v>
      </c>
      <c r="C57" s="101">
        <f t="shared" si="0"/>
        <v>0.60022222222222221</v>
      </c>
      <c r="D57" s="4" t="s">
        <v>293</v>
      </c>
      <c r="F57" s="4" t="s">
        <v>271</v>
      </c>
      <c r="G57" s="106">
        <f t="shared" si="1"/>
        <v>0.50844444444444448</v>
      </c>
      <c r="H57" s="107">
        <v>22.88</v>
      </c>
      <c r="I57" s="13">
        <v>1921</v>
      </c>
      <c r="AB57" s="4">
        <v>55</v>
      </c>
      <c r="AC57" s="4">
        <v>1593</v>
      </c>
      <c r="AD57" s="109">
        <v>19.649999999999999</v>
      </c>
      <c r="AE57" s="4" t="s">
        <v>318</v>
      </c>
      <c r="AG57" s="4">
        <v>55</v>
      </c>
      <c r="AH57" s="4">
        <v>98</v>
      </c>
      <c r="AI57" s="109">
        <v>24.05</v>
      </c>
      <c r="AJ57" s="110">
        <v>55</v>
      </c>
      <c r="AK57" s="111" t="s">
        <v>393</v>
      </c>
      <c r="AL57" s="111">
        <v>98</v>
      </c>
      <c r="AM57" s="111" t="s">
        <v>151</v>
      </c>
      <c r="AN57" s="112">
        <v>24.05</v>
      </c>
      <c r="AO57" s="112">
        <f t="shared" si="8"/>
        <v>53.44444444444445</v>
      </c>
      <c r="AP57" s="111" t="s">
        <v>275</v>
      </c>
    </row>
    <row r="58" spans="1:42" ht="15.75" customHeight="1" x14ac:dyDescent="0.3">
      <c r="A58" s="4">
        <v>56</v>
      </c>
      <c r="B58" s="114">
        <v>27.01</v>
      </c>
      <c r="C58" s="101">
        <f t="shared" si="0"/>
        <v>0.60022222222222221</v>
      </c>
      <c r="D58" s="4" t="s">
        <v>293</v>
      </c>
      <c r="F58" s="4" t="s">
        <v>271</v>
      </c>
      <c r="G58" s="106">
        <f t="shared" si="1"/>
        <v>0.51133333333333342</v>
      </c>
      <c r="H58" s="107">
        <v>23.01</v>
      </c>
      <c r="I58" s="13">
        <v>1126</v>
      </c>
      <c r="AB58" s="4">
        <v>56</v>
      </c>
      <c r="AC58" s="4">
        <v>1246</v>
      </c>
      <c r="AD58" s="109">
        <v>31.44</v>
      </c>
      <c r="AE58" s="4" t="s">
        <v>394</v>
      </c>
      <c r="AG58" s="4">
        <v>56</v>
      </c>
      <c r="AH58" s="4">
        <v>1736</v>
      </c>
      <c r="AI58" s="109">
        <v>24.43</v>
      </c>
      <c r="AJ58" s="110">
        <v>56</v>
      </c>
      <c r="AK58" s="111" t="s">
        <v>331</v>
      </c>
      <c r="AL58" s="111">
        <v>1736</v>
      </c>
      <c r="AM58" s="111" t="s">
        <v>395</v>
      </c>
      <c r="AN58" s="112">
        <v>24.43</v>
      </c>
      <c r="AO58" s="112">
        <f t="shared" si="8"/>
        <v>54.288888888888884</v>
      </c>
      <c r="AP58" s="111" t="s">
        <v>275</v>
      </c>
    </row>
    <row r="59" spans="1:42" ht="15.75" customHeight="1" x14ac:dyDescent="0.3">
      <c r="A59" s="4">
        <v>57</v>
      </c>
      <c r="B59" s="114">
        <v>26.65</v>
      </c>
      <c r="C59" s="101">
        <f t="shared" si="0"/>
        <v>0.59222222222222221</v>
      </c>
      <c r="D59" s="4" t="s">
        <v>271</v>
      </c>
      <c r="F59" s="4" t="s">
        <v>271</v>
      </c>
      <c r="G59" s="106">
        <f t="shared" si="1"/>
        <v>0.51644444444444437</v>
      </c>
      <c r="H59" s="115">
        <v>23.24</v>
      </c>
      <c r="I59" s="117">
        <v>2721</v>
      </c>
      <c r="AB59" s="4">
        <v>57</v>
      </c>
      <c r="AC59" s="4">
        <v>1341</v>
      </c>
      <c r="AD59" s="109">
        <v>20.32</v>
      </c>
      <c r="AE59" s="4" t="s">
        <v>330</v>
      </c>
      <c r="AG59" s="4">
        <v>57</v>
      </c>
      <c r="AH59" s="4">
        <v>38</v>
      </c>
      <c r="AI59" s="109">
        <v>24.48</v>
      </c>
      <c r="AJ59" s="110">
        <v>57</v>
      </c>
      <c r="AK59" s="111" t="s">
        <v>396</v>
      </c>
      <c r="AL59" s="111">
        <v>38</v>
      </c>
      <c r="AM59" s="111" t="s">
        <v>151</v>
      </c>
      <c r="AN59" s="112">
        <v>24.48</v>
      </c>
      <c r="AO59" s="112">
        <f t="shared" si="8"/>
        <v>54.400000000000006</v>
      </c>
      <c r="AP59" s="111" t="s">
        <v>275</v>
      </c>
    </row>
    <row r="60" spans="1:42" ht="15.75" customHeight="1" x14ac:dyDescent="0.3">
      <c r="A60" s="4">
        <v>58</v>
      </c>
      <c r="B60" s="114">
        <v>26.6</v>
      </c>
      <c r="C60" s="101">
        <f t="shared" si="0"/>
        <v>0.59111111111111114</v>
      </c>
      <c r="D60" s="4" t="s">
        <v>271</v>
      </c>
      <c r="F60" s="4" t="s">
        <v>271</v>
      </c>
      <c r="G60" s="106">
        <f t="shared" si="1"/>
        <v>0.51644444444444437</v>
      </c>
      <c r="H60" s="107">
        <v>23.24</v>
      </c>
      <c r="I60" s="14">
        <v>1146</v>
      </c>
      <c r="AB60" s="4">
        <v>58</v>
      </c>
      <c r="AC60" s="4">
        <v>1884</v>
      </c>
      <c r="AD60" s="109">
        <v>27.13</v>
      </c>
      <c r="AE60" s="4" t="s">
        <v>397</v>
      </c>
      <c r="AG60" s="4">
        <v>58</v>
      </c>
      <c r="AH60" s="4">
        <v>54</v>
      </c>
      <c r="AI60" s="109">
        <v>24.64</v>
      </c>
      <c r="AJ60" s="110">
        <v>58</v>
      </c>
      <c r="AK60" s="111" t="s">
        <v>398</v>
      </c>
      <c r="AL60" s="111">
        <v>54</v>
      </c>
      <c r="AM60" s="111" t="s">
        <v>399</v>
      </c>
      <c r="AN60" s="112">
        <v>24.64</v>
      </c>
      <c r="AO60" s="112">
        <f t="shared" si="8"/>
        <v>54.75555555555556</v>
      </c>
      <c r="AP60" s="111" t="s">
        <v>275</v>
      </c>
    </row>
    <row r="61" spans="1:42" ht="15.75" customHeight="1" x14ac:dyDescent="0.3">
      <c r="A61" s="4">
        <v>59</v>
      </c>
      <c r="B61" s="114">
        <v>26.42</v>
      </c>
      <c r="C61" s="101">
        <f t="shared" si="0"/>
        <v>0.58711111111111114</v>
      </c>
      <c r="D61" s="4" t="s">
        <v>271</v>
      </c>
      <c r="F61" s="4" t="s">
        <v>271</v>
      </c>
      <c r="G61" s="106">
        <f t="shared" si="1"/>
        <v>0.51688888888888895</v>
      </c>
      <c r="H61" s="107">
        <v>23.26</v>
      </c>
      <c r="I61" s="13">
        <v>1246</v>
      </c>
      <c r="AB61" s="4">
        <v>59</v>
      </c>
      <c r="AC61" s="4">
        <v>1337</v>
      </c>
      <c r="AD61" s="109">
        <v>26.07</v>
      </c>
      <c r="AE61" s="4" t="s">
        <v>400</v>
      </c>
      <c r="AG61" s="4">
        <v>59</v>
      </c>
      <c r="AH61" s="4">
        <v>62</v>
      </c>
      <c r="AI61" s="109">
        <v>24.65</v>
      </c>
      <c r="AJ61" s="110">
        <v>59</v>
      </c>
      <c r="AK61" s="111" t="s">
        <v>401</v>
      </c>
      <c r="AL61" s="111">
        <v>62</v>
      </c>
      <c r="AM61" s="111" t="s">
        <v>138</v>
      </c>
      <c r="AN61" s="112">
        <v>24.65</v>
      </c>
      <c r="AO61" s="112">
        <f t="shared" si="8"/>
        <v>54.777777777777771</v>
      </c>
      <c r="AP61" s="111" t="s">
        <v>275</v>
      </c>
    </row>
    <row r="62" spans="1:42" ht="15.75" customHeight="1" x14ac:dyDescent="0.3">
      <c r="A62" s="4">
        <v>60</v>
      </c>
      <c r="B62" s="114">
        <v>26.4</v>
      </c>
      <c r="C62" s="101">
        <f t="shared" si="0"/>
        <v>0.58666666666666667</v>
      </c>
      <c r="D62" s="4" t="s">
        <v>271</v>
      </c>
      <c r="F62" s="4" t="s">
        <v>271</v>
      </c>
      <c r="G62" s="106">
        <f t="shared" si="1"/>
        <v>0.51866666666666661</v>
      </c>
      <c r="H62" s="107">
        <v>23.34</v>
      </c>
      <c r="I62" s="13">
        <v>1262</v>
      </c>
      <c r="AB62" s="4">
        <v>60</v>
      </c>
      <c r="AC62" s="4">
        <v>1733</v>
      </c>
      <c r="AD62" s="109">
        <v>23.01</v>
      </c>
      <c r="AE62" s="4" t="s">
        <v>372</v>
      </c>
      <c r="AG62" s="4">
        <v>60</v>
      </c>
      <c r="AH62" s="4">
        <v>69</v>
      </c>
      <c r="AI62" s="109">
        <v>24.75</v>
      </c>
      <c r="AJ62" s="110">
        <v>60</v>
      </c>
      <c r="AK62" s="111" t="s">
        <v>402</v>
      </c>
      <c r="AL62" s="111">
        <v>69</v>
      </c>
      <c r="AM62" s="111" t="s">
        <v>138</v>
      </c>
      <c r="AN62" s="112">
        <v>24.75</v>
      </c>
      <c r="AO62" s="112">
        <f t="shared" si="8"/>
        <v>55.000000000000007</v>
      </c>
      <c r="AP62" s="111" t="s">
        <v>275</v>
      </c>
    </row>
    <row r="63" spans="1:42" ht="15.75" customHeight="1" x14ac:dyDescent="0.3">
      <c r="A63" s="4">
        <v>61</v>
      </c>
      <c r="B63" s="114">
        <v>26.37</v>
      </c>
      <c r="C63" s="101">
        <f t="shared" si="0"/>
        <v>0.58600000000000008</v>
      </c>
      <c r="D63" s="4" t="s">
        <v>271</v>
      </c>
      <c r="F63" s="4" t="s">
        <v>271</v>
      </c>
      <c r="G63" s="106">
        <f t="shared" si="1"/>
        <v>0.51933333333333331</v>
      </c>
      <c r="H63" s="107">
        <v>23.37</v>
      </c>
      <c r="I63" s="14">
        <v>1211</v>
      </c>
      <c r="AB63" s="4">
        <v>61</v>
      </c>
      <c r="AC63" s="4">
        <v>1347</v>
      </c>
      <c r="AD63" s="109">
        <v>26.61</v>
      </c>
      <c r="AE63" s="4" t="s">
        <v>403</v>
      </c>
      <c r="AG63" s="4">
        <v>61</v>
      </c>
      <c r="AH63" s="4">
        <v>63</v>
      </c>
      <c r="AI63" s="109">
        <v>24.78</v>
      </c>
      <c r="AJ63" s="110">
        <v>61</v>
      </c>
      <c r="AK63" s="111" t="s">
        <v>404</v>
      </c>
      <c r="AL63" s="111">
        <v>63</v>
      </c>
      <c r="AM63" s="111" t="s">
        <v>314</v>
      </c>
      <c r="AN63" s="112">
        <v>24.78</v>
      </c>
      <c r="AO63" s="112">
        <f t="shared" si="8"/>
        <v>55.066666666666663</v>
      </c>
      <c r="AP63" s="111" t="s">
        <v>275</v>
      </c>
    </row>
    <row r="64" spans="1:42" ht="15.75" customHeight="1" x14ac:dyDescent="0.3">
      <c r="A64" s="4">
        <v>62</v>
      </c>
      <c r="B64" s="114">
        <v>26.2</v>
      </c>
      <c r="C64" s="101">
        <f t="shared" si="0"/>
        <v>0.5822222222222222</v>
      </c>
      <c r="D64" s="4" t="s">
        <v>271</v>
      </c>
      <c r="F64" s="4" t="s">
        <v>271</v>
      </c>
      <c r="G64" s="106">
        <f t="shared" si="1"/>
        <v>0.52088888888888896</v>
      </c>
      <c r="H64" s="107">
        <v>23.44</v>
      </c>
      <c r="I64" s="13">
        <v>1090</v>
      </c>
      <c r="AB64" s="4">
        <v>62</v>
      </c>
      <c r="AC64" s="4">
        <v>1144</v>
      </c>
      <c r="AD64" s="109">
        <v>25.16</v>
      </c>
      <c r="AE64" s="4" t="s">
        <v>405</v>
      </c>
      <c r="AG64" s="4">
        <v>62</v>
      </c>
      <c r="AH64" s="4">
        <v>1144</v>
      </c>
      <c r="AI64" s="109">
        <v>25.16</v>
      </c>
      <c r="AJ64" s="110">
        <v>62</v>
      </c>
      <c r="AK64" s="111" t="s">
        <v>405</v>
      </c>
      <c r="AL64" s="111">
        <v>1144</v>
      </c>
      <c r="AM64" s="111" t="s">
        <v>373</v>
      </c>
      <c r="AN64" s="112">
        <v>25.16</v>
      </c>
      <c r="AO64" s="112">
        <f t="shared" si="8"/>
        <v>55.911111111111111</v>
      </c>
      <c r="AP64" s="111" t="s">
        <v>275</v>
      </c>
    </row>
    <row r="65" spans="1:42" ht="15.75" customHeight="1" x14ac:dyDescent="0.3">
      <c r="A65" s="4">
        <v>63</v>
      </c>
      <c r="B65" s="114">
        <v>26.12</v>
      </c>
      <c r="C65" s="101">
        <f t="shared" si="0"/>
        <v>0.58044444444444443</v>
      </c>
      <c r="D65" s="4" t="s">
        <v>271</v>
      </c>
      <c r="F65" s="4" t="s">
        <v>271</v>
      </c>
      <c r="G65" s="106">
        <f t="shared" si="1"/>
        <v>0.52377777777777779</v>
      </c>
      <c r="H65" s="107">
        <v>23.57</v>
      </c>
      <c r="I65" s="14">
        <v>69</v>
      </c>
      <c r="AB65" s="4">
        <v>63</v>
      </c>
      <c r="AC65" s="4">
        <v>2522</v>
      </c>
      <c r="AD65" s="109">
        <v>34.270000000000003</v>
      </c>
      <c r="AE65" s="4" t="s">
        <v>406</v>
      </c>
      <c r="AG65" s="4">
        <v>63</v>
      </c>
      <c r="AH65" s="4">
        <v>215</v>
      </c>
      <c r="AI65" s="109">
        <v>25.35</v>
      </c>
      <c r="AJ65" s="110">
        <v>63</v>
      </c>
      <c r="AK65" s="111" t="s">
        <v>407</v>
      </c>
      <c r="AL65" s="111">
        <v>215</v>
      </c>
      <c r="AM65" s="111" t="s">
        <v>408</v>
      </c>
      <c r="AN65" s="112">
        <v>25.35</v>
      </c>
      <c r="AO65" s="112">
        <f t="shared" si="8"/>
        <v>56.333333333333336</v>
      </c>
      <c r="AP65" s="111" t="s">
        <v>275</v>
      </c>
    </row>
    <row r="66" spans="1:42" ht="15.75" customHeight="1" x14ac:dyDescent="0.3">
      <c r="A66" s="4">
        <v>64</v>
      </c>
      <c r="B66" s="114">
        <v>26.08</v>
      </c>
      <c r="C66" s="101">
        <f t="shared" si="0"/>
        <v>0.57955555555555549</v>
      </c>
      <c r="D66" s="4" t="s">
        <v>271</v>
      </c>
      <c r="F66" s="4" t="s">
        <v>271</v>
      </c>
      <c r="G66" s="106">
        <f t="shared" si="1"/>
        <v>0.52511111111111108</v>
      </c>
      <c r="H66" s="107">
        <v>23.63</v>
      </c>
      <c r="I66" s="13">
        <v>463</v>
      </c>
      <c r="AB66" s="4">
        <v>64</v>
      </c>
      <c r="AC66" s="4">
        <v>1229</v>
      </c>
      <c r="AD66" s="109">
        <v>32.15</v>
      </c>
      <c r="AE66" s="4" t="s">
        <v>409</v>
      </c>
      <c r="AG66" s="4">
        <v>64</v>
      </c>
      <c r="AH66" s="4">
        <v>1132</v>
      </c>
      <c r="AI66" s="109">
        <v>25.4</v>
      </c>
      <c r="AJ66" s="110">
        <v>64</v>
      </c>
      <c r="AK66" s="111" t="s">
        <v>366</v>
      </c>
      <c r="AL66" s="111">
        <v>1132</v>
      </c>
      <c r="AM66" s="111" t="s">
        <v>324</v>
      </c>
      <c r="AN66" s="112">
        <v>25.4</v>
      </c>
      <c r="AO66" s="112">
        <f t="shared" si="8"/>
        <v>56.444444444444443</v>
      </c>
      <c r="AP66" s="111" t="s">
        <v>275</v>
      </c>
    </row>
    <row r="67" spans="1:42" ht="15.75" customHeight="1" x14ac:dyDescent="0.3">
      <c r="A67" s="4">
        <v>65</v>
      </c>
      <c r="B67" s="114">
        <v>26.07</v>
      </c>
      <c r="C67" s="101">
        <f t="shared" si="0"/>
        <v>0.57933333333333337</v>
      </c>
      <c r="D67" s="4" t="s">
        <v>271</v>
      </c>
      <c r="F67" s="4" t="s">
        <v>271</v>
      </c>
      <c r="G67" s="106">
        <f t="shared" si="1"/>
        <v>0.52555555555555555</v>
      </c>
      <c r="H67" s="107">
        <v>23.65</v>
      </c>
      <c r="I67" s="13">
        <v>1074</v>
      </c>
      <c r="AB67" s="4">
        <v>65</v>
      </c>
      <c r="AC67" s="4">
        <v>1475</v>
      </c>
      <c r="AD67" s="109">
        <v>16.59</v>
      </c>
      <c r="AE67" s="4" t="s">
        <v>306</v>
      </c>
      <c r="AG67" s="4">
        <v>65</v>
      </c>
      <c r="AH67" s="4">
        <v>445</v>
      </c>
      <c r="AI67" s="109">
        <v>25.55</v>
      </c>
      <c r="AJ67" s="110">
        <v>65</v>
      </c>
      <c r="AK67" s="111" t="s">
        <v>410</v>
      </c>
      <c r="AL67" s="111">
        <v>445</v>
      </c>
      <c r="AM67" s="111" t="s">
        <v>411</v>
      </c>
      <c r="AN67" s="112">
        <v>25.55</v>
      </c>
      <c r="AO67" s="112">
        <f t="shared" si="8"/>
        <v>56.777777777777786</v>
      </c>
      <c r="AP67" s="111" t="s">
        <v>275</v>
      </c>
    </row>
    <row r="68" spans="1:42" ht="15.75" customHeight="1" x14ac:dyDescent="0.3">
      <c r="A68" s="4">
        <v>66</v>
      </c>
      <c r="B68" s="114">
        <v>25.99</v>
      </c>
      <c r="C68" s="101">
        <f t="shared" si="0"/>
        <v>0.57755555555555549</v>
      </c>
      <c r="D68" s="4" t="s">
        <v>271</v>
      </c>
      <c r="F68" s="4" t="s">
        <v>271</v>
      </c>
      <c r="G68" s="106">
        <f t="shared" si="1"/>
        <v>0.52733333333333332</v>
      </c>
      <c r="H68" s="115">
        <v>23.73</v>
      </c>
      <c r="I68" s="116">
        <v>1046</v>
      </c>
      <c r="AB68" s="4">
        <v>66</v>
      </c>
      <c r="AC68" s="4">
        <v>1292</v>
      </c>
      <c r="AD68" s="109">
        <v>27.83</v>
      </c>
      <c r="AE68" s="4" t="s">
        <v>412</v>
      </c>
      <c r="AG68" s="4">
        <v>66</v>
      </c>
      <c r="AH68" s="4">
        <v>789</v>
      </c>
      <c r="AI68" s="109">
        <v>25.65</v>
      </c>
      <c r="AJ68" s="110">
        <v>66</v>
      </c>
      <c r="AK68" s="111" t="s">
        <v>413</v>
      </c>
      <c r="AL68" s="111">
        <v>789</v>
      </c>
      <c r="AM68" s="111" t="s">
        <v>408</v>
      </c>
      <c r="AN68" s="112">
        <v>25.65</v>
      </c>
      <c r="AO68" s="112">
        <f t="shared" si="8"/>
        <v>56.999999999999993</v>
      </c>
      <c r="AP68" s="111" t="s">
        <v>275</v>
      </c>
    </row>
    <row r="69" spans="1:42" ht="15.75" customHeight="1" x14ac:dyDescent="0.3">
      <c r="A69" s="4">
        <v>67</v>
      </c>
      <c r="B69" s="114">
        <v>25.98</v>
      </c>
      <c r="C69" s="101">
        <f t="shared" si="0"/>
        <v>0.57733333333333337</v>
      </c>
      <c r="D69" s="4" t="s">
        <v>271</v>
      </c>
      <c r="F69" s="4" t="s">
        <v>271</v>
      </c>
      <c r="G69" s="106">
        <f t="shared" si="1"/>
        <v>0.52822222222222226</v>
      </c>
      <c r="H69" s="107">
        <v>23.77</v>
      </c>
      <c r="I69" s="13">
        <v>1424</v>
      </c>
      <c r="AB69" s="4">
        <v>67</v>
      </c>
      <c r="AC69" s="4">
        <v>1274</v>
      </c>
      <c r="AD69" s="109">
        <v>30.14</v>
      </c>
      <c r="AE69" s="4" t="s">
        <v>414</v>
      </c>
      <c r="AG69" s="4">
        <v>67</v>
      </c>
      <c r="AH69" s="4">
        <v>1096</v>
      </c>
      <c r="AI69" s="109">
        <v>25.69</v>
      </c>
      <c r="AJ69" s="110">
        <v>67</v>
      </c>
      <c r="AK69" s="111" t="s">
        <v>285</v>
      </c>
      <c r="AL69" s="111">
        <v>1096</v>
      </c>
      <c r="AM69" s="111" t="s">
        <v>348</v>
      </c>
      <c r="AN69" s="112">
        <v>25.69</v>
      </c>
      <c r="AO69" s="112">
        <f t="shared" si="8"/>
        <v>57.088888888888889</v>
      </c>
      <c r="AP69" s="111" t="s">
        <v>275</v>
      </c>
    </row>
    <row r="70" spans="1:42" ht="15.75" customHeight="1" x14ac:dyDescent="0.3">
      <c r="A70" s="4">
        <v>68</v>
      </c>
      <c r="B70" s="114">
        <v>25.75</v>
      </c>
      <c r="C70" s="101">
        <f t="shared" si="0"/>
        <v>0.57222222222222219</v>
      </c>
      <c r="D70" s="4" t="s">
        <v>271</v>
      </c>
      <c r="F70" s="4" t="s">
        <v>271</v>
      </c>
      <c r="G70" s="106">
        <f t="shared" si="1"/>
        <v>0.52866666666666662</v>
      </c>
      <c r="H70" s="107">
        <v>23.79</v>
      </c>
      <c r="I70" s="14">
        <v>332</v>
      </c>
      <c r="AB70" s="4">
        <v>68</v>
      </c>
      <c r="AC70" s="4">
        <v>1779</v>
      </c>
      <c r="AD70" s="109">
        <v>14.54</v>
      </c>
      <c r="AE70" s="4" t="s">
        <v>298</v>
      </c>
      <c r="AG70" s="4">
        <v>68</v>
      </c>
      <c r="AH70" s="4">
        <v>1926</v>
      </c>
      <c r="AI70" s="109">
        <v>25.99</v>
      </c>
      <c r="AJ70" s="110">
        <v>68</v>
      </c>
      <c r="AK70" s="111" t="s">
        <v>415</v>
      </c>
      <c r="AL70" s="111">
        <v>1926</v>
      </c>
      <c r="AM70" s="111" t="s">
        <v>416</v>
      </c>
      <c r="AN70" s="112">
        <v>25.99</v>
      </c>
      <c r="AO70" s="112">
        <f t="shared" si="8"/>
        <v>57.755555555555546</v>
      </c>
      <c r="AP70" s="111" t="s">
        <v>275</v>
      </c>
    </row>
    <row r="71" spans="1:42" ht="15.75" customHeight="1" x14ac:dyDescent="0.3">
      <c r="A71" s="4">
        <v>69</v>
      </c>
      <c r="B71" s="114">
        <v>25.69</v>
      </c>
      <c r="C71" s="101">
        <f t="shared" si="0"/>
        <v>0.57088888888888889</v>
      </c>
      <c r="D71" s="4" t="s">
        <v>271</v>
      </c>
      <c r="F71" s="4" t="s">
        <v>271</v>
      </c>
      <c r="G71" s="106">
        <f t="shared" si="1"/>
        <v>0.5304444444444445</v>
      </c>
      <c r="H71" s="107">
        <v>23.87</v>
      </c>
      <c r="I71" s="13">
        <v>789</v>
      </c>
      <c r="AB71" s="4">
        <v>69</v>
      </c>
      <c r="AC71" s="4">
        <v>1661</v>
      </c>
      <c r="AD71" s="109">
        <v>31.54</v>
      </c>
      <c r="AE71" s="4" t="s">
        <v>417</v>
      </c>
      <c r="AG71" s="4">
        <v>69</v>
      </c>
      <c r="AH71" s="4">
        <v>1185</v>
      </c>
      <c r="AI71" s="109">
        <v>26</v>
      </c>
      <c r="AJ71" s="110">
        <v>69</v>
      </c>
      <c r="AK71" s="111" t="s">
        <v>418</v>
      </c>
      <c r="AL71" s="111">
        <v>1185</v>
      </c>
      <c r="AM71" s="111" t="s">
        <v>230</v>
      </c>
      <c r="AN71" s="112">
        <v>26</v>
      </c>
      <c r="AO71" s="112">
        <f t="shared" si="8"/>
        <v>57.777777777777771</v>
      </c>
      <c r="AP71" s="111" t="s">
        <v>275</v>
      </c>
    </row>
    <row r="72" spans="1:42" ht="15.75" customHeight="1" x14ac:dyDescent="0.3">
      <c r="A72" s="4">
        <v>70</v>
      </c>
      <c r="B72" s="114">
        <v>25.55</v>
      </c>
      <c r="C72" s="101">
        <f t="shared" si="0"/>
        <v>0.56777777777777783</v>
      </c>
      <c r="D72" s="4" t="s">
        <v>271</v>
      </c>
      <c r="F72" s="4" t="s">
        <v>271</v>
      </c>
      <c r="G72" s="106">
        <f t="shared" si="1"/>
        <v>0.5324444444444445</v>
      </c>
      <c r="H72" s="107">
        <v>23.96</v>
      </c>
      <c r="I72" s="14">
        <v>1378</v>
      </c>
      <c r="AB72" s="4">
        <v>70</v>
      </c>
      <c r="AC72" s="4">
        <v>1044</v>
      </c>
      <c r="AD72" s="109">
        <v>20.72</v>
      </c>
      <c r="AE72" s="4" t="s">
        <v>335</v>
      </c>
      <c r="AG72" s="4">
        <v>70</v>
      </c>
      <c r="AH72" s="4">
        <v>1337</v>
      </c>
      <c r="AI72" s="109">
        <v>26.07</v>
      </c>
      <c r="AJ72" s="110">
        <v>70</v>
      </c>
      <c r="AK72" s="111" t="s">
        <v>400</v>
      </c>
      <c r="AL72" s="111">
        <v>1337</v>
      </c>
      <c r="AM72" s="111" t="s">
        <v>319</v>
      </c>
      <c r="AN72" s="112">
        <v>26.07</v>
      </c>
      <c r="AO72" s="112">
        <f t="shared" si="8"/>
        <v>57.933333333333337</v>
      </c>
      <c r="AP72" s="111" t="s">
        <v>275</v>
      </c>
    </row>
    <row r="73" spans="1:42" ht="15.75" customHeight="1" x14ac:dyDescent="0.3">
      <c r="A73" s="4">
        <v>71</v>
      </c>
      <c r="B73" s="114">
        <v>25.35</v>
      </c>
      <c r="C73" s="101">
        <f t="shared" si="0"/>
        <v>0.56333333333333335</v>
      </c>
      <c r="D73" s="4" t="s">
        <v>271</v>
      </c>
      <c r="F73" s="4" t="s">
        <v>271</v>
      </c>
      <c r="G73" s="106">
        <f t="shared" si="1"/>
        <v>0.53266666666666662</v>
      </c>
      <c r="H73" s="107">
        <v>23.97</v>
      </c>
      <c r="I73" s="14">
        <v>457</v>
      </c>
      <c r="AB73" s="4">
        <v>71</v>
      </c>
      <c r="AC73" s="4">
        <v>1185</v>
      </c>
      <c r="AD73" s="109">
        <v>26</v>
      </c>
      <c r="AE73" s="4" t="s">
        <v>418</v>
      </c>
      <c r="AG73" s="4">
        <v>71</v>
      </c>
      <c r="AH73" s="4">
        <v>309</v>
      </c>
      <c r="AI73" s="109">
        <v>26.08</v>
      </c>
      <c r="AJ73" s="110">
        <v>71</v>
      </c>
      <c r="AK73" s="111" t="s">
        <v>419</v>
      </c>
      <c r="AL73" s="111">
        <v>309</v>
      </c>
      <c r="AM73" s="111" t="s">
        <v>314</v>
      </c>
      <c r="AN73" s="112">
        <v>26.08</v>
      </c>
      <c r="AO73" s="112">
        <f t="shared" si="8"/>
        <v>57.955555555555549</v>
      </c>
      <c r="AP73" s="111" t="s">
        <v>275</v>
      </c>
    </row>
    <row r="74" spans="1:42" ht="15.75" customHeight="1" x14ac:dyDescent="0.3">
      <c r="A74" s="4">
        <v>72</v>
      </c>
      <c r="B74" s="114">
        <v>25.32</v>
      </c>
      <c r="C74" s="101">
        <f t="shared" si="0"/>
        <v>0.56266666666666665</v>
      </c>
      <c r="D74" s="4" t="s">
        <v>271</v>
      </c>
      <c r="F74" s="4" t="s">
        <v>271</v>
      </c>
      <c r="G74" s="106">
        <f t="shared" si="1"/>
        <v>0.5344444444444445</v>
      </c>
      <c r="H74" s="107">
        <v>24.05</v>
      </c>
      <c r="I74" s="14">
        <v>98</v>
      </c>
      <c r="AB74" s="4">
        <v>72</v>
      </c>
      <c r="AC74" s="4">
        <v>1120</v>
      </c>
      <c r="AD74" s="109">
        <v>12.44</v>
      </c>
      <c r="AE74" s="4" t="s">
        <v>286</v>
      </c>
      <c r="AG74" s="4">
        <v>72</v>
      </c>
      <c r="AH74" s="4">
        <v>876</v>
      </c>
      <c r="AI74" s="109">
        <v>26.13</v>
      </c>
      <c r="AJ74" s="110">
        <v>72</v>
      </c>
      <c r="AK74" s="111" t="s">
        <v>420</v>
      </c>
      <c r="AL74" s="111">
        <v>876</v>
      </c>
      <c r="AM74" s="111" t="s">
        <v>421</v>
      </c>
      <c r="AN74" s="112">
        <v>26.13</v>
      </c>
      <c r="AO74" s="112">
        <f t="shared" si="8"/>
        <v>58.066666666666663</v>
      </c>
      <c r="AP74" s="111" t="s">
        <v>275</v>
      </c>
    </row>
    <row r="75" spans="1:42" ht="15.75" customHeight="1" x14ac:dyDescent="0.3">
      <c r="A75" s="4">
        <v>73</v>
      </c>
      <c r="B75" s="105">
        <v>25.3</v>
      </c>
      <c r="C75" s="101">
        <f t="shared" si="0"/>
        <v>0.56222222222222229</v>
      </c>
      <c r="D75" s="4" t="s">
        <v>271</v>
      </c>
      <c r="F75" s="4" t="s">
        <v>271</v>
      </c>
      <c r="G75" s="106">
        <f t="shared" si="1"/>
        <v>0.54288888888888887</v>
      </c>
      <c r="H75" s="115">
        <v>24.43</v>
      </c>
      <c r="I75" s="116">
        <v>1736</v>
      </c>
      <c r="AB75" s="4">
        <v>73</v>
      </c>
      <c r="AC75" s="4">
        <v>1476</v>
      </c>
      <c r="AD75" s="109">
        <v>12.06</v>
      </c>
      <c r="AE75" s="4" t="s">
        <v>283</v>
      </c>
      <c r="AG75" s="4">
        <v>73</v>
      </c>
      <c r="AH75" s="4">
        <v>230</v>
      </c>
      <c r="AI75" s="109">
        <v>26.37</v>
      </c>
      <c r="AJ75" s="110">
        <v>73</v>
      </c>
      <c r="AK75" s="111" t="s">
        <v>422</v>
      </c>
      <c r="AL75" s="111">
        <v>230</v>
      </c>
      <c r="AM75" s="111" t="s">
        <v>399</v>
      </c>
      <c r="AN75" s="112">
        <v>26.37</v>
      </c>
      <c r="AO75" s="112">
        <f t="shared" si="8"/>
        <v>58.600000000000009</v>
      </c>
      <c r="AP75" s="111" t="s">
        <v>275</v>
      </c>
    </row>
    <row r="76" spans="1:42" ht="15.75" customHeight="1" x14ac:dyDescent="0.3">
      <c r="A76" s="4">
        <v>74</v>
      </c>
      <c r="B76" s="114">
        <v>25.04</v>
      </c>
      <c r="C76" s="101">
        <f t="shared" si="0"/>
        <v>0.55644444444444441</v>
      </c>
      <c r="D76" s="4" t="s">
        <v>271</v>
      </c>
      <c r="F76" s="4" t="s">
        <v>271</v>
      </c>
      <c r="G76" s="106">
        <f t="shared" si="1"/>
        <v>0.54400000000000004</v>
      </c>
      <c r="H76" s="107">
        <v>24.48</v>
      </c>
      <c r="I76" s="14">
        <v>38</v>
      </c>
      <c r="AB76" s="4">
        <v>74</v>
      </c>
      <c r="AC76" s="4">
        <v>1054</v>
      </c>
      <c r="AD76" s="109">
        <v>13.04</v>
      </c>
      <c r="AE76" s="4" t="s">
        <v>288</v>
      </c>
      <c r="AG76" s="4">
        <v>74</v>
      </c>
      <c r="AH76" s="4">
        <v>1347</v>
      </c>
      <c r="AI76" s="109">
        <v>26.61</v>
      </c>
      <c r="AJ76" s="110">
        <v>74</v>
      </c>
      <c r="AK76" s="111" t="s">
        <v>403</v>
      </c>
      <c r="AL76" s="111">
        <v>1347</v>
      </c>
      <c r="AM76" s="111" t="s">
        <v>373</v>
      </c>
      <c r="AN76" s="112">
        <v>26.61</v>
      </c>
      <c r="AO76" s="112">
        <f t="shared" si="8"/>
        <v>59.133333333333326</v>
      </c>
      <c r="AP76" s="111" t="s">
        <v>275</v>
      </c>
    </row>
    <row r="77" spans="1:42" ht="15.75" customHeight="1" x14ac:dyDescent="0.3">
      <c r="A77" s="4">
        <v>75</v>
      </c>
      <c r="B77" s="114">
        <v>25.02</v>
      </c>
      <c r="C77" s="101">
        <f t="shared" si="0"/>
        <v>0.55599999999999994</v>
      </c>
      <c r="D77" s="4" t="s">
        <v>271</v>
      </c>
      <c r="F77" s="4" t="s">
        <v>271</v>
      </c>
      <c r="G77" s="106">
        <f t="shared" si="1"/>
        <v>0.5444444444444444</v>
      </c>
      <c r="H77" s="115">
        <v>24.5</v>
      </c>
      <c r="I77" s="117">
        <v>1229</v>
      </c>
      <c r="AB77" s="4">
        <v>75</v>
      </c>
      <c r="AC77" s="4">
        <v>1430</v>
      </c>
      <c r="AD77" s="109">
        <v>19.53</v>
      </c>
      <c r="AE77" s="4" t="s">
        <v>316</v>
      </c>
      <c r="AG77" s="4">
        <v>75</v>
      </c>
      <c r="AH77" s="4">
        <v>56</v>
      </c>
      <c r="AI77" s="109">
        <v>26.65</v>
      </c>
      <c r="AJ77" s="110">
        <v>75</v>
      </c>
      <c r="AK77" s="111" t="s">
        <v>423</v>
      </c>
      <c r="AL77" s="111">
        <v>56</v>
      </c>
      <c r="AM77" s="111" t="s">
        <v>138</v>
      </c>
      <c r="AN77" s="112">
        <v>26.65</v>
      </c>
      <c r="AO77" s="112">
        <f t="shared" si="8"/>
        <v>59.222222222222221</v>
      </c>
      <c r="AP77" s="111" t="s">
        <v>275</v>
      </c>
    </row>
    <row r="78" spans="1:42" ht="15.75" customHeight="1" x14ac:dyDescent="0.3">
      <c r="A78" s="4">
        <v>76</v>
      </c>
      <c r="B78" s="114">
        <v>24.98</v>
      </c>
      <c r="C78" s="101">
        <f t="shared" si="0"/>
        <v>0.55511111111111111</v>
      </c>
      <c r="D78" s="4" t="s">
        <v>271</v>
      </c>
      <c r="F78" s="4" t="s">
        <v>271</v>
      </c>
      <c r="G78" s="106">
        <f t="shared" si="1"/>
        <v>0.54488888888888887</v>
      </c>
      <c r="H78" s="118">
        <v>24.52</v>
      </c>
      <c r="I78" s="13">
        <v>80</v>
      </c>
      <c r="AB78" s="4">
        <v>76</v>
      </c>
      <c r="AC78" s="4">
        <v>1085</v>
      </c>
      <c r="AD78" s="109">
        <v>27.18</v>
      </c>
      <c r="AE78" s="4" t="s">
        <v>424</v>
      </c>
      <c r="AG78" s="4">
        <v>76</v>
      </c>
      <c r="AH78" s="4">
        <v>190</v>
      </c>
      <c r="AI78" s="109">
        <v>26.75</v>
      </c>
      <c r="AJ78" s="110">
        <v>76</v>
      </c>
      <c r="AK78" s="111" t="s">
        <v>425</v>
      </c>
      <c r="AL78" s="111">
        <v>190</v>
      </c>
      <c r="AM78" s="111" t="s">
        <v>215</v>
      </c>
      <c r="AN78" s="112">
        <v>26.75</v>
      </c>
      <c r="AO78" s="112">
        <f t="shared" si="8"/>
        <v>59.444444444444443</v>
      </c>
      <c r="AP78" s="111" t="s">
        <v>275</v>
      </c>
    </row>
    <row r="79" spans="1:42" ht="15.75" customHeight="1" x14ac:dyDescent="0.3">
      <c r="A79" s="4">
        <v>77</v>
      </c>
      <c r="B79" s="114">
        <v>24.92</v>
      </c>
      <c r="C79" s="101">
        <f t="shared" si="0"/>
        <v>0.55377777777777781</v>
      </c>
      <c r="D79" s="4" t="s">
        <v>271</v>
      </c>
      <c r="F79" s="4" t="s">
        <v>271</v>
      </c>
      <c r="G79" s="106">
        <f t="shared" si="1"/>
        <v>0.54755555555555557</v>
      </c>
      <c r="H79" s="107">
        <v>24.64</v>
      </c>
      <c r="I79" s="13">
        <v>54</v>
      </c>
      <c r="AB79" s="4">
        <v>77</v>
      </c>
      <c r="AC79" s="4">
        <v>1807</v>
      </c>
      <c r="AD79" s="109">
        <v>39.49</v>
      </c>
      <c r="AE79" s="4" t="s">
        <v>426</v>
      </c>
      <c r="AG79" s="4">
        <v>77</v>
      </c>
      <c r="AH79" s="4">
        <v>1884</v>
      </c>
      <c r="AI79" s="109">
        <v>27.13</v>
      </c>
      <c r="AJ79" s="110">
        <v>77</v>
      </c>
      <c r="AK79" s="111" t="s">
        <v>397</v>
      </c>
      <c r="AL79" s="111">
        <v>1884</v>
      </c>
      <c r="AM79" s="111" t="s">
        <v>319</v>
      </c>
      <c r="AN79" s="112">
        <v>27.13</v>
      </c>
      <c r="AO79" s="112">
        <f t="shared" si="8"/>
        <v>60.288888888888891</v>
      </c>
      <c r="AP79" s="111" t="s">
        <v>427</v>
      </c>
    </row>
    <row r="80" spans="1:42" ht="15.75" customHeight="1" x14ac:dyDescent="0.3">
      <c r="A80" s="4">
        <v>78</v>
      </c>
      <c r="B80" s="114">
        <v>24.78</v>
      </c>
      <c r="C80" s="101">
        <f t="shared" si="0"/>
        <v>0.55066666666666664</v>
      </c>
      <c r="D80" s="4" t="s">
        <v>271</v>
      </c>
      <c r="F80" s="4" t="s">
        <v>271</v>
      </c>
      <c r="G80" s="106">
        <f t="shared" si="1"/>
        <v>0.5477777777777777</v>
      </c>
      <c r="H80" s="107">
        <v>24.65</v>
      </c>
      <c r="I80" s="14">
        <v>62</v>
      </c>
      <c r="AB80" s="4">
        <v>78</v>
      </c>
      <c r="AC80" s="4">
        <v>1799</v>
      </c>
      <c r="AD80" s="109">
        <v>32</v>
      </c>
      <c r="AE80" s="4" t="s">
        <v>428</v>
      </c>
      <c r="AG80" s="4">
        <v>78</v>
      </c>
      <c r="AH80" s="4">
        <v>1085</v>
      </c>
      <c r="AI80" s="109">
        <v>27.18</v>
      </c>
      <c r="AJ80" s="110">
        <v>78</v>
      </c>
      <c r="AK80" s="111" t="s">
        <v>424</v>
      </c>
      <c r="AL80" s="111">
        <v>1085</v>
      </c>
      <c r="AM80" s="111" t="s">
        <v>429</v>
      </c>
      <c r="AN80" s="112">
        <v>27.18</v>
      </c>
      <c r="AO80" s="112">
        <f t="shared" si="8"/>
        <v>60.4</v>
      </c>
      <c r="AP80" s="111" t="s">
        <v>427</v>
      </c>
    </row>
    <row r="81" spans="1:42" ht="15.75" customHeight="1" x14ac:dyDescent="0.3">
      <c r="A81" s="4">
        <v>79</v>
      </c>
      <c r="B81" s="114">
        <v>24.75</v>
      </c>
      <c r="C81" s="101">
        <f t="shared" si="0"/>
        <v>0.55000000000000004</v>
      </c>
      <c r="D81" s="4" t="s">
        <v>271</v>
      </c>
      <c r="F81" s="4" t="s">
        <v>271</v>
      </c>
      <c r="G81" s="106">
        <f t="shared" si="1"/>
        <v>0.5484444444444444</v>
      </c>
      <c r="H81" s="115">
        <v>24.68</v>
      </c>
      <c r="I81" s="117">
        <v>971</v>
      </c>
      <c r="AB81" s="4">
        <v>79</v>
      </c>
      <c r="AC81" s="4">
        <v>2462</v>
      </c>
      <c r="AD81" s="109">
        <v>33.450000000000003</v>
      </c>
      <c r="AE81" s="4" t="s">
        <v>430</v>
      </c>
      <c r="AG81" s="4">
        <v>79</v>
      </c>
      <c r="AH81" s="4">
        <v>16</v>
      </c>
      <c r="AI81" s="109">
        <v>27.18</v>
      </c>
      <c r="AJ81" s="110">
        <v>79</v>
      </c>
      <c r="AK81" s="111" t="s">
        <v>431</v>
      </c>
      <c r="AL81" s="111">
        <v>16</v>
      </c>
      <c r="AM81" s="111" t="s">
        <v>110</v>
      </c>
      <c r="AN81" s="112">
        <v>27.18</v>
      </c>
      <c r="AO81" s="112">
        <f t="shared" si="8"/>
        <v>60.4</v>
      </c>
      <c r="AP81" s="111" t="s">
        <v>427</v>
      </c>
    </row>
    <row r="82" spans="1:42" ht="15.75" customHeight="1" x14ac:dyDescent="0.3">
      <c r="A82" s="4">
        <v>80</v>
      </c>
      <c r="B82" s="114">
        <v>24.68</v>
      </c>
      <c r="C82" s="101">
        <f t="shared" si="0"/>
        <v>0.5484444444444444</v>
      </c>
      <c r="D82" s="4" t="s">
        <v>271</v>
      </c>
      <c r="F82" s="4" t="s">
        <v>271</v>
      </c>
      <c r="G82" s="106">
        <f t="shared" si="1"/>
        <v>0.55000000000000004</v>
      </c>
      <c r="H82" s="107">
        <v>24.75</v>
      </c>
      <c r="I82" s="14">
        <v>69</v>
      </c>
      <c r="AB82" s="4">
        <v>80</v>
      </c>
      <c r="AC82" s="4">
        <v>1424</v>
      </c>
      <c r="AD82" s="109">
        <v>35.369999999999997</v>
      </c>
      <c r="AE82" s="4" t="s">
        <v>432</v>
      </c>
      <c r="AG82" s="4">
        <v>80</v>
      </c>
      <c r="AH82" s="4">
        <v>1045</v>
      </c>
      <c r="AI82" s="109">
        <v>27.22</v>
      </c>
      <c r="AJ82" s="110">
        <v>80</v>
      </c>
      <c r="AK82" s="111" t="s">
        <v>389</v>
      </c>
      <c r="AL82" s="111">
        <v>1045</v>
      </c>
      <c r="AM82" s="111" t="s">
        <v>376</v>
      </c>
      <c r="AN82" s="112">
        <v>27.22</v>
      </c>
      <c r="AO82" s="112">
        <f t="shared" si="8"/>
        <v>60.48888888888888</v>
      </c>
      <c r="AP82" s="111" t="s">
        <v>427</v>
      </c>
    </row>
    <row r="83" spans="1:42" ht="15.75" customHeight="1" x14ac:dyDescent="0.3">
      <c r="A83" s="4">
        <v>81</v>
      </c>
      <c r="B83" s="114">
        <v>24.65</v>
      </c>
      <c r="C83" s="101">
        <f t="shared" si="0"/>
        <v>0.5477777777777777</v>
      </c>
      <c r="D83" s="4" t="s">
        <v>271</v>
      </c>
      <c r="F83" s="4" t="s">
        <v>271</v>
      </c>
      <c r="G83" s="106">
        <f t="shared" si="1"/>
        <v>0.55066666666666664</v>
      </c>
      <c r="H83" s="107">
        <v>24.78</v>
      </c>
      <c r="I83" s="13">
        <v>63</v>
      </c>
      <c r="AB83" s="4">
        <v>81</v>
      </c>
      <c r="AC83" s="4">
        <v>156</v>
      </c>
      <c r="AD83" s="109">
        <v>29.92</v>
      </c>
      <c r="AE83" s="4" t="s">
        <v>433</v>
      </c>
      <c r="AG83" s="4">
        <v>81</v>
      </c>
      <c r="AH83" s="4">
        <v>1074</v>
      </c>
      <c r="AI83" s="109">
        <v>27.37</v>
      </c>
      <c r="AJ83" s="110">
        <v>81</v>
      </c>
      <c r="AK83" s="111" t="s">
        <v>334</v>
      </c>
      <c r="AL83" s="111">
        <v>1074</v>
      </c>
      <c r="AM83" s="111" t="s">
        <v>395</v>
      </c>
      <c r="AN83" s="112">
        <v>27.37</v>
      </c>
      <c r="AO83" s="112">
        <f t="shared" si="8"/>
        <v>60.822222222222223</v>
      </c>
      <c r="AP83" s="111" t="s">
        <v>427</v>
      </c>
    </row>
    <row r="84" spans="1:42" ht="15.75" customHeight="1" x14ac:dyDescent="0.3">
      <c r="A84" s="4">
        <v>82</v>
      </c>
      <c r="B84" s="114">
        <v>24.64</v>
      </c>
      <c r="C84" s="101">
        <f t="shared" si="0"/>
        <v>0.54755555555555557</v>
      </c>
      <c r="D84" s="4" t="s">
        <v>271</v>
      </c>
      <c r="F84" s="4" t="s">
        <v>271</v>
      </c>
      <c r="G84" s="106">
        <f t="shared" si="1"/>
        <v>0.55377777777777781</v>
      </c>
      <c r="H84" s="115">
        <v>24.92</v>
      </c>
      <c r="I84" s="116">
        <v>1239</v>
      </c>
      <c r="AB84" s="4">
        <v>82</v>
      </c>
      <c r="AC84" s="4">
        <v>1212</v>
      </c>
      <c r="AD84" s="109">
        <v>32.25</v>
      </c>
      <c r="AE84" s="4" t="s">
        <v>434</v>
      </c>
      <c r="AG84" s="4">
        <v>82</v>
      </c>
      <c r="AH84" s="4">
        <v>1182</v>
      </c>
      <c r="AI84" s="109">
        <v>27.41</v>
      </c>
      <c r="AJ84" s="110">
        <v>82</v>
      </c>
      <c r="AK84" s="111" t="s">
        <v>374</v>
      </c>
      <c r="AL84" s="111">
        <v>1182</v>
      </c>
      <c r="AM84" s="111" t="s">
        <v>435</v>
      </c>
      <c r="AN84" s="112">
        <v>27.41</v>
      </c>
      <c r="AO84" s="112">
        <f t="shared" si="8"/>
        <v>60.911111111111119</v>
      </c>
      <c r="AP84" s="111" t="s">
        <v>427</v>
      </c>
    </row>
    <row r="85" spans="1:42" ht="15.75" customHeight="1" x14ac:dyDescent="0.3">
      <c r="A85" s="4">
        <v>83</v>
      </c>
      <c r="B85" s="105">
        <v>24.52</v>
      </c>
      <c r="C85" s="101">
        <f t="shared" si="0"/>
        <v>0.54488888888888887</v>
      </c>
      <c r="D85" s="4" t="s">
        <v>271</v>
      </c>
      <c r="F85" s="4" t="s">
        <v>271</v>
      </c>
      <c r="G85" s="106">
        <f t="shared" si="1"/>
        <v>0.55511111111111111</v>
      </c>
      <c r="H85" s="107">
        <v>24.98</v>
      </c>
      <c r="I85" s="13">
        <v>1807</v>
      </c>
      <c r="AB85" s="4">
        <v>83</v>
      </c>
      <c r="AC85" s="4">
        <v>20</v>
      </c>
      <c r="AD85" s="109">
        <v>28.65</v>
      </c>
      <c r="AE85" s="4" t="s">
        <v>436</v>
      </c>
      <c r="AG85" s="4">
        <v>83</v>
      </c>
      <c r="AH85" s="4">
        <v>1058</v>
      </c>
      <c r="AI85" s="109">
        <v>27.41</v>
      </c>
      <c r="AJ85" s="110">
        <v>83</v>
      </c>
      <c r="AK85" s="111" t="s">
        <v>383</v>
      </c>
      <c r="AL85" s="111">
        <v>1058</v>
      </c>
      <c r="AM85" s="111" t="s">
        <v>376</v>
      </c>
      <c r="AN85" s="112">
        <v>27.41</v>
      </c>
      <c r="AO85" s="112">
        <f t="shared" si="8"/>
        <v>60.911111111111119</v>
      </c>
      <c r="AP85" s="111" t="s">
        <v>427</v>
      </c>
    </row>
    <row r="86" spans="1:42" ht="15.75" customHeight="1" x14ac:dyDescent="0.3">
      <c r="A86" s="4">
        <v>84</v>
      </c>
      <c r="B86" s="114">
        <v>24.5</v>
      </c>
      <c r="C86" s="101">
        <f t="shared" si="0"/>
        <v>0.5444444444444444</v>
      </c>
      <c r="D86" s="4" t="s">
        <v>271</v>
      </c>
      <c r="F86" s="4" t="s">
        <v>271</v>
      </c>
      <c r="G86" s="106">
        <f t="shared" si="1"/>
        <v>0.55599999999999994</v>
      </c>
      <c r="H86" s="107">
        <v>25.02</v>
      </c>
      <c r="I86" s="13">
        <v>1744</v>
      </c>
      <c r="AB86" s="4">
        <v>84</v>
      </c>
      <c r="AC86" s="4">
        <v>527</v>
      </c>
      <c r="AD86" s="109">
        <v>19.29</v>
      </c>
      <c r="AE86" s="4" t="s">
        <v>311</v>
      </c>
      <c r="AG86" s="4">
        <v>84</v>
      </c>
      <c r="AH86" s="4">
        <v>46</v>
      </c>
      <c r="AI86" s="109">
        <v>27.43</v>
      </c>
      <c r="AJ86" s="110">
        <v>84</v>
      </c>
      <c r="AK86" s="111" t="s">
        <v>437</v>
      </c>
      <c r="AL86" s="111">
        <v>46</v>
      </c>
      <c r="AM86" s="111" t="s">
        <v>110</v>
      </c>
      <c r="AN86" s="112">
        <v>27.43</v>
      </c>
      <c r="AO86" s="112">
        <f t="shared" si="8"/>
        <v>60.955555555555549</v>
      </c>
      <c r="AP86" s="111" t="s">
        <v>427</v>
      </c>
    </row>
    <row r="87" spans="1:42" ht="15.75" customHeight="1" x14ac:dyDescent="0.3">
      <c r="A87" s="4">
        <v>85</v>
      </c>
      <c r="B87" s="114">
        <v>24.48</v>
      </c>
      <c r="C87" s="101">
        <f t="shared" si="0"/>
        <v>0.54400000000000004</v>
      </c>
      <c r="D87" s="4" t="s">
        <v>271</v>
      </c>
      <c r="F87" s="4" t="s">
        <v>271</v>
      </c>
      <c r="G87" s="106">
        <f t="shared" si="1"/>
        <v>0.55644444444444441</v>
      </c>
      <c r="H87" s="115">
        <v>25.04</v>
      </c>
      <c r="I87" s="117">
        <v>515</v>
      </c>
      <c r="AB87" s="4">
        <v>85</v>
      </c>
      <c r="AC87" s="4">
        <v>457</v>
      </c>
      <c r="AD87" s="109">
        <v>23.97</v>
      </c>
      <c r="AE87" s="4" t="s">
        <v>390</v>
      </c>
      <c r="AG87" s="4">
        <v>85</v>
      </c>
      <c r="AH87" s="4">
        <v>82</v>
      </c>
      <c r="AI87" s="109">
        <v>27.48</v>
      </c>
      <c r="AJ87" s="110">
        <v>85</v>
      </c>
      <c r="AK87" s="111" t="s">
        <v>438</v>
      </c>
      <c r="AL87" s="111">
        <v>82</v>
      </c>
      <c r="AM87" s="111" t="s">
        <v>138</v>
      </c>
      <c r="AN87" s="112">
        <v>27.48</v>
      </c>
      <c r="AO87" s="112">
        <f t="shared" si="8"/>
        <v>61.06666666666667</v>
      </c>
      <c r="AP87" s="111" t="s">
        <v>427</v>
      </c>
    </row>
    <row r="88" spans="1:42" ht="15.75" customHeight="1" x14ac:dyDescent="0.3">
      <c r="A88" s="4">
        <v>86</v>
      </c>
      <c r="B88" s="114">
        <v>24.43</v>
      </c>
      <c r="C88" s="101">
        <f t="shared" si="0"/>
        <v>0.54288888888888887</v>
      </c>
      <c r="D88" s="4" t="s">
        <v>271</v>
      </c>
      <c r="F88" s="4" t="s">
        <v>271</v>
      </c>
      <c r="G88" s="106">
        <f t="shared" si="1"/>
        <v>0.56222222222222229</v>
      </c>
      <c r="H88" s="118">
        <v>25.3</v>
      </c>
      <c r="I88" s="14">
        <v>45</v>
      </c>
      <c r="AB88" s="4">
        <v>86</v>
      </c>
      <c r="AC88" s="4">
        <v>107</v>
      </c>
      <c r="AD88" s="109">
        <v>29.45</v>
      </c>
      <c r="AE88" s="4" t="s">
        <v>439</v>
      </c>
      <c r="AG88" s="4">
        <v>86</v>
      </c>
      <c r="AH88" s="4">
        <v>1499</v>
      </c>
      <c r="AI88" s="109">
        <v>27.53</v>
      </c>
      <c r="AJ88" s="110">
        <v>86</v>
      </c>
      <c r="AK88" s="111" t="s">
        <v>338</v>
      </c>
      <c r="AL88" s="111">
        <v>1499</v>
      </c>
      <c r="AM88" s="111" t="s">
        <v>387</v>
      </c>
      <c r="AN88" s="112">
        <v>27.53</v>
      </c>
      <c r="AO88" s="112">
        <f t="shared" si="8"/>
        <v>61.177777777777777</v>
      </c>
      <c r="AP88" s="111" t="s">
        <v>427</v>
      </c>
    </row>
    <row r="89" spans="1:42" ht="15.75" customHeight="1" x14ac:dyDescent="0.3">
      <c r="A89" s="4">
        <v>87</v>
      </c>
      <c r="B89" s="114">
        <v>24.05</v>
      </c>
      <c r="C89" s="101">
        <f t="shared" si="0"/>
        <v>0.5344444444444445</v>
      </c>
      <c r="D89" s="4" t="s">
        <v>271</v>
      </c>
      <c r="F89" s="4" t="s">
        <v>271</v>
      </c>
      <c r="G89" s="106">
        <f t="shared" si="1"/>
        <v>0.56266666666666665</v>
      </c>
      <c r="H89" s="115">
        <v>25.32</v>
      </c>
      <c r="I89" s="117">
        <v>1470</v>
      </c>
      <c r="AB89" s="4">
        <v>87</v>
      </c>
      <c r="AC89" s="4">
        <v>39</v>
      </c>
      <c r="AD89" s="109">
        <v>28.57</v>
      </c>
      <c r="AE89" s="4" t="s">
        <v>440</v>
      </c>
      <c r="AG89" s="4">
        <v>87</v>
      </c>
      <c r="AH89" s="4">
        <v>193</v>
      </c>
      <c r="AI89" s="109">
        <v>27.55</v>
      </c>
      <c r="AJ89" s="110">
        <v>87</v>
      </c>
      <c r="AK89" s="111" t="s">
        <v>441</v>
      </c>
      <c r="AL89" s="111">
        <v>193</v>
      </c>
      <c r="AM89" s="111" t="s">
        <v>110</v>
      </c>
      <c r="AN89" s="112">
        <v>27.55</v>
      </c>
      <c r="AO89" s="112">
        <f t="shared" si="8"/>
        <v>61.222222222222221</v>
      </c>
      <c r="AP89" s="111" t="s">
        <v>427</v>
      </c>
    </row>
    <row r="90" spans="1:42" ht="15.75" customHeight="1" x14ac:dyDescent="0.3">
      <c r="A90" s="4">
        <v>88</v>
      </c>
      <c r="B90" s="114">
        <v>23.97</v>
      </c>
      <c r="C90" s="101">
        <f t="shared" si="0"/>
        <v>0.53266666666666662</v>
      </c>
      <c r="D90" s="4" t="s">
        <v>271</v>
      </c>
      <c r="F90" s="4" t="s">
        <v>271</v>
      </c>
      <c r="G90" s="106">
        <f t="shared" si="1"/>
        <v>0.56333333333333335</v>
      </c>
      <c r="H90" s="107">
        <v>25.35</v>
      </c>
      <c r="I90" s="13">
        <v>215</v>
      </c>
      <c r="AB90" s="4">
        <v>88</v>
      </c>
      <c r="AC90" s="4">
        <v>282</v>
      </c>
      <c r="AD90" s="109">
        <v>28.48</v>
      </c>
      <c r="AE90" s="4" t="s">
        <v>442</v>
      </c>
      <c r="AG90" s="4">
        <v>88</v>
      </c>
      <c r="AH90" s="4">
        <v>63</v>
      </c>
      <c r="AI90" s="109">
        <v>27.57</v>
      </c>
      <c r="AJ90" s="110">
        <v>88</v>
      </c>
      <c r="AK90" s="111" t="s">
        <v>443</v>
      </c>
      <c r="AL90" s="111">
        <v>63</v>
      </c>
      <c r="AM90" s="111" t="s">
        <v>110</v>
      </c>
      <c r="AN90" s="112">
        <v>27.57</v>
      </c>
      <c r="AO90" s="112">
        <f t="shared" si="8"/>
        <v>61.266666666666666</v>
      </c>
      <c r="AP90" s="111" t="s">
        <v>427</v>
      </c>
    </row>
    <row r="91" spans="1:42" ht="15.75" customHeight="1" x14ac:dyDescent="0.3">
      <c r="A91" s="4">
        <v>89</v>
      </c>
      <c r="B91" s="114">
        <v>23.96</v>
      </c>
      <c r="C91" s="101">
        <f t="shared" si="0"/>
        <v>0.5324444444444445</v>
      </c>
      <c r="D91" s="4" t="s">
        <v>271</v>
      </c>
      <c r="F91" s="4" t="s">
        <v>271</v>
      </c>
      <c r="G91" s="106">
        <f t="shared" si="1"/>
        <v>0.56777777777777783</v>
      </c>
      <c r="H91" s="107">
        <v>25.55</v>
      </c>
      <c r="I91" s="14">
        <v>445</v>
      </c>
      <c r="AB91" s="4">
        <v>89</v>
      </c>
      <c r="AC91" s="4">
        <v>726</v>
      </c>
      <c r="AD91" s="109">
        <v>31.96</v>
      </c>
      <c r="AE91" s="4" t="s">
        <v>444</v>
      </c>
      <c r="AG91" s="4">
        <v>89</v>
      </c>
      <c r="AH91" s="4">
        <v>1232</v>
      </c>
      <c r="AI91" s="109">
        <v>27.63</v>
      </c>
      <c r="AJ91" s="110">
        <v>89</v>
      </c>
      <c r="AK91" s="111" t="s">
        <v>445</v>
      </c>
      <c r="AL91" s="111">
        <v>1232</v>
      </c>
      <c r="AM91" s="111" t="s">
        <v>175</v>
      </c>
      <c r="AN91" s="112">
        <v>27.63</v>
      </c>
      <c r="AO91" s="112">
        <f t="shared" si="8"/>
        <v>61.4</v>
      </c>
      <c r="AP91" s="111" t="s">
        <v>427</v>
      </c>
    </row>
    <row r="92" spans="1:42" ht="15.75" customHeight="1" x14ac:dyDescent="0.3">
      <c r="A92" s="4">
        <v>90</v>
      </c>
      <c r="B92" s="114">
        <v>23.87</v>
      </c>
      <c r="C92" s="101">
        <f t="shared" si="0"/>
        <v>0.5304444444444445</v>
      </c>
      <c r="D92" s="4" t="s">
        <v>271</v>
      </c>
      <c r="F92" s="4" t="s">
        <v>271</v>
      </c>
      <c r="G92" s="106">
        <f t="shared" si="1"/>
        <v>0.57088888888888889</v>
      </c>
      <c r="H92" s="107">
        <v>25.69</v>
      </c>
      <c r="I92" s="13">
        <v>1096</v>
      </c>
      <c r="AB92" s="4">
        <v>90</v>
      </c>
      <c r="AC92" s="4">
        <v>63</v>
      </c>
      <c r="AD92" s="109">
        <v>27.57</v>
      </c>
      <c r="AE92" s="4" t="s">
        <v>443</v>
      </c>
      <c r="AG92" s="4">
        <v>90</v>
      </c>
      <c r="AH92" s="4">
        <v>598</v>
      </c>
      <c r="AI92" s="109">
        <v>27.75</v>
      </c>
      <c r="AJ92" s="110">
        <v>90</v>
      </c>
      <c r="AK92" s="111" t="s">
        <v>446</v>
      </c>
      <c r="AL92" s="111">
        <v>598</v>
      </c>
      <c r="AM92" s="111" t="s">
        <v>215</v>
      </c>
      <c r="AN92" s="112">
        <v>27.75</v>
      </c>
      <c r="AO92" s="112">
        <f t="shared" si="8"/>
        <v>61.666666666666671</v>
      </c>
      <c r="AP92" s="111" t="s">
        <v>427</v>
      </c>
    </row>
    <row r="93" spans="1:42" ht="15.75" customHeight="1" x14ac:dyDescent="0.3">
      <c r="A93" s="4">
        <v>91</v>
      </c>
      <c r="B93" s="114">
        <v>23.79</v>
      </c>
      <c r="C93" s="101">
        <f t="shared" si="0"/>
        <v>0.52866666666666662</v>
      </c>
      <c r="D93" s="4" t="s">
        <v>271</v>
      </c>
      <c r="F93" s="4" t="s">
        <v>271</v>
      </c>
      <c r="G93" s="106">
        <f t="shared" si="1"/>
        <v>0.57222222222222219</v>
      </c>
      <c r="H93" s="107">
        <v>25.75</v>
      </c>
      <c r="I93" s="13">
        <v>1867</v>
      </c>
      <c r="AB93" s="4">
        <v>91</v>
      </c>
      <c r="AC93" s="4">
        <v>70</v>
      </c>
      <c r="AD93" s="109">
        <v>28.39</v>
      </c>
      <c r="AE93" s="4" t="s">
        <v>447</v>
      </c>
      <c r="AG93" s="4">
        <v>91</v>
      </c>
      <c r="AH93" s="4">
        <v>1292</v>
      </c>
      <c r="AI93" s="109">
        <v>27.83</v>
      </c>
      <c r="AJ93" s="110">
        <v>91</v>
      </c>
      <c r="AK93" s="111" t="s">
        <v>412</v>
      </c>
      <c r="AL93" s="111">
        <v>1292</v>
      </c>
      <c r="AM93" s="111" t="s">
        <v>307</v>
      </c>
      <c r="AN93" s="112">
        <v>27.83</v>
      </c>
      <c r="AO93" s="112">
        <f t="shared" si="8"/>
        <v>61.844444444444434</v>
      </c>
      <c r="AP93" s="111" t="s">
        <v>427</v>
      </c>
    </row>
    <row r="94" spans="1:42" ht="15.75" customHeight="1" x14ac:dyDescent="0.3">
      <c r="A94" s="4">
        <v>92</v>
      </c>
      <c r="B94" s="114">
        <v>23.77</v>
      </c>
      <c r="C94" s="101">
        <f t="shared" si="0"/>
        <v>0.52822222222222226</v>
      </c>
      <c r="D94" s="4" t="s">
        <v>271</v>
      </c>
      <c r="F94" s="4" t="s">
        <v>271</v>
      </c>
      <c r="G94" s="106">
        <f t="shared" si="1"/>
        <v>0.57733333333333337</v>
      </c>
      <c r="H94" s="107">
        <v>25.98</v>
      </c>
      <c r="I94" s="13">
        <v>1332</v>
      </c>
      <c r="AB94" s="4">
        <v>92</v>
      </c>
      <c r="AC94" s="4">
        <v>53</v>
      </c>
      <c r="AD94" s="109">
        <v>22.16</v>
      </c>
      <c r="AE94" s="4" t="s">
        <v>359</v>
      </c>
      <c r="AG94" s="4">
        <v>92</v>
      </c>
      <c r="AH94" s="4">
        <v>455</v>
      </c>
      <c r="AI94" s="109">
        <v>27.88</v>
      </c>
      <c r="AJ94" s="110">
        <v>92</v>
      </c>
      <c r="AK94" s="111" t="s">
        <v>448</v>
      </c>
      <c r="AL94" s="111">
        <v>455</v>
      </c>
      <c r="AM94" s="111" t="s">
        <v>110</v>
      </c>
      <c r="AN94" s="112">
        <v>27.88</v>
      </c>
      <c r="AO94" s="112">
        <f t="shared" si="8"/>
        <v>61.955555555555556</v>
      </c>
      <c r="AP94" s="111" t="s">
        <v>427</v>
      </c>
    </row>
    <row r="95" spans="1:42" ht="15.75" customHeight="1" x14ac:dyDescent="0.3">
      <c r="A95" s="4">
        <v>93</v>
      </c>
      <c r="B95" s="114">
        <v>23.73</v>
      </c>
      <c r="C95" s="101">
        <f t="shared" si="0"/>
        <v>0.52733333333333332</v>
      </c>
      <c r="D95" s="4" t="s">
        <v>271</v>
      </c>
      <c r="F95" s="4" t="s">
        <v>271</v>
      </c>
      <c r="G95" s="106">
        <f t="shared" si="1"/>
        <v>0.57755555555555549</v>
      </c>
      <c r="H95" s="115">
        <v>25.99</v>
      </c>
      <c r="I95" s="117">
        <v>1926</v>
      </c>
      <c r="AB95" s="4">
        <v>93</v>
      </c>
      <c r="AC95" s="4">
        <v>193</v>
      </c>
      <c r="AD95" s="109">
        <v>27.55</v>
      </c>
      <c r="AE95" s="4" t="s">
        <v>441</v>
      </c>
      <c r="AG95" s="4">
        <v>93</v>
      </c>
      <c r="AH95" s="4">
        <v>1787</v>
      </c>
      <c r="AI95" s="109">
        <v>27.97</v>
      </c>
      <c r="AJ95" s="110">
        <v>93</v>
      </c>
      <c r="AK95" s="111" t="s">
        <v>282</v>
      </c>
      <c r="AL95" s="111">
        <v>1787</v>
      </c>
      <c r="AM95" s="111" t="s">
        <v>348</v>
      </c>
      <c r="AN95" s="112">
        <v>27.97</v>
      </c>
      <c r="AO95" s="112">
        <f t="shared" si="8"/>
        <v>62.155555555555551</v>
      </c>
      <c r="AP95" s="111" t="s">
        <v>427</v>
      </c>
    </row>
    <row r="96" spans="1:42" ht="15.75" customHeight="1" x14ac:dyDescent="0.3">
      <c r="A96" s="4">
        <v>94</v>
      </c>
      <c r="B96" s="114">
        <v>23.65</v>
      </c>
      <c r="C96" s="101">
        <f t="shared" si="0"/>
        <v>0.52555555555555555</v>
      </c>
      <c r="D96" s="4" t="s">
        <v>271</v>
      </c>
      <c r="F96" s="4" t="s">
        <v>271</v>
      </c>
      <c r="G96" s="106">
        <f t="shared" si="1"/>
        <v>0.57933333333333337</v>
      </c>
      <c r="H96" s="107">
        <v>26.07</v>
      </c>
      <c r="I96" s="13">
        <v>1337</v>
      </c>
      <c r="AB96" s="4">
        <v>94</v>
      </c>
      <c r="AC96" s="4">
        <v>455</v>
      </c>
      <c r="AD96" s="109">
        <v>27.88</v>
      </c>
      <c r="AE96" s="4" t="s">
        <v>448</v>
      </c>
      <c r="AG96" s="4">
        <v>94</v>
      </c>
      <c r="AH96" s="4">
        <v>20</v>
      </c>
      <c r="AI96" s="109">
        <v>28</v>
      </c>
      <c r="AJ96" s="110">
        <v>94</v>
      </c>
      <c r="AK96" s="111" t="s">
        <v>449</v>
      </c>
      <c r="AL96" s="111">
        <v>20</v>
      </c>
      <c r="AM96" s="111" t="s">
        <v>408</v>
      </c>
      <c r="AN96" s="112">
        <v>28</v>
      </c>
      <c r="AO96" s="112">
        <f t="shared" si="8"/>
        <v>62.222222222222221</v>
      </c>
      <c r="AP96" s="111" t="s">
        <v>427</v>
      </c>
    </row>
    <row r="97" spans="1:42" ht="15.75" customHeight="1" x14ac:dyDescent="0.3">
      <c r="A97" s="4">
        <v>95</v>
      </c>
      <c r="B97" s="114">
        <v>23.63</v>
      </c>
      <c r="C97" s="101">
        <f t="shared" si="0"/>
        <v>0.52511111111111108</v>
      </c>
      <c r="D97" s="4" t="s">
        <v>271</v>
      </c>
      <c r="F97" s="4" t="s">
        <v>271</v>
      </c>
      <c r="G97" s="106">
        <f t="shared" si="1"/>
        <v>0.57955555555555549</v>
      </c>
      <c r="H97" s="107">
        <v>26.08</v>
      </c>
      <c r="I97" s="13">
        <v>309</v>
      </c>
      <c r="AB97" s="4">
        <v>95</v>
      </c>
      <c r="AC97" s="4">
        <v>16</v>
      </c>
      <c r="AD97" s="109">
        <v>27.18</v>
      </c>
      <c r="AE97" s="4" t="s">
        <v>431</v>
      </c>
      <c r="AG97" s="4">
        <v>95</v>
      </c>
      <c r="AH97" s="4">
        <v>1447</v>
      </c>
      <c r="AI97" s="109">
        <v>28.1</v>
      </c>
      <c r="AJ97" s="110">
        <v>95</v>
      </c>
      <c r="AK97" s="111" t="s">
        <v>317</v>
      </c>
      <c r="AL97" s="111">
        <v>1447</v>
      </c>
      <c r="AM97" s="111" t="s">
        <v>326</v>
      </c>
      <c r="AN97" s="112">
        <v>28.1</v>
      </c>
      <c r="AO97" s="112">
        <f t="shared" si="8"/>
        <v>62.44444444444445</v>
      </c>
      <c r="AP97" s="111" t="s">
        <v>427</v>
      </c>
    </row>
    <row r="98" spans="1:42" ht="15.75" customHeight="1" x14ac:dyDescent="0.3">
      <c r="A98" s="4">
        <v>96</v>
      </c>
      <c r="B98" s="114">
        <v>23.57</v>
      </c>
      <c r="C98" s="101">
        <f t="shared" si="0"/>
        <v>0.52377777777777779</v>
      </c>
      <c r="D98" s="4" t="s">
        <v>271</v>
      </c>
      <c r="F98" s="4" t="s">
        <v>271</v>
      </c>
      <c r="G98" s="106">
        <f t="shared" si="1"/>
        <v>0.58044444444444443</v>
      </c>
      <c r="H98" s="113">
        <v>26.12</v>
      </c>
      <c r="I98" s="29">
        <v>1074</v>
      </c>
      <c r="AB98" s="4">
        <v>96</v>
      </c>
      <c r="AC98" s="4">
        <v>32</v>
      </c>
      <c r="AD98" s="109">
        <v>22.54</v>
      </c>
      <c r="AE98" s="4" t="s">
        <v>363</v>
      </c>
      <c r="AG98" s="4">
        <v>96</v>
      </c>
      <c r="AH98" s="4">
        <v>1613</v>
      </c>
      <c r="AI98" s="109">
        <v>28.11</v>
      </c>
      <c r="AJ98" s="110">
        <v>96</v>
      </c>
      <c r="AK98" s="111" t="s">
        <v>356</v>
      </c>
      <c r="AL98" s="111">
        <v>1613</v>
      </c>
      <c r="AM98" s="111" t="s">
        <v>324</v>
      </c>
      <c r="AN98" s="112">
        <v>28.11</v>
      </c>
      <c r="AO98" s="112">
        <f t="shared" si="8"/>
        <v>62.466666666666669</v>
      </c>
      <c r="AP98" s="111" t="s">
        <v>427</v>
      </c>
    </row>
    <row r="99" spans="1:42" ht="15.75" customHeight="1" x14ac:dyDescent="0.3">
      <c r="A99" s="4">
        <v>97</v>
      </c>
      <c r="B99" s="114">
        <v>23.44</v>
      </c>
      <c r="C99" s="101">
        <f t="shared" si="0"/>
        <v>0.52088888888888896</v>
      </c>
      <c r="D99" s="4" t="s">
        <v>271</v>
      </c>
      <c r="F99" s="4" t="s">
        <v>271</v>
      </c>
      <c r="G99" s="106">
        <f t="shared" si="1"/>
        <v>0.5822222222222222</v>
      </c>
      <c r="H99" s="113">
        <v>26.2</v>
      </c>
      <c r="I99" s="29">
        <v>777</v>
      </c>
      <c r="AB99" s="4">
        <v>97</v>
      </c>
      <c r="AC99" s="4">
        <v>46</v>
      </c>
      <c r="AD99" s="109">
        <v>27.43</v>
      </c>
      <c r="AE99" s="4" t="s">
        <v>437</v>
      </c>
      <c r="AG99" s="4">
        <v>97</v>
      </c>
      <c r="AH99" s="4">
        <v>1909</v>
      </c>
      <c r="AI99" s="109">
        <v>28.37</v>
      </c>
      <c r="AJ99" s="110">
        <v>97</v>
      </c>
      <c r="AK99" s="111" t="s">
        <v>349</v>
      </c>
      <c r="AL99" s="111">
        <v>1909</v>
      </c>
      <c r="AM99" s="111" t="s">
        <v>392</v>
      </c>
      <c r="AN99" s="112">
        <v>28.37</v>
      </c>
      <c r="AO99" s="112">
        <f t="shared" si="8"/>
        <v>63.044444444444444</v>
      </c>
      <c r="AP99" s="111" t="s">
        <v>427</v>
      </c>
    </row>
    <row r="100" spans="1:42" ht="15.75" customHeight="1" x14ac:dyDescent="0.3">
      <c r="A100" s="4">
        <v>98</v>
      </c>
      <c r="B100" s="114">
        <v>23.37</v>
      </c>
      <c r="C100" s="101">
        <f t="shared" si="0"/>
        <v>0.51933333333333331</v>
      </c>
      <c r="D100" s="4" t="s">
        <v>271</v>
      </c>
      <c r="F100" s="4" t="s">
        <v>271</v>
      </c>
      <c r="G100" s="106">
        <f t="shared" si="1"/>
        <v>0.58600000000000008</v>
      </c>
      <c r="H100" s="107">
        <v>26.37</v>
      </c>
      <c r="I100" s="13">
        <v>230</v>
      </c>
      <c r="AB100" s="4">
        <v>98</v>
      </c>
      <c r="AC100" s="4">
        <v>59</v>
      </c>
      <c r="AD100" s="109">
        <v>21.83</v>
      </c>
      <c r="AE100" s="4" t="s">
        <v>357</v>
      </c>
      <c r="AG100" s="4">
        <v>98</v>
      </c>
      <c r="AH100" s="4">
        <v>70</v>
      </c>
      <c r="AI100" s="109">
        <v>28.39</v>
      </c>
      <c r="AJ100" s="110">
        <v>98</v>
      </c>
      <c r="AK100" s="111" t="s">
        <v>447</v>
      </c>
      <c r="AL100" s="111">
        <v>70</v>
      </c>
      <c r="AM100" s="111" t="s">
        <v>110</v>
      </c>
      <c r="AN100" s="112">
        <v>28.39</v>
      </c>
      <c r="AO100" s="112">
        <f t="shared" si="8"/>
        <v>63.088888888888896</v>
      </c>
      <c r="AP100" s="111" t="s">
        <v>427</v>
      </c>
    </row>
    <row r="101" spans="1:42" ht="15.75" customHeight="1" x14ac:dyDescent="0.3">
      <c r="A101" s="4">
        <v>99</v>
      </c>
      <c r="B101" s="114">
        <v>23.34</v>
      </c>
      <c r="C101" s="101">
        <f t="shared" si="0"/>
        <v>0.51866666666666661</v>
      </c>
      <c r="D101" s="4" t="s">
        <v>271</v>
      </c>
      <c r="F101" s="4" t="s">
        <v>271</v>
      </c>
      <c r="G101" s="106">
        <f t="shared" si="1"/>
        <v>0.58666666666666667</v>
      </c>
      <c r="H101" s="115">
        <v>26.4</v>
      </c>
      <c r="I101" s="117">
        <v>661</v>
      </c>
      <c r="AB101" s="4">
        <v>99</v>
      </c>
      <c r="AC101" s="4">
        <v>119</v>
      </c>
      <c r="AD101" s="109">
        <v>28.83</v>
      </c>
      <c r="AE101" s="4" t="s">
        <v>339</v>
      </c>
      <c r="AG101" s="4">
        <v>99</v>
      </c>
      <c r="AH101" s="4">
        <v>282</v>
      </c>
      <c r="AI101" s="109">
        <v>28.48</v>
      </c>
      <c r="AJ101" s="110">
        <v>99</v>
      </c>
      <c r="AK101" s="111" t="s">
        <v>442</v>
      </c>
      <c r="AL101" s="111">
        <v>282</v>
      </c>
      <c r="AM101" s="111" t="s">
        <v>450</v>
      </c>
      <c r="AN101" s="112">
        <v>28.48</v>
      </c>
      <c r="AO101" s="112">
        <f t="shared" si="8"/>
        <v>63.288888888888891</v>
      </c>
      <c r="AP101" s="111" t="s">
        <v>427</v>
      </c>
    </row>
    <row r="102" spans="1:42" ht="15.75" customHeight="1" x14ac:dyDescent="0.3">
      <c r="A102" s="4">
        <v>100</v>
      </c>
      <c r="B102" s="114">
        <v>23.26</v>
      </c>
      <c r="C102" s="101">
        <f t="shared" si="0"/>
        <v>0.51688888888888895</v>
      </c>
      <c r="D102" s="4" t="s">
        <v>271</v>
      </c>
      <c r="F102" s="4" t="s">
        <v>271</v>
      </c>
      <c r="G102" s="106">
        <f t="shared" si="1"/>
        <v>0.58711111111111114</v>
      </c>
      <c r="H102" s="107">
        <v>26.42</v>
      </c>
      <c r="I102" s="13">
        <v>1884</v>
      </c>
      <c r="AB102" s="4">
        <v>100</v>
      </c>
      <c r="AC102" s="4">
        <v>1926</v>
      </c>
      <c r="AD102" s="109">
        <v>25.99</v>
      </c>
      <c r="AE102" s="4" t="s">
        <v>415</v>
      </c>
      <c r="AG102" s="4">
        <v>100</v>
      </c>
      <c r="AH102" s="4">
        <v>108</v>
      </c>
      <c r="AI102" s="109">
        <v>28.53</v>
      </c>
      <c r="AJ102" s="110">
        <v>100</v>
      </c>
      <c r="AK102" s="111" t="s">
        <v>451</v>
      </c>
      <c r="AL102" s="111">
        <v>108</v>
      </c>
      <c r="AM102" s="111" t="s">
        <v>151</v>
      </c>
      <c r="AN102" s="112">
        <v>28.53</v>
      </c>
      <c r="AO102" s="112">
        <f t="shared" si="8"/>
        <v>63.4</v>
      </c>
      <c r="AP102" s="111" t="s">
        <v>427</v>
      </c>
    </row>
    <row r="103" spans="1:42" ht="15.75" customHeight="1" x14ac:dyDescent="0.3">
      <c r="A103" s="4">
        <v>101</v>
      </c>
      <c r="B103" s="114">
        <v>23.24</v>
      </c>
      <c r="C103" s="101">
        <f t="shared" si="0"/>
        <v>0.51644444444444437</v>
      </c>
      <c r="D103" s="4" t="s">
        <v>271</v>
      </c>
      <c r="F103" s="4" t="s">
        <v>271</v>
      </c>
      <c r="G103" s="106">
        <f t="shared" si="1"/>
        <v>0.59111111111111114</v>
      </c>
      <c r="H103" s="107">
        <v>26.6</v>
      </c>
      <c r="I103" s="14">
        <v>1347</v>
      </c>
      <c r="AB103" s="4">
        <v>101</v>
      </c>
      <c r="AC103" s="4">
        <v>165</v>
      </c>
      <c r="AD103" s="109">
        <v>21.53</v>
      </c>
      <c r="AE103" s="4" t="s">
        <v>350</v>
      </c>
      <c r="AG103" s="4">
        <v>101</v>
      </c>
      <c r="AH103" s="4">
        <v>39</v>
      </c>
      <c r="AI103" s="109">
        <v>28.57</v>
      </c>
      <c r="AJ103" s="110">
        <v>101</v>
      </c>
      <c r="AK103" s="111" t="s">
        <v>440</v>
      </c>
      <c r="AL103" s="111">
        <v>39</v>
      </c>
      <c r="AM103" s="111" t="s">
        <v>110</v>
      </c>
      <c r="AN103" s="112">
        <v>28.57</v>
      </c>
      <c r="AO103" s="112">
        <f t="shared" si="8"/>
        <v>63.488888888888894</v>
      </c>
      <c r="AP103" s="111" t="s">
        <v>427</v>
      </c>
    </row>
    <row r="104" spans="1:42" ht="15.75" customHeight="1" x14ac:dyDescent="0.3">
      <c r="A104" s="4">
        <v>102</v>
      </c>
      <c r="B104" s="114">
        <v>23.24</v>
      </c>
      <c r="C104" s="101">
        <f t="shared" si="0"/>
        <v>0.51644444444444437</v>
      </c>
      <c r="D104" s="4" t="s">
        <v>271</v>
      </c>
      <c r="F104" s="4" t="s">
        <v>271</v>
      </c>
      <c r="G104" s="106">
        <f t="shared" si="1"/>
        <v>0.59222222222222221</v>
      </c>
      <c r="H104" s="107">
        <v>26.65</v>
      </c>
      <c r="I104" s="14">
        <v>56</v>
      </c>
      <c r="AB104" s="4">
        <v>102</v>
      </c>
      <c r="AC104" s="4">
        <v>551</v>
      </c>
      <c r="AD104" s="109">
        <v>33.729999999999997</v>
      </c>
      <c r="AE104" s="4" t="s">
        <v>452</v>
      </c>
      <c r="AG104" s="4">
        <v>102</v>
      </c>
      <c r="AH104" s="4">
        <v>745</v>
      </c>
      <c r="AI104" s="109">
        <v>28.63</v>
      </c>
      <c r="AJ104" s="110">
        <v>102</v>
      </c>
      <c r="AK104" s="111" t="s">
        <v>453</v>
      </c>
      <c r="AL104" s="111">
        <v>745</v>
      </c>
      <c r="AM104" s="111" t="s">
        <v>454</v>
      </c>
      <c r="AN104" s="112">
        <v>28.63</v>
      </c>
      <c r="AO104" s="112">
        <f t="shared" si="8"/>
        <v>63.622222222222227</v>
      </c>
      <c r="AP104" s="111" t="s">
        <v>427</v>
      </c>
    </row>
    <row r="105" spans="1:42" ht="15.75" customHeight="1" x14ac:dyDescent="0.3">
      <c r="A105" s="4">
        <v>103</v>
      </c>
      <c r="B105" s="114">
        <v>23.01</v>
      </c>
      <c r="C105" s="101">
        <f t="shared" si="0"/>
        <v>0.51133333333333342</v>
      </c>
      <c r="D105" s="4" t="s">
        <v>271</v>
      </c>
      <c r="F105" s="4" t="s">
        <v>293</v>
      </c>
      <c r="G105" s="106">
        <f t="shared" si="1"/>
        <v>0.60022222222222221</v>
      </c>
      <c r="H105" s="107">
        <v>27.01</v>
      </c>
      <c r="I105" s="13">
        <v>1554</v>
      </c>
      <c r="AB105" s="4">
        <v>103</v>
      </c>
      <c r="AC105" s="4">
        <v>2946</v>
      </c>
      <c r="AD105" s="109">
        <v>38.83</v>
      </c>
      <c r="AE105" s="4" t="s">
        <v>455</v>
      </c>
      <c r="AG105" s="4">
        <v>103</v>
      </c>
      <c r="AH105" s="4">
        <v>20</v>
      </c>
      <c r="AI105" s="109">
        <v>28.65</v>
      </c>
      <c r="AJ105" s="110">
        <v>103</v>
      </c>
      <c r="AK105" s="111" t="s">
        <v>436</v>
      </c>
      <c r="AL105" s="111">
        <v>20</v>
      </c>
      <c r="AM105" s="111" t="s">
        <v>110</v>
      </c>
      <c r="AN105" s="112">
        <v>28.65</v>
      </c>
      <c r="AO105" s="112">
        <f t="shared" si="8"/>
        <v>63.666666666666657</v>
      </c>
      <c r="AP105" s="111" t="s">
        <v>427</v>
      </c>
    </row>
    <row r="106" spans="1:42" ht="15.75" customHeight="1" x14ac:dyDescent="0.3">
      <c r="A106" s="4">
        <v>104</v>
      </c>
      <c r="B106" s="114">
        <v>22.88</v>
      </c>
      <c r="C106" s="101">
        <f t="shared" si="0"/>
        <v>0.50844444444444448</v>
      </c>
      <c r="D106" s="4" t="s">
        <v>271</v>
      </c>
      <c r="F106" s="4" t="s">
        <v>293</v>
      </c>
      <c r="G106" s="106">
        <f t="shared" si="1"/>
        <v>0.60022222222222221</v>
      </c>
      <c r="H106" s="107">
        <v>27.01</v>
      </c>
      <c r="I106" s="13">
        <v>1273</v>
      </c>
      <c r="AB106" s="4">
        <v>104</v>
      </c>
      <c r="AC106" s="4">
        <v>69</v>
      </c>
      <c r="AD106" s="109">
        <v>24.75</v>
      </c>
      <c r="AE106" s="4" t="s">
        <v>402</v>
      </c>
      <c r="AG106" s="4">
        <v>104</v>
      </c>
      <c r="AH106" s="4">
        <v>2056</v>
      </c>
      <c r="AI106" s="109">
        <v>28.8</v>
      </c>
      <c r="AJ106" s="110">
        <v>104</v>
      </c>
      <c r="AK106" s="111" t="s">
        <v>320</v>
      </c>
      <c r="AL106" s="111">
        <v>2056</v>
      </c>
      <c r="AM106" s="111" t="s">
        <v>326</v>
      </c>
      <c r="AN106" s="112">
        <v>28.8</v>
      </c>
      <c r="AO106" s="112">
        <f t="shared" si="8"/>
        <v>64</v>
      </c>
      <c r="AP106" s="111" t="s">
        <v>427</v>
      </c>
    </row>
    <row r="107" spans="1:42" ht="15.75" customHeight="1" x14ac:dyDescent="0.3">
      <c r="A107" s="4">
        <v>105</v>
      </c>
      <c r="B107" s="114">
        <v>22.83</v>
      </c>
      <c r="C107" s="101">
        <f t="shared" si="0"/>
        <v>0.5073333333333333</v>
      </c>
      <c r="D107" s="4" t="s">
        <v>271</v>
      </c>
      <c r="F107" s="4" t="s">
        <v>293</v>
      </c>
      <c r="G107" s="106">
        <f t="shared" si="1"/>
        <v>0.60288888888888892</v>
      </c>
      <c r="H107" s="115">
        <v>27.13</v>
      </c>
      <c r="I107" s="116">
        <v>1000</v>
      </c>
      <c r="AB107" s="4">
        <v>105</v>
      </c>
      <c r="AC107" s="4">
        <v>54</v>
      </c>
      <c r="AD107" s="109">
        <v>29.82</v>
      </c>
      <c r="AE107" s="4" t="s">
        <v>456</v>
      </c>
      <c r="AG107" s="4">
        <v>105</v>
      </c>
      <c r="AH107" s="4">
        <v>119</v>
      </c>
      <c r="AI107" s="109">
        <v>28.83</v>
      </c>
      <c r="AJ107" s="110">
        <v>105</v>
      </c>
      <c r="AK107" s="111" t="s">
        <v>339</v>
      </c>
      <c r="AL107" s="111">
        <v>119</v>
      </c>
      <c r="AM107" s="111" t="s">
        <v>110</v>
      </c>
      <c r="AN107" s="112">
        <v>28.83</v>
      </c>
      <c r="AO107" s="112">
        <f t="shared" si="8"/>
        <v>64.066666666666663</v>
      </c>
      <c r="AP107" s="111" t="s">
        <v>427</v>
      </c>
    </row>
    <row r="108" spans="1:42" ht="15.75" customHeight="1" x14ac:dyDescent="0.3">
      <c r="A108" s="4">
        <v>106</v>
      </c>
      <c r="B108" s="114">
        <v>22.73</v>
      </c>
      <c r="C108" s="101">
        <f t="shared" si="0"/>
        <v>0.50511111111111107</v>
      </c>
      <c r="D108" s="4" t="s">
        <v>271</v>
      </c>
      <c r="F108" s="4" t="s">
        <v>293</v>
      </c>
      <c r="G108" s="106">
        <f t="shared" si="1"/>
        <v>0.60399999999999998</v>
      </c>
      <c r="H108" s="107">
        <v>27.18</v>
      </c>
      <c r="I108" s="14">
        <v>16</v>
      </c>
      <c r="AB108" s="4">
        <v>106</v>
      </c>
      <c r="AC108" s="4">
        <v>23</v>
      </c>
      <c r="AD108" s="109">
        <v>29.66</v>
      </c>
      <c r="AE108" s="4" t="s">
        <v>457</v>
      </c>
      <c r="AG108" s="4">
        <v>106</v>
      </c>
      <c r="AH108" s="4">
        <v>42</v>
      </c>
      <c r="AI108" s="109">
        <v>28.87</v>
      </c>
      <c r="AJ108" s="110">
        <v>106</v>
      </c>
      <c r="AK108" s="111" t="s">
        <v>458</v>
      </c>
      <c r="AL108" s="111">
        <v>42</v>
      </c>
      <c r="AM108" s="111" t="s">
        <v>138</v>
      </c>
      <c r="AN108" s="112">
        <v>28.87</v>
      </c>
      <c r="AO108" s="112">
        <f t="shared" si="8"/>
        <v>64.155555555555551</v>
      </c>
      <c r="AP108" s="111" t="s">
        <v>427</v>
      </c>
    </row>
    <row r="109" spans="1:42" ht="15.75" customHeight="1" x14ac:dyDescent="0.3">
      <c r="A109" s="4">
        <v>107</v>
      </c>
      <c r="B109" s="114">
        <v>22.58</v>
      </c>
      <c r="C109" s="101">
        <f t="shared" si="0"/>
        <v>0.50177777777777777</v>
      </c>
      <c r="D109" s="4" t="s">
        <v>271</v>
      </c>
      <c r="F109" s="4" t="s">
        <v>293</v>
      </c>
      <c r="G109" s="106">
        <f t="shared" si="1"/>
        <v>0.60488888888888881</v>
      </c>
      <c r="H109" s="107">
        <v>27.22</v>
      </c>
      <c r="I109" s="13">
        <v>1045</v>
      </c>
      <c r="AB109" s="4">
        <v>107</v>
      </c>
      <c r="AC109" s="4">
        <v>42</v>
      </c>
      <c r="AD109" s="109">
        <v>28.87</v>
      </c>
      <c r="AE109" s="4" t="s">
        <v>458</v>
      </c>
      <c r="AG109" s="4">
        <v>107</v>
      </c>
      <c r="AH109" s="4">
        <v>64</v>
      </c>
      <c r="AI109" s="109">
        <v>28.94</v>
      </c>
      <c r="AJ109" s="110">
        <v>107</v>
      </c>
      <c r="AK109" s="111" t="s">
        <v>459</v>
      </c>
      <c r="AL109" s="111">
        <v>64</v>
      </c>
      <c r="AM109" s="111" t="s">
        <v>215</v>
      </c>
      <c r="AN109" s="112">
        <v>28.94</v>
      </c>
      <c r="AO109" s="112">
        <f t="shared" si="8"/>
        <v>64.311111111111117</v>
      </c>
      <c r="AP109" s="111" t="s">
        <v>427</v>
      </c>
    </row>
    <row r="110" spans="1:42" ht="15.75" customHeight="1" x14ac:dyDescent="0.3">
      <c r="A110" s="4">
        <v>108</v>
      </c>
      <c r="B110" s="114">
        <v>22.54</v>
      </c>
      <c r="C110" s="101">
        <f t="shared" si="0"/>
        <v>0.50088888888888883</v>
      </c>
      <c r="D110" s="4" t="s">
        <v>271</v>
      </c>
      <c r="F110" s="4" t="s">
        <v>293</v>
      </c>
      <c r="G110" s="106">
        <f t="shared" si="1"/>
        <v>0.60911111111111116</v>
      </c>
      <c r="H110" s="107">
        <v>27.41</v>
      </c>
      <c r="I110" s="14">
        <v>1182</v>
      </c>
      <c r="AB110" s="4">
        <v>108</v>
      </c>
      <c r="AC110" s="4">
        <v>51</v>
      </c>
      <c r="AD110" s="109">
        <v>13.8</v>
      </c>
      <c r="AE110" s="4" t="s">
        <v>292</v>
      </c>
      <c r="AG110" s="4">
        <v>108</v>
      </c>
      <c r="AH110" s="4">
        <v>1727</v>
      </c>
      <c r="AI110" s="109">
        <v>29.38</v>
      </c>
      <c r="AJ110" s="110">
        <v>108</v>
      </c>
      <c r="AK110" s="111" t="s">
        <v>287</v>
      </c>
      <c r="AL110" s="111">
        <v>1727</v>
      </c>
      <c r="AM110" s="111" t="s">
        <v>348</v>
      </c>
      <c r="AN110" s="112">
        <v>29.38</v>
      </c>
      <c r="AO110" s="112">
        <f t="shared" si="8"/>
        <v>65.288888888888891</v>
      </c>
      <c r="AP110" s="111" t="s">
        <v>427</v>
      </c>
    </row>
    <row r="111" spans="1:42" ht="15.75" customHeight="1" x14ac:dyDescent="0.3">
      <c r="A111" s="4">
        <v>109</v>
      </c>
      <c r="B111" s="114">
        <v>22.33</v>
      </c>
      <c r="C111" s="101">
        <f t="shared" si="0"/>
        <v>0.49622222222222218</v>
      </c>
      <c r="D111" s="4" t="s">
        <v>271</v>
      </c>
      <c r="F111" s="4" t="s">
        <v>293</v>
      </c>
      <c r="G111" s="106">
        <f t="shared" si="1"/>
        <v>0.60911111111111116</v>
      </c>
      <c r="H111" s="107">
        <v>27.41</v>
      </c>
      <c r="I111" s="13">
        <v>1058</v>
      </c>
      <c r="AB111" s="4">
        <v>109</v>
      </c>
      <c r="AC111" s="4">
        <v>82</v>
      </c>
      <c r="AD111" s="109">
        <v>27.48</v>
      </c>
      <c r="AE111" s="4" t="s">
        <v>438</v>
      </c>
      <c r="AG111" s="4">
        <v>109</v>
      </c>
      <c r="AH111" s="4">
        <v>107</v>
      </c>
      <c r="AI111" s="109">
        <v>29.45</v>
      </c>
      <c r="AJ111" s="110">
        <v>109</v>
      </c>
      <c r="AK111" s="111" t="s">
        <v>439</v>
      </c>
      <c r="AL111" s="111">
        <v>107</v>
      </c>
      <c r="AM111" s="111" t="s">
        <v>110</v>
      </c>
      <c r="AN111" s="112">
        <v>29.45</v>
      </c>
      <c r="AO111" s="112">
        <f t="shared" si="8"/>
        <v>65.444444444444443</v>
      </c>
      <c r="AP111" s="111" t="s">
        <v>427</v>
      </c>
    </row>
    <row r="112" spans="1:42" ht="15.75" customHeight="1" x14ac:dyDescent="0.3">
      <c r="A112" s="4">
        <v>110</v>
      </c>
      <c r="B112" s="114">
        <v>22.26</v>
      </c>
      <c r="C112" s="101">
        <f t="shared" si="0"/>
        <v>0.4946666666666667</v>
      </c>
      <c r="D112" s="4" t="s">
        <v>271</v>
      </c>
      <c r="F112" s="4" t="s">
        <v>293</v>
      </c>
      <c r="G112" s="106">
        <f t="shared" si="1"/>
        <v>0.60955555555555552</v>
      </c>
      <c r="H112" s="107">
        <v>27.43</v>
      </c>
      <c r="I112" s="14">
        <v>46</v>
      </c>
      <c r="AB112" s="4">
        <v>110</v>
      </c>
      <c r="AC112" s="4">
        <v>62</v>
      </c>
      <c r="AD112" s="109">
        <v>24.65</v>
      </c>
      <c r="AE112" s="4" t="s">
        <v>401</v>
      </c>
      <c r="AG112" s="4">
        <v>110</v>
      </c>
      <c r="AH112" s="4">
        <v>332</v>
      </c>
      <c r="AI112" s="109">
        <v>29.52</v>
      </c>
      <c r="AJ112" s="110">
        <v>110</v>
      </c>
      <c r="AK112" s="111" t="s">
        <v>460</v>
      </c>
      <c r="AL112" s="111">
        <v>332</v>
      </c>
      <c r="AM112" s="111" t="s">
        <v>151</v>
      </c>
      <c r="AN112" s="112">
        <v>29.52</v>
      </c>
      <c r="AO112" s="112">
        <f t="shared" si="8"/>
        <v>65.600000000000009</v>
      </c>
      <c r="AP112" s="111" t="s">
        <v>427</v>
      </c>
    </row>
    <row r="113" spans="1:42" ht="15.75" customHeight="1" x14ac:dyDescent="0.3">
      <c r="A113" s="4">
        <v>111</v>
      </c>
      <c r="B113" s="114">
        <v>22.16</v>
      </c>
      <c r="C113" s="101">
        <f t="shared" si="0"/>
        <v>0.49244444444444446</v>
      </c>
      <c r="D113" s="4" t="s">
        <v>271</v>
      </c>
      <c r="F113" s="4" t="s">
        <v>293</v>
      </c>
      <c r="G113" s="106">
        <f t="shared" si="1"/>
        <v>0.61066666666666669</v>
      </c>
      <c r="H113" s="107">
        <v>27.48</v>
      </c>
      <c r="I113" s="14">
        <v>82</v>
      </c>
      <c r="AB113" s="4">
        <v>111</v>
      </c>
      <c r="AC113" s="4">
        <v>56</v>
      </c>
      <c r="AD113" s="109">
        <v>26.65</v>
      </c>
      <c r="AE113" s="4" t="s">
        <v>423</v>
      </c>
      <c r="AG113" s="4">
        <v>111</v>
      </c>
      <c r="AH113" s="4">
        <v>515</v>
      </c>
      <c r="AI113" s="109">
        <v>29.54</v>
      </c>
      <c r="AJ113" s="110">
        <v>111</v>
      </c>
      <c r="AK113" s="111" t="s">
        <v>461</v>
      </c>
      <c r="AL113" s="111">
        <v>515</v>
      </c>
      <c r="AM113" s="111" t="s">
        <v>169</v>
      </c>
      <c r="AN113" s="112">
        <v>29.54</v>
      </c>
      <c r="AO113" s="112">
        <f t="shared" si="8"/>
        <v>65.644444444444446</v>
      </c>
      <c r="AP113" s="111" t="s">
        <v>427</v>
      </c>
    </row>
    <row r="114" spans="1:42" ht="15.75" customHeight="1" x14ac:dyDescent="0.3">
      <c r="A114" s="4">
        <v>112</v>
      </c>
      <c r="B114" s="114">
        <v>22.09</v>
      </c>
      <c r="C114" s="101">
        <f t="shared" si="0"/>
        <v>0.49088888888888887</v>
      </c>
      <c r="D114" s="4" t="s">
        <v>271</v>
      </c>
      <c r="F114" s="4" t="s">
        <v>293</v>
      </c>
      <c r="G114" s="106">
        <f t="shared" si="1"/>
        <v>0.61177777777777775</v>
      </c>
      <c r="H114" s="107">
        <v>27.53</v>
      </c>
      <c r="I114" s="13">
        <v>1499</v>
      </c>
      <c r="AB114" s="4">
        <v>112</v>
      </c>
      <c r="AC114" s="4">
        <v>38</v>
      </c>
      <c r="AD114" s="109">
        <v>17.25</v>
      </c>
      <c r="AE114" s="4" t="s">
        <v>309</v>
      </c>
      <c r="AG114" s="4">
        <v>112</v>
      </c>
      <c r="AH114" s="4">
        <v>696</v>
      </c>
      <c r="AI114" s="109">
        <v>29.64</v>
      </c>
      <c r="AJ114" s="110">
        <v>112</v>
      </c>
      <c r="AK114" s="111" t="s">
        <v>462</v>
      </c>
      <c r="AL114" s="111">
        <v>696</v>
      </c>
      <c r="AM114" s="111" t="s">
        <v>215</v>
      </c>
      <c r="AN114" s="112">
        <v>29.64</v>
      </c>
      <c r="AO114" s="112">
        <f t="shared" si="8"/>
        <v>65.866666666666674</v>
      </c>
      <c r="AP114" s="111" t="s">
        <v>427</v>
      </c>
    </row>
    <row r="115" spans="1:42" ht="15.75" customHeight="1" x14ac:dyDescent="0.3">
      <c r="A115" s="4">
        <v>113</v>
      </c>
      <c r="B115" s="114">
        <v>22</v>
      </c>
      <c r="C115" s="101">
        <f t="shared" si="0"/>
        <v>0.48888888888888887</v>
      </c>
      <c r="D115" s="4" t="s">
        <v>271</v>
      </c>
      <c r="F115" s="4" t="s">
        <v>293</v>
      </c>
      <c r="G115" s="106">
        <f t="shared" si="1"/>
        <v>0.61222222222222222</v>
      </c>
      <c r="H115" s="107">
        <v>27.55</v>
      </c>
      <c r="I115" s="14">
        <v>193</v>
      </c>
      <c r="AB115" s="4">
        <v>113</v>
      </c>
      <c r="AC115" s="4">
        <v>45</v>
      </c>
      <c r="AD115" s="109">
        <v>5.3</v>
      </c>
      <c r="AE115" s="4" t="s">
        <v>274</v>
      </c>
      <c r="AG115" s="4">
        <v>113</v>
      </c>
      <c r="AH115" s="4">
        <v>23</v>
      </c>
      <c r="AI115" s="109">
        <v>29.66</v>
      </c>
      <c r="AJ115" s="110">
        <v>113</v>
      </c>
      <c r="AK115" s="111" t="s">
        <v>457</v>
      </c>
      <c r="AL115" s="111">
        <v>23</v>
      </c>
      <c r="AM115" s="111" t="s">
        <v>138</v>
      </c>
      <c r="AN115" s="112">
        <v>29.66</v>
      </c>
      <c r="AO115" s="112">
        <f t="shared" si="8"/>
        <v>65.911111111111111</v>
      </c>
      <c r="AP115" s="111" t="s">
        <v>427</v>
      </c>
    </row>
    <row r="116" spans="1:42" ht="15.75" customHeight="1" x14ac:dyDescent="0.3">
      <c r="A116" s="4">
        <v>114</v>
      </c>
      <c r="B116" s="114">
        <v>21.97</v>
      </c>
      <c r="C116" s="101">
        <f t="shared" si="0"/>
        <v>0.48822222222222222</v>
      </c>
      <c r="D116" s="4" t="s">
        <v>271</v>
      </c>
      <c r="F116" s="4" t="s">
        <v>293</v>
      </c>
      <c r="G116" s="106">
        <f t="shared" si="1"/>
        <v>0.61266666666666669</v>
      </c>
      <c r="H116" s="107">
        <v>27.57</v>
      </c>
      <c r="I116" s="14">
        <v>63</v>
      </c>
      <c r="AB116" s="4">
        <v>114</v>
      </c>
      <c r="AC116" s="4">
        <v>461</v>
      </c>
      <c r="AD116" s="109">
        <v>22.88</v>
      </c>
      <c r="AE116" s="4" t="s">
        <v>369</v>
      </c>
      <c r="AG116" s="4">
        <v>114</v>
      </c>
      <c r="AH116" s="4">
        <v>461</v>
      </c>
      <c r="AI116" s="109">
        <v>29.73</v>
      </c>
      <c r="AJ116" s="110">
        <v>114</v>
      </c>
      <c r="AK116" s="111" t="s">
        <v>463</v>
      </c>
      <c r="AL116" s="111">
        <v>461</v>
      </c>
      <c r="AM116" s="111" t="s">
        <v>175</v>
      </c>
      <c r="AN116" s="112">
        <v>29.73</v>
      </c>
      <c r="AO116" s="112">
        <f t="shared" si="8"/>
        <v>66.066666666666663</v>
      </c>
      <c r="AP116" s="111" t="s">
        <v>427</v>
      </c>
    </row>
    <row r="117" spans="1:42" ht="15.75" customHeight="1" x14ac:dyDescent="0.3">
      <c r="A117" s="4">
        <v>115</v>
      </c>
      <c r="B117" s="114">
        <v>21.97</v>
      </c>
      <c r="C117" s="101">
        <f t="shared" si="0"/>
        <v>0.48822222222222222</v>
      </c>
      <c r="D117" s="4" t="s">
        <v>271</v>
      </c>
      <c r="F117" s="4" t="s">
        <v>293</v>
      </c>
      <c r="G117" s="106">
        <f t="shared" si="1"/>
        <v>0.6133333333333334</v>
      </c>
      <c r="H117" s="115">
        <v>27.6</v>
      </c>
      <c r="I117" s="116">
        <v>2184</v>
      </c>
      <c r="AB117" s="4">
        <v>115</v>
      </c>
      <c r="AC117" s="4">
        <v>369</v>
      </c>
      <c r="AD117" s="109">
        <v>30.28</v>
      </c>
      <c r="AE117" s="4" t="s">
        <v>464</v>
      </c>
      <c r="AG117" s="4">
        <v>115</v>
      </c>
      <c r="AH117" s="4">
        <v>54</v>
      </c>
      <c r="AI117" s="109">
        <v>29.82</v>
      </c>
      <c r="AJ117" s="110">
        <v>115</v>
      </c>
      <c r="AK117" s="111" t="s">
        <v>456</v>
      </c>
      <c r="AL117" s="111">
        <v>54</v>
      </c>
      <c r="AM117" s="111" t="s">
        <v>138</v>
      </c>
      <c r="AN117" s="112">
        <v>29.82</v>
      </c>
      <c r="AO117" s="112">
        <f t="shared" si="8"/>
        <v>66.266666666666666</v>
      </c>
      <c r="AP117" s="111" t="s">
        <v>427</v>
      </c>
    </row>
    <row r="118" spans="1:42" ht="15.75" customHeight="1" x14ac:dyDescent="0.3">
      <c r="A118" s="4">
        <v>116</v>
      </c>
      <c r="B118" s="114">
        <v>21.83</v>
      </c>
      <c r="C118" s="101">
        <f t="shared" si="0"/>
        <v>0.48511111111111105</v>
      </c>
      <c r="D118" s="4" t="s">
        <v>271</v>
      </c>
      <c r="F118" s="4" t="s">
        <v>293</v>
      </c>
      <c r="G118" s="106">
        <f t="shared" si="1"/>
        <v>0.61399999999999999</v>
      </c>
      <c r="H118" s="107">
        <v>27.63</v>
      </c>
      <c r="I118" s="13">
        <v>1232</v>
      </c>
      <c r="AB118" s="4">
        <v>116</v>
      </c>
      <c r="AC118" s="4">
        <v>281</v>
      </c>
      <c r="AD118" s="109">
        <v>16.149999999999999</v>
      </c>
      <c r="AE118" s="4" t="s">
        <v>304</v>
      </c>
      <c r="AG118" s="4">
        <v>116</v>
      </c>
      <c r="AH118" s="4">
        <v>148</v>
      </c>
      <c r="AI118" s="109">
        <v>29.82</v>
      </c>
      <c r="AJ118" s="110">
        <v>116</v>
      </c>
      <c r="AK118" s="111" t="s">
        <v>465</v>
      </c>
      <c r="AL118" s="111">
        <v>148</v>
      </c>
      <c r="AM118" s="111" t="s">
        <v>110</v>
      </c>
      <c r="AN118" s="112">
        <v>29.82</v>
      </c>
      <c r="AO118" s="112">
        <f t="shared" si="8"/>
        <v>66.266666666666666</v>
      </c>
      <c r="AP118" s="111" t="s">
        <v>427</v>
      </c>
    </row>
    <row r="119" spans="1:42" ht="15.75" customHeight="1" x14ac:dyDescent="0.3">
      <c r="A119" s="4">
        <v>117</v>
      </c>
      <c r="B119" s="114">
        <v>21.75</v>
      </c>
      <c r="C119" s="101">
        <f t="shared" si="0"/>
        <v>0.48333333333333334</v>
      </c>
      <c r="D119" s="4" t="s">
        <v>271</v>
      </c>
      <c r="F119" s="4" t="s">
        <v>293</v>
      </c>
      <c r="G119" s="106">
        <f t="shared" si="1"/>
        <v>0.61599999999999999</v>
      </c>
      <c r="H119" s="115">
        <v>27.72</v>
      </c>
      <c r="I119" s="116">
        <v>1843</v>
      </c>
      <c r="AB119" s="4">
        <v>117</v>
      </c>
      <c r="AC119" s="4">
        <v>332</v>
      </c>
      <c r="AD119" s="109">
        <v>29.52</v>
      </c>
      <c r="AE119" s="4" t="s">
        <v>460</v>
      </c>
      <c r="AG119" s="4">
        <v>117</v>
      </c>
      <c r="AH119" s="4">
        <v>293</v>
      </c>
      <c r="AI119" s="109">
        <v>29.84</v>
      </c>
      <c r="AJ119" s="110">
        <v>117</v>
      </c>
      <c r="AK119" s="111" t="s">
        <v>466</v>
      </c>
      <c r="AL119" s="111">
        <v>293</v>
      </c>
      <c r="AM119" s="111" t="s">
        <v>169</v>
      </c>
      <c r="AN119" s="112">
        <v>29.84</v>
      </c>
      <c r="AO119" s="112">
        <f t="shared" si="8"/>
        <v>66.311111111111103</v>
      </c>
      <c r="AP119" s="111" t="s">
        <v>427</v>
      </c>
    </row>
    <row r="120" spans="1:42" ht="15.75" customHeight="1" x14ac:dyDescent="0.3">
      <c r="A120" s="4">
        <v>118</v>
      </c>
      <c r="B120" s="114">
        <v>21.67</v>
      </c>
      <c r="C120" s="101">
        <f t="shared" si="0"/>
        <v>0.48155555555555557</v>
      </c>
      <c r="D120" s="4" t="s">
        <v>271</v>
      </c>
      <c r="F120" s="4" t="s">
        <v>293</v>
      </c>
      <c r="G120" s="106">
        <f t="shared" si="1"/>
        <v>0.6193333333333334</v>
      </c>
      <c r="H120" s="107">
        <v>27.87</v>
      </c>
      <c r="I120" s="14">
        <v>1292</v>
      </c>
      <c r="AB120" s="4">
        <v>118</v>
      </c>
      <c r="AC120" s="4">
        <v>108</v>
      </c>
      <c r="AD120" s="109">
        <v>28.53</v>
      </c>
      <c r="AE120" s="4" t="s">
        <v>451</v>
      </c>
      <c r="AG120" s="4">
        <v>118</v>
      </c>
      <c r="AH120" s="4">
        <v>156</v>
      </c>
      <c r="AI120" s="109">
        <v>29.92</v>
      </c>
      <c r="AJ120" s="110">
        <v>118</v>
      </c>
      <c r="AK120" s="111" t="s">
        <v>433</v>
      </c>
      <c r="AL120" s="111">
        <v>156</v>
      </c>
      <c r="AM120" s="111" t="s">
        <v>110</v>
      </c>
      <c r="AN120" s="112">
        <v>29.92</v>
      </c>
      <c r="AO120" s="112">
        <f t="shared" si="8"/>
        <v>66.488888888888894</v>
      </c>
      <c r="AP120" s="111" t="s">
        <v>427</v>
      </c>
    </row>
    <row r="121" spans="1:42" ht="15.75" customHeight="1" x14ac:dyDescent="0.3">
      <c r="A121" s="4">
        <v>119</v>
      </c>
      <c r="B121" s="114">
        <v>21.53</v>
      </c>
      <c r="C121" s="101">
        <f t="shared" si="0"/>
        <v>0.47844444444444445</v>
      </c>
      <c r="D121" s="4" t="s">
        <v>271</v>
      </c>
      <c r="F121" s="4" t="s">
        <v>293</v>
      </c>
      <c r="G121" s="106">
        <f t="shared" si="1"/>
        <v>0.61955555555555553</v>
      </c>
      <c r="H121" s="107">
        <v>27.88</v>
      </c>
      <c r="I121" s="14">
        <v>455</v>
      </c>
      <c r="AB121" s="4">
        <v>119</v>
      </c>
      <c r="AC121" s="4">
        <v>98</v>
      </c>
      <c r="AD121" s="109">
        <v>24.05</v>
      </c>
      <c r="AE121" s="4" t="s">
        <v>393</v>
      </c>
      <c r="AG121" s="4">
        <v>119</v>
      </c>
      <c r="AH121" s="4">
        <v>1000</v>
      </c>
      <c r="AI121" s="109">
        <v>30</v>
      </c>
      <c r="AJ121" s="110">
        <v>119</v>
      </c>
      <c r="AK121" s="111" t="s">
        <v>273</v>
      </c>
      <c r="AL121" s="111">
        <v>1000</v>
      </c>
      <c r="AM121" s="111" t="s">
        <v>348</v>
      </c>
      <c r="AN121" s="112">
        <v>30</v>
      </c>
      <c r="AO121" s="112">
        <f t="shared" si="8"/>
        <v>66.666666666666657</v>
      </c>
      <c r="AP121" s="111" t="s">
        <v>427</v>
      </c>
    </row>
    <row r="122" spans="1:42" ht="15.75" customHeight="1" x14ac:dyDescent="0.3">
      <c r="A122" s="4">
        <v>120</v>
      </c>
      <c r="B122" s="114">
        <v>21.53</v>
      </c>
      <c r="C122" s="101">
        <f t="shared" si="0"/>
        <v>0.47844444444444445</v>
      </c>
      <c r="D122" s="4" t="s">
        <v>271</v>
      </c>
      <c r="F122" s="4" t="s">
        <v>293</v>
      </c>
      <c r="G122" s="106">
        <f t="shared" si="1"/>
        <v>0.62155555555555553</v>
      </c>
      <c r="H122" s="107">
        <v>27.97</v>
      </c>
      <c r="I122" s="13">
        <v>1787</v>
      </c>
      <c r="AB122" s="4">
        <v>120</v>
      </c>
      <c r="AC122" s="4">
        <v>245</v>
      </c>
      <c r="AD122" s="109">
        <v>20.81</v>
      </c>
      <c r="AE122" s="4" t="s">
        <v>337</v>
      </c>
      <c r="AG122" s="4">
        <v>120</v>
      </c>
      <c r="AH122" s="4">
        <v>1086</v>
      </c>
      <c r="AI122" s="109">
        <v>30</v>
      </c>
      <c r="AJ122" s="110">
        <v>120</v>
      </c>
      <c r="AK122" s="111" t="s">
        <v>297</v>
      </c>
      <c r="AL122" s="111">
        <v>1086</v>
      </c>
      <c r="AM122" s="111" t="s">
        <v>467</v>
      </c>
      <c r="AN122" s="112">
        <v>30</v>
      </c>
      <c r="AO122" s="112">
        <f t="shared" si="8"/>
        <v>66.666666666666657</v>
      </c>
      <c r="AP122" s="111" t="s">
        <v>427</v>
      </c>
    </row>
    <row r="123" spans="1:42" ht="15.75" customHeight="1" x14ac:dyDescent="0.3">
      <c r="A123" s="4">
        <v>121</v>
      </c>
      <c r="B123" s="114">
        <v>21.51</v>
      </c>
      <c r="C123" s="101">
        <f t="shared" si="0"/>
        <v>0.47800000000000004</v>
      </c>
      <c r="D123" s="4" t="s">
        <v>271</v>
      </c>
      <c r="F123" s="4" t="s">
        <v>293</v>
      </c>
      <c r="G123" s="106">
        <f t="shared" si="1"/>
        <v>0.62422222222222223</v>
      </c>
      <c r="H123" s="107">
        <v>28.09</v>
      </c>
      <c r="I123" s="13">
        <v>1088</v>
      </c>
      <c r="AB123" s="4">
        <v>121</v>
      </c>
      <c r="AC123" s="4">
        <v>113</v>
      </c>
      <c r="AD123" s="109">
        <v>13.38</v>
      </c>
      <c r="AE123" s="4" t="s">
        <v>290</v>
      </c>
      <c r="AG123" s="4">
        <v>121</v>
      </c>
      <c r="AH123" s="4">
        <v>1239</v>
      </c>
      <c r="AI123" s="109">
        <v>30</v>
      </c>
      <c r="AJ123" s="110">
        <v>121</v>
      </c>
      <c r="AK123" s="111" t="s">
        <v>312</v>
      </c>
      <c r="AL123" s="111">
        <v>1239</v>
      </c>
      <c r="AM123" s="111" t="s">
        <v>326</v>
      </c>
      <c r="AN123" s="112">
        <v>30</v>
      </c>
      <c r="AO123" s="112">
        <f t="shared" si="8"/>
        <v>66.666666666666657</v>
      </c>
      <c r="AP123" s="111" t="s">
        <v>427</v>
      </c>
    </row>
    <row r="124" spans="1:42" ht="15.75" customHeight="1" x14ac:dyDescent="0.3">
      <c r="A124" s="4">
        <v>122</v>
      </c>
      <c r="B124" s="114">
        <v>21.41</v>
      </c>
      <c r="C124" s="101">
        <f t="shared" si="0"/>
        <v>0.4757777777777778</v>
      </c>
      <c r="D124" s="4" t="s">
        <v>271</v>
      </c>
      <c r="F124" s="4" t="s">
        <v>293</v>
      </c>
      <c r="G124" s="106">
        <f t="shared" si="1"/>
        <v>0.62444444444444447</v>
      </c>
      <c r="H124" s="107">
        <v>28.1</v>
      </c>
      <c r="I124" s="13">
        <v>1447</v>
      </c>
      <c r="AB124" s="4">
        <v>122</v>
      </c>
      <c r="AC124" s="4">
        <v>69</v>
      </c>
      <c r="AD124" s="109">
        <v>23.57</v>
      </c>
      <c r="AE124" s="4" t="s">
        <v>382</v>
      </c>
      <c r="AG124" s="4">
        <v>122</v>
      </c>
      <c r="AH124" s="4">
        <v>1470</v>
      </c>
      <c r="AI124" s="109">
        <v>30</v>
      </c>
      <c r="AJ124" s="110">
        <v>122</v>
      </c>
      <c r="AK124" s="111" t="s">
        <v>380</v>
      </c>
      <c r="AL124" s="111">
        <v>1470</v>
      </c>
      <c r="AM124" s="111" t="s">
        <v>468</v>
      </c>
      <c r="AN124" s="112">
        <v>30</v>
      </c>
      <c r="AO124" s="112">
        <f t="shared" si="8"/>
        <v>66.666666666666657</v>
      </c>
      <c r="AP124" s="111" t="s">
        <v>427</v>
      </c>
    </row>
    <row r="125" spans="1:42" ht="15.75" customHeight="1" x14ac:dyDescent="0.3">
      <c r="A125" s="4">
        <v>123</v>
      </c>
      <c r="B125" s="114">
        <v>21.16</v>
      </c>
      <c r="C125" s="101">
        <f t="shared" si="0"/>
        <v>0.47022222222222221</v>
      </c>
      <c r="D125" s="4" t="s">
        <v>271</v>
      </c>
      <c r="F125" s="4" t="s">
        <v>293</v>
      </c>
      <c r="G125" s="106">
        <f t="shared" si="1"/>
        <v>0.63044444444444447</v>
      </c>
      <c r="H125" s="115">
        <v>28.37</v>
      </c>
      <c r="I125" s="116">
        <v>1909</v>
      </c>
      <c r="AB125" s="4">
        <v>123</v>
      </c>
      <c r="AC125" s="4">
        <v>38</v>
      </c>
      <c r="AD125" s="109">
        <v>24.48</v>
      </c>
      <c r="AE125" s="4" t="s">
        <v>396</v>
      </c>
      <c r="AG125" s="4">
        <v>123</v>
      </c>
      <c r="AH125" s="4">
        <v>1046</v>
      </c>
      <c r="AI125" s="109">
        <v>30</v>
      </c>
      <c r="AJ125" s="110">
        <v>123</v>
      </c>
      <c r="AK125" s="111" t="s">
        <v>469</v>
      </c>
      <c r="AL125" s="111">
        <v>1046</v>
      </c>
      <c r="AM125" s="111" t="s">
        <v>319</v>
      </c>
      <c r="AN125" s="112">
        <v>30</v>
      </c>
      <c r="AO125" s="112">
        <f t="shared" si="8"/>
        <v>66.666666666666657</v>
      </c>
      <c r="AP125" s="111" t="s">
        <v>427</v>
      </c>
    </row>
    <row r="126" spans="1:42" ht="15.75" customHeight="1" x14ac:dyDescent="0.3">
      <c r="A126" s="4">
        <v>124</v>
      </c>
      <c r="B126" s="114">
        <v>21.06</v>
      </c>
      <c r="C126" s="101">
        <f t="shared" si="0"/>
        <v>0.46799999999999997</v>
      </c>
      <c r="D126" s="4" t="s">
        <v>271</v>
      </c>
      <c r="F126" s="4" t="s">
        <v>293</v>
      </c>
      <c r="G126" s="106">
        <f t="shared" si="1"/>
        <v>0.63088888888888894</v>
      </c>
      <c r="H126" s="107">
        <v>28.39</v>
      </c>
      <c r="I126" s="14">
        <v>70</v>
      </c>
      <c r="AB126" s="4">
        <v>124</v>
      </c>
      <c r="AC126" s="4">
        <v>445</v>
      </c>
      <c r="AD126" s="109">
        <v>25.55</v>
      </c>
      <c r="AE126" s="4" t="s">
        <v>410</v>
      </c>
      <c r="AG126" s="4">
        <v>124</v>
      </c>
      <c r="AH126" s="4">
        <v>638</v>
      </c>
      <c r="AI126" s="109">
        <v>30.12</v>
      </c>
      <c r="AJ126" s="110">
        <v>124</v>
      </c>
      <c r="AK126" s="111" t="s">
        <v>470</v>
      </c>
      <c r="AL126" s="111">
        <v>638</v>
      </c>
      <c r="AM126" s="111" t="s">
        <v>169</v>
      </c>
      <c r="AN126" s="112">
        <v>30.12</v>
      </c>
      <c r="AO126" s="112">
        <f t="shared" si="8"/>
        <v>66.933333333333337</v>
      </c>
      <c r="AP126" s="111" t="s">
        <v>427</v>
      </c>
    </row>
    <row r="127" spans="1:42" ht="15.75" customHeight="1" x14ac:dyDescent="0.3">
      <c r="A127" s="4">
        <v>125</v>
      </c>
      <c r="B127" s="114">
        <v>20.94</v>
      </c>
      <c r="C127" s="101">
        <f t="shared" si="0"/>
        <v>0.46533333333333338</v>
      </c>
      <c r="D127" s="4" t="s">
        <v>271</v>
      </c>
      <c r="F127" s="4" t="s">
        <v>293</v>
      </c>
      <c r="G127" s="106">
        <f t="shared" si="1"/>
        <v>0.63288888888888895</v>
      </c>
      <c r="H127" s="107">
        <v>28.48</v>
      </c>
      <c r="I127" s="14">
        <v>282</v>
      </c>
      <c r="AB127" s="4">
        <v>125</v>
      </c>
      <c r="AC127" s="4">
        <v>62</v>
      </c>
      <c r="AD127" s="109">
        <v>21.06</v>
      </c>
      <c r="AE127" s="4" t="s">
        <v>341</v>
      </c>
      <c r="AG127" s="4">
        <v>125</v>
      </c>
      <c r="AH127" s="4">
        <v>1274</v>
      </c>
      <c r="AI127" s="109">
        <v>30.14</v>
      </c>
      <c r="AJ127" s="110">
        <v>125</v>
      </c>
      <c r="AK127" s="111" t="s">
        <v>414</v>
      </c>
      <c r="AL127" s="111">
        <v>1274</v>
      </c>
      <c r="AM127" s="111" t="s">
        <v>230</v>
      </c>
      <c r="AN127" s="112">
        <v>30.14</v>
      </c>
      <c r="AO127" s="112">
        <f t="shared" si="8"/>
        <v>66.977777777777774</v>
      </c>
      <c r="AP127" s="111" t="s">
        <v>427</v>
      </c>
    </row>
    <row r="128" spans="1:42" ht="15.75" customHeight="1" x14ac:dyDescent="0.3">
      <c r="A128" s="4">
        <v>126</v>
      </c>
      <c r="B128" s="114">
        <v>20.81</v>
      </c>
      <c r="C128" s="101">
        <f t="shared" si="0"/>
        <v>0.46244444444444444</v>
      </c>
      <c r="D128" s="4" t="s">
        <v>271</v>
      </c>
      <c r="F128" s="4" t="s">
        <v>293</v>
      </c>
      <c r="G128" s="106">
        <f t="shared" si="1"/>
        <v>0.63400000000000001</v>
      </c>
      <c r="H128" s="107">
        <v>28.53</v>
      </c>
      <c r="I128" s="14">
        <v>108</v>
      </c>
      <c r="AB128" s="4">
        <v>126</v>
      </c>
      <c r="AC128" s="4">
        <v>288</v>
      </c>
      <c r="AD128" s="109">
        <v>21.67</v>
      </c>
      <c r="AE128" s="4" t="s">
        <v>355</v>
      </c>
      <c r="AG128" s="4">
        <v>126</v>
      </c>
      <c r="AH128" s="4">
        <v>369</v>
      </c>
      <c r="AI128" s="109">
        <v>30.28</v>
      </c>
      <c r="AJ128" s="110">
        <v>126</v>
      </c>
      <c r="AK128" s="111" t="s">
        <v>464</v>
      </c>
      <c r="AL128" s="111">
        <v>369</v>
      </c>
      <c r="AM128" s="111" t="s">
        <v>151</v>
      </c>
      <c r="AN128" s="112">
        <v>30.28</v>
      </c>
      <c r="AO128" s="112">
        <f t="shared" si="8"/>
        <v>67.288888888888891</v>
      </c>
      <c r="AP128" s="111" t="s">
        <v>427</v>
      </c>
    </row>
    <row r="129" spans="1:42" ht="15.75" customHeight="1" x14ac:dyDescent="0.3">
      <c r="A129" s="4">
        <v>127</v>
      </c>
      <c r="B129" s="114">
        <v>20.72</v>
      </c>
      <c r="C129" s="101">
        <f t="shared" si="0"/>
        <v>0.46044444444444443</v>
      </c>
      <c r="D129" s="4" t="s">
        <v>271</v>
      </c>
      <c r="F129" s="4" t="s">
        <v>293</v>
      </c>
      <c r="G129" s="106">
        <f t="shared" si="1"/>
        <v>0.63488888888888895</v>
      </c>
      <c r="H129" s="107">
        <v>28.57</v>
      </c>
      <c r="I129" s="14">
        <v>39</v>
      </c>
      <c r="AB129" s="4">
        <v>127</v>
      </c>
      <c r="AC129" s="4">
        <v>69</v>
      </c>
      <c r="AD129" s="109">
        <v>21.16</v>
      </c>
      <c r="AE129" s="4" t="s">
        <v>344</v>
      </c>
      <c r="AG129" s="4">
        <v>127</v>
      </c>
      <c r="AH129" s="4">
        <v>661</v>
      </c>
      <c r="AI129" s="109">
        <v>30.28</v>
      </c>
      <c r="AJ129" s="110">
        <v>127</v>
      </c>
      <c r="AK129" s="111" t="s">
        <v>471</v>
      </c>
      <c r="AL129" s="111">
        <v>661</v>
      </c>
      <c r="AM129" s="111" t="s">
        <v>342</v>
      </c>
      <c r="AN129" s="112">
        <v>30.28</v>
      </c>
      <c r="AO129" s="112">
        <f t="shared" si="8"/>
        <v>67.288888888888891</v>
      </c>
      <c r="AP129" s="111" t="s">
        <v>427</v>
      </c>
    </row>
    <row r="130" spans="1:42" ht="15.75" customHeight="1" x14ac:dyDescent="0.3">
      <c r="A130" s="4">
        <v>128</v>
      </c>
      <c r="B130" s="114">
        <v>20.7</v>
      </c>
      <c r="C130" s="101">
        <f t="shared" si="0"/>
        <v>0.45999999999999996</v>
      </c>
      <c r="D130" s="4" t="s">
        <v>271</v>
      </c>
      <c r="F130" s="4" t="s">
        <v>293</v>
      </c>
      <c r="G130" s="106">
        <f t="shared" si="1"/>
        <v>0.63622222222222224</v>
      </c>
      <c r="H130" s="107">
        <v>28.63</v>
      </c>
      <c r="I130" s="13">
        <v>745</v>
      </c>
      <c r="AB130" s="4">
        <v>128</v>
      </c>
      <c r="AC130" s="4">
        <v>661</v>
      </c>
      <c r="AD130" s="109">
        <v>30.28</v>
      </c>
      <c r="AE130" s="4" t="s">
        <v>471</v>
      </c>
      <c r="AG130" s="4">
        <v>128</v>
      </c>
      <c r="AH130" s="4">
        <v>1155</v>
      </c>
      <c r="AI130" s="109">
        <v>30.33</v>
      </c>
      <c r="AJ130" s="110">
        <v>128</v>
      </c>
      <c r="AK130" s="111" t="s">
        <v>472</v>
      </c>
      <c r="AL130" s="111">
        <v>1155</v>
      </c>
      <c r="AM130" s="111" t="s">
        <v>473</v>
      </c>
      <c r="AN130" s="112">
        <v>30.33</v>
      </c>
      <c r="AO130" s="112">
        <f t="shared" si="8"/>
        <v>67.399999999999991</v>
      </c>
      <c r="AP130" s="111" t="s">
        <v>427</v>
      </c>
    </row>
    <row r="131" spans="1:42" ht="15.75" customHeight="1" x14ac:dyDescent="0.3">
      <c r="A131" s="4">
        <v>129</v>
      </c>
      <c r="B131" s="114">
        <v>20.46</v>
      </c>
      <c r="C131" s="101">
        <f t="shared" si="0"/>
        <v>0.45466666666666666</v>
      </c>
      <c r="D131" s="4" t="s">
        <v>271</v>
      </c>
      <c r="F131" s="4" t="s">
        <v>293</v>
      </c>
      <c r="G131" s="106">
        <f t="shared" si="1"/>
        <v>0.6366666666666666</v>
      </c>
      <c r="H131" s="107">
        <v>28.65</v>
      </c>
      <c r="I131" s="14">
        <v>20</v>
      </c>
      <c r="AB131" s="4">
        <v>129</v>
      </c>
      <c r="AC131" s="4">
        <v>515</v>
      </c>
      <c r="AD131" s="109">
        <v>29.54</v>
      </c>
      <c r="AE131" s="4" t="s">
        <v>461</v>
      </c>
      <c r="AG131" s="4">
        <v>129</v>
      </c>
      <c r="AH131" s="4">
        <v>2188</v>
      </c>
      <c r="AI131" s="109">
        <v>30.37</v>
      </c>
      <c r="AJ131" s="110">
        <v>129</v>
      </c>
      <c r="AK131" s="111" t="s">
        <v>310</v>
      </c>
      <c r="AL131" s="111">
        <v>2188</v>
      </c>
      <c r="AM131" s="111" t="s">
        <v>326</v>
      </c>
      <c r="AN131" s="112">
        <v>30.37</v>
      </c>
      <c r="AO131" s="112">
        <f t="shared" si="8"/>
        <v>67.48888888888888</v>
      </c>
      <c r="AP131" s="111" t="s">
        <v>427</v>
      </c>
    </row>
    <row r="132" spans="1:42" ht="15.75" customHeight="1" x14ac:dyDescent="0.3">
      <c r="A132" s="4">
        <v>130</v>
      </c>
      <c r="B132" s="114">
        <v>20.32</v>
      </c>
      <c r="C132" s="101">
        <f t="shared" si="0"/>
        <v>0.45155555555555554</v>
      </c>
      <c r="D132" s="4" t="s">
        <v>271</v>
      </c>
      <c r="F132" s="4" t="s">
        <v>293</v>
      </c>
      <c r="G132" s="106">
        <f t="shared" si="1"/>
        <v>0.64</v>
      </c>
      <c r="H132" s="115">
        <v>28.8</v>
      </c>
      <c r="I132" s="116">
        <v>2056</v>
      </c>
      <c r="AB132" s="4">
        <v>130</v>
      </c>
      <c r="AC132" s="4">
        <v>293</v>
      </c>
      <c r="AD132" s="109">
        <v>29.84</v>
      </c>
      <c r="AE132" s="4" t="s">
        <v>466</v>
      </c>
      <c r="AG132" s="4">
        <v>130</v>
      </c>
      <c r="AH132" s="4">
        <v>1008</v>
      </c>
      <c r="AI132" s="109">
        <v>30.41</v>
      </c>
      <c r="AJ132" s="110">
        <v>130</v>
      </c>
      <c r="AK132" s="111" t="s">
        <v>360</v>
      </c>
      <c r="AL132" s="111">
        <v>1008</v>
      </c>
      <c r="AM132" s="111" t="s">
        <v>324</v>
      </c>
      <c r="AN132" s="112">
        <v>30.41</v>
      </c>
      <c r="AO132" s="112">
        <f t="shared" si="8"/>
        <v>67.577777777777783</v>
      </c>
      <c r="AP132" s="111" t="s">
        <v>427</v>
      </c>
    </row>
    <row r="133" spans="1:42" ht="15.75" customHeight="1" x14ac:dyDescent="0.3">
      <c r="A133" s="4">
        <v>131</v>
      </c>
      <c r="B133" s="114">
        <v>20.22</v>
      </c>
      <c r="C133" s="101">
        <f t="shared" si="0"/>
        <v>0.44933333333333331</v>
      </c>
      <c r="D133" s="4" t="s">
        <v>271</v>
      </c>
      <c r="F133" s="4" t="s">
        <v>293</v>
      </c>
      <c r="G133" s="106">
        <f t="shared" si="1"/>
        <v>0.64066666666666661</v>
      </c>
      <c r="H133" s="107">
        <v>28.83</v>
      </c>
      <c r="I133" s="14">
        <v>119</v>
      </c>
      <c r="AB133" s="4">
        <v>131</v>
      </c>
      <c r="AC133" s="4">
        <v>971</v>
      </c>
      <c r="AD133" s="109">
        <v>32.36</v>
      </c>
      <c r="AE133" s="4" t="s">
        <v>474</v>
      </c>
      <c r="AG133" s="4">
        <v>131</v>
      </c>
      <c r="AH133" s="4">
        <v>1090</v>
      </c>
      <c r="AI133" s="109">
        <v>30.5</v>
      </c>
      <c r="AJ133" s="110">
        <v>131</v>
      </c>
      <c r="AK133" s="111" t="s">
        <v>364</v>
      </c>
      <c r="AL133" s="111">
        <v>1090</v>
      </c>
      <c r="AM133" s="111" t="s">
        <v>324</v>
      </c>
      <c r="AN133" s="112">
        <v>30.5</v>
      </c>
      <c r="AO133" s="112">
        <f t="shared" si="8"/>
        <v>67.777777777777786</v>
      </c>
      <c r="AP133" s="111" t="s">
        <v>427</v>
      </c>
    </row>
    <row r="134" spans="1:42" ht="15.75" customHeight="1" x14ac:dyDescent="0.3">
      <c r="A134" s="4">
        <v>132</v>
      </c>
      <c r="B134" s="114">
        <v>20.18</v>
      </c>
      <c r="C134" s="101">
        <f t="shared" si="0"/>
        <v>0.44844444444444442</v>
      </c>
      <c r="D134" s="4" t="s">
        <v>271</v>
      </c>
      <c r="F134" s="4" t="s">
        <v>293</v>
      </c>
      <c r="G134" s="106">
        <f t="shared" si="1"/>
        <v>0.64155555555555555</v>
      </c>
      <c r="H134" s="107">
        <v>28.87</v>
      </c>
      <c r="I134" s="14">
        <v>42</v>
      </c>
      <c r="AB134" s="4">
        <v>132</v>
      </c>
      <c r="AC134" s="4">
        <v>638</v>
      </c>
      <c r="AD134" s="109">
        <v>30.12</v>
      </c>
      <c r="AE134" s="4" t="s">
        <v>470</v>
      </c>
      <c r="AG134" s="4">
        <v>132</v>
      </c>
      <c r="AH134" s="4">
        <v>445</v>
      </c>
      <c r="AI134" s="109">
        <v>30.65</v>
      </c>
      <c r="AJ134" s="110">
        <v>132</v>
      </c>
      <c r="AK134" s="111" t="s">
        <v>475</v>
      </c>
      <c r="AL134" s="111">
        <v>445</v>
      </c>
      <c r="AM134" s="111" t="s">
        <v>476</v>
      </c>
      <c r="AN134" s="112">
        <v>30.65</v>
      </c>
      <c r="AO134" s="112">
        <f t="shared" si="8"/>
        <v>68.111111111111114</v>
      </c>
      <c r="AP134" s="111" t="s">
        <v>427</v>
      </c>
    </row>
    <row r="135" spans="1:42" ht="15.75" customHeight="1" x14ac:dyDescent="0.3">
      <c r="A135" s="4">
        <v>133</v>
      </c>
      <c r="B135" s="114">
        <v>19.88</v>
      </c>
      <c r="C135" s="101">
        <f t="shared" si="0"/>
        <v>0.44177777777777777</v>
      </c>
      <c r="D135" s="4" t="s">
        <v>271</v>
      </c>
      <c r="F135" s="4" t="s">
        <v>293</v>
      </c>
      <c r="G135" s="106">
        <f t="shared" si="1"/>
        <v>0.65066666666666673</v>
      </c>
      <c r="H135" s="115">
        <v>29.28</v>
      </c>
      <c r="I135" s="117">
        <v>1086</v>
      </c>
      <c r="AB135" s="4">
        <v>133</v>
      </c>
      <c r="AC135" s="4">
        <v>1911</v>
      </c>
      <c r="AD135" s="109">
        <v>34</v>
      </c>
      <c r="AE135" s="4" t="s">
        <v>477</v>
      </c>
      <c r="AG135" s="4">
        <v>133</v>
      </c>
      <c r="AH135" s="4">
        <v>296</v>
      </c>
      <c r="AI135" s="109">
        <v>30.77</v>
      </c>
      <c r="AJ135" s="110">
        <v>133</v>
      </c>
      <c r="AK135" s="111" t="s">
        <v>478</v>
      </c>
      <c r="AL135" s="111">
        <v>296</v>
      </c>
      <c r="AM135" s="111" t="s">
        <v>479</v>
      </c>
      <c r="AN135" s="112">
        <v>30.77</v>
      </c>
      <c r="AO135" s="112">
        <f t="shared" si="8"/>
        <v>68.37777777777778</v>
      </c>
      <c r="AP135" s="111" t="s">
        <v>427</v>
      </c>
    </row>
    <row r="136" spans="1:42" ht="15.75" customHeight="1" x14ac:dyDescent="0.3">
      <c r="A136" s="4">
        <v>134</v>
      </c>
      <c r="B136" s="114">
        <v>19.809999999999999</v>
      </c>
      <c r="C136" s="101">
        <f t="shared" si="0"/>
        <v>0.44022222222222218</v>
      </c>
      <c r="D136" s="4" t="s">
        <v>271</v>
      </c>
      <c r="F136" s="4" t="s">
        <v>293</v>
      </c>
      <c r="G136" s="106">
        <f t="shared" si="1"/>
        <v>0.65444444444444438</v>
      </c>
      <c r="H136" s="107">
        <v>29.45</v>
      </c>
      <c r="I136" s="14">
        <v>107</v>
      </c>
      <c r="AB136" s="4">
        <v>134</v>
      </c>
      <c r="AC136" s="4">
        <v>1232</v>
      </c>
      <c r="AD136" s="109">
        <v>27.63</v>
      </c>
      <c r="AE136" s="4" t="s">
        <v>445</v>
      </c>
      <c r="AG136" s="4">
        <v>134</v>
      </c>
      <c r="AH136" s="4">
        <v>1812</v>
      </c>
      <c r="AI136" s="109">
        <v>30.8</v>
      </c>
      <c r="AJ136" s="110">
        <v>134</v>
      </c>
      <c r="AK136" s="111" t="s">
        <v>371</v>
      </c>
      <c r="AL136" s="111">
        <v>1812</v>
      </c>
      <c r="AM136" s="111" t="s">
        <v>435</v>
      </c>
      <c r="AN136" s="112">
        <v>30.8</v>
      </c>
      <c r="AO136" s="112">
        <f t="shared" si="8"/>
        <v>68.444444444444443</v>
      </c>
      <c r="AP136" s="111" t="s">
        <v>427</v>
      </c>
    </row>
    <row r="137" spans="1:42" ht="15.75" customHeight="1" x14ac:dyDescent="0.3">
      <c r="A137" s="4">
        <v>135</v>
      </c>
      <c r="B137" s="114">
        <v>19.7</v>
      </c>
      <c r="C137" s="101">
        <f t="shared" si="0"/>
        <v>0.43777777777777777</v>
      </c>
      <c r="D137" s="4" t="s">
        <v>271</v>
      </c>
      <c r="F137" s="4" t="s">
        <v>293</v>
      </c>
      <c r="G137" s="106">
        <f t="shared" si="1"/>
        <v>0.65911111111111109</v>
      </c>
      <c r="H137" s="107">
        <v>29.66</v>
      </c>
      <c r="I137" s="14">
        <v>23</v>
      </c>
      <c r="AB137" s="4">
        <v>135</v>
      </c>
      <c r="AC137" s="4">
        <v>50</v>
      </c>
      <c r="AD137" s="109">
        <v>12.03</v>
      </c>
      <c r="AE137" s="4" t="s">
        <v>278</v>
      </c>
      <c r="AG137" s="4">
        <v>135</v>
      </c>
      <c r="AH137" s="4">
        <v>1370</v>
      </c>
      <c r="AI137" s="109">
        <v>30.94</v>
      </c>
      <c r="AJ137" s="110">
        <v>135</v>
      </c>
      <c r="AK137" s="111" t="s">
        <v>280</v>
      </c>
      <c r="AL137" s="111">
        <v>1370</v>
      </c>
      <c r="AM137" s="111" t="s">
        <v>348</v>
      </c>
      <c r="AN137" s="112">
        <v>30.94</v>
      </c>
      <c r="AO137" s="112">
        <f t="shared" si="8"/>
        <v>68.75555555555556</v>
      </c>
      <c r="AP137" s="111" t="s">
        <v>427</v>
      </c>
    </row>
    <row r="138" spans="1:42" ht="15.75" customHeight="1" x14ac:dyDescent="0.3">
      <c r="A138" s="4">
        <v>136</v>
      </c>
      <c r="B138" s="114">
        <v>19.66</v>
      </c>
      <c r="C138" s="101">
        <f t="shared" si="0"/>
        <v>0.43688888888888888</v>
      </c>
      <c r="D138" s="4" t="s">
        <v>271</v>
      </c>
      <c r="F138" s="4" t="s">
        <v>293</v>
      </c>
      <c r="G138" s="106">
        <f t="shared" si="1"/>
        <v>0.66066666666666662</v>
      </c>
      <c r="H138" s="107">
        <v>29.73</v>
      </c>
      <c r="I138" s="13">
        <v>461</v>
      </c>
      <c r="AB138" s="4">
        <v>136</v>
      </c>
      <c r="AC138" s="4">
        <v>1155</v>
      </c>
      <c r="AD138" s="109">
        <v>30.33</v>
      </c>
      <c r="AE138" s="4" t="s">
        <v>472</v>
      </c>
      <c r="AG138" s="4">
        <v>136</v>
      </c>
      <c r="AH138" s="4">
        <v>1843</v>
      </c>
      <c r="AI138" s="109">
        <v>31</v>
      </c>
      <c r="AJ138" s="110">
        <v>136</v>
      </c>
      <c r="AK138" s="111" t="s">
        <v>354</v>
      </c>
      <c r="AL138" s="111">
        <v>1843</v>
      </c>
      <c r="AM138" s="111" t="s">
        <v>324</v>
      </c>
      <c r="AN138" s="112">
        <v>31</v>
      </c>
      <c r="AO138" s="112">
        <f t="shared" si="8"/>
        <v>68.888888888888886</v>
      </c>
      <c r="AP138" s="111" t="s">
        <v>427</v>
      </c>
    </row>
    <row r="139" spans="1:42" ht="15.75" customHeight="1" x14ac:dyDescent="0.3">
      <c r="A139" s="4">
        <v>137</v>
      </c>
      <c r="B139" s="114">
        <v>19.649999999999999</v>
      </c>
      <c r="C139" s="101">
        <f t="shared" si="0"/>
        <v>0.43666666666666665</v>
      </c>
      <c r="D139" s="4" t="s">
        <v>271</v>
      </c>
      <c r="F139" s="4" t="s">
        <v>293</v>
      </c>
      <c r="G139" s="106">
        <f t="shared" si="1"/>
        <v>0.66266666666666663</v>
      </c>
      <c r="H139" s="107">
        <v>29.82</v>
      </c>
      <c r="I139" s="14">
        <v>148</v>
      </c>
      <c r="AB139" s="4">
        <v>137</v>
      </c>
      <c r="AC139" s="4">
        <v>422</v>
      </c>
      <c r="AD139" s="109">
        <v>22.5</v>
      </c>
      <c r="AE139" s="4" t="s">
        <v>362</v>
      </c>
      <c r="AG139" s="4">
        <v>137</v>
      </c>
      <c r="AH139" s="4">
        <v>1744</v>
      </c>
      <c r="AI139" s="109">
        <v>31.21</v>
      </c>
      <c r="AJ139" s="110">
        <v>137</v>
      </c>
      <c r="AK139" s="111" t="s">
        <v>345</v>
      </c>
      <c r="AL139" s="111">
        <v>1744</v>
      </c>
      <c r="AM139" s="111" t="s">
        <v>392</v>
      </c>
      <c r="AN139" s="112">
        <v>31.21</v>
      </c>
      <c r="AO139" s="112">
        <f t="shared" si="8"/>
        <v>69.355555555555554</v>
      </c>
      <c r="AP139" s="111" t="s">
        <v>427</v>
      </c>
    </row>
    <row r="140" spans="1:42" ht="15.75" customHeight="1" x14ac:dyDescent="0.3">
      <c r="A140" s="4">
        <v>138</v>
      </c>
      <c r="B140" s="114">
        <v>19.32</v>
      </c>
      <c r="C140" s="101">
        <f t="shared" si="0"/>
        <v>0.42933333333333334</v>
      </c>
      <c r="D140" s="4" t="s">
        <v>271</v>
      </c>
      <c r="F140" s="4" t="s">
        <v>293</v>
      </c>
      <c r="G140" s="106">
        <f t="shared" si="1"/>
        <v>0.66266666666666663</v>
      </c>
      <c r="H140" s="107">
        <v>29.82</v>
      </c>
      <c r="I140" s="14">
        <v>54</v>
      </c>
      <c r="AB140" s="4">
        <v>138</v>
      </c>
      <c r="AC140" s="4">
        <v>194</v>
      </c>
      <c r="AD140" s="109">
        <v>32.479999999999997</v>
      </c>
      <c r="AE140" s="4" t="s">
        <v>480</v>
      </c>
      <c r="AG140" s="4">
        <v>138</v>
      </c>
      <c r="AH140" s="4">
        <v>1185</v>
      </c>
      <c r="AI140" s="109">
        <v>31.3</v>
      </c>
      <c r="AJ140" s="110">
        <v>138</v>
      </c>
      <c r="AK140" s="111" t="s">
        <v>381</v>
      </c>
      <c r="AL140" s="111">
        <v>1185</v>
      </c>
      <c r="AM140" s="111" t="s">
        <v>468</v>
      </c>
      <c r="AN140" s="112">
        <v>31.3</v>
      </c>
      <c r="AO140" s="112">
        <f t="shared" si="8"/>
        <v>69.555555555555557</v>
      </c>
      <c r="AP140" s="111" t="s">
        <v>427</v>
      </c>
    </row>
    <row r="141" spans="1:42" ht="15.75" customHeight="1" x14ac:dyDescent="0.3">
      <c r="A141" s="4">
        <v>139</v>
      </c>
      <c r="B141" s="114">
        <v>19.29</v>
      </c>
      <c r="C141" s="101">
        <f t="shared" si="0"/>
        <v>0.42866666666666664</v>
      </c>
      <c r="D141" s="4" t="s">
        <v>271</v>
      </c>
      <c r="F141" s="4" t="s">
        <v>293</v>
      </c>
      <c r="G141" s="106">
        <f t="shared" si="1"/>
        <v>0.66488888888888897</v>
      </c>
      <c r="H141" s="107">
        <v>29.92</v>
      </c>
      <c r="I141" s="14">
        <v>156</v>
      </c>
      <c r="AB141" s="4">
        <v>139</v>
      </c>
      <c r="AC141" s="4">
        <v>684</v>
      </c>
      <c r="AD141" s="109">
        <v>32.549999999999997</v>
      </c>
      <c r="AE141" s="4" t="s">
        <v>481</v>
      </c>
      <c r="AG141" s="4">
        <v>139</v>
      </c>
      <c r="AH141" s="4">
        <v>1246</v>
      </c>
      <c r="AI141" s="109">
        <v>31.44</v>
      </c>
      <c r="AJ141" s="110">
        <v>139</v>
      </c>
      <c r="AK141" s="111" t="s">
        <v>394</v>
      </c>
      <c r="AL141" s="111">
        <v>1246</v>
      </c>
      <c r="AM141" s="111" t="s">
        <v>319</v>
      </c>
      <c r="AN141" s="112">
        <v>31.44</v>
      </c>
      <c r="AO141" s="112">
        <f t="shared" si="8"/>
        <v>69.86666666666666</v>
      </c>
      <c r="AP141" s="111" t="s">
        <v>427</v>
      </c>
    </row>
    <row r="142" spans="1:42" ht="15.75" customHeight="1" x14ac:dyDescent="0.3">
      <c r="A142" s="4">
        <v>140</v>
      </c>
      <c r="B142" s="114">
        <v>19.28</v>
      </c>
      <c r="C142" s="101">
        <f t="shared" si="0"/>
        <v>0.42844444444444446</v>
      </c>
      <c r="D142" s="4" t="s">
        <v>271</v>
      </c>
      <c r="F142" s="4" t="s">
        <v>293</v>
      </c>
      <c r="G142" s="106">
        <f t="shared" si="1"/>
        <v>0.66599999999999993</v>
      </c>
      <c r="H142" s="119">
        <v>29.97</v>
      </c>
      <c r="I142" s="117">
        <v>293</v>
      </c>
      <c r="AB142" s="4">
        <v>140</v>
      </c>
      <c r="AC142" s="4">
        <v>461</v>
      </c>
      <c r="AD142" s="109">
        <v>29.73</v>
      </c>
      <c r="AE142" s="4" t="s">
        <v>463</v>
      </c>
      <c r="AG142" s="4">
        <v>140</v>
      </c>
      <c r="AH142" s="4">
        <v>1151</v>
      </c>
      <c r="AI142" s="109">
        <v>31.51</v>
      </c>
      <c r="AJ142" s="110">
        <v>140</v>
      </c>
      <c r="AK142" s="111" t="s">
        <v>482</v>
      </c>
      <c r="AL142" s="111">
        <v>1151</v>
      </c>
      <c r="AM142" s="111" t="s">
        <v>483</v>
      </c>
      <c r="AN142" s="112">
        <v>31.51</v>
      </c>
      <c r="AO142" s="112">
        <f t="shared" si="8"/>
        <v>70.022222222222226</v>
      </c>
      <c r="AP142" s="111" t="s">
        <v>427</v>
      </c>
    </row>
    <row r="143" spans="1:42" ht="15.75" customHeight="1" x14ac:dyDescent="0.3">
      <c r="A143" s="4">
        <v>141</v>
      </c>
      <c r="B143" s="114">
        <v>19.25</v>
      </c>
      <c r="C143" s="101">
        <f t="shared" si="0"/>
        <v>0.42777777777777776</v>
      </c>
      <c r="D143" s="4" t="s">
        <v>271</v>
      </c>
      <c r="F143" s="4" t="s">
        <v>293</v>
      </c>
      <c r="G143" s="106">
        <f t="shared" si="1"/>
        <v>0.67244444444444451</v>
      </c>
      <c r="H143" s="115">
        <v>30.26</v>
      </c>
      <c r="I143" s="117">
        <v>1212</v>
      </c>
      <c r="AB143" s="4">
        <v>141</v>
      </c>
      <c r="AC143" s="4">
        <v>1554</v>
      </c>
      <c r="AD143" s="109">
        <v>32.68</v>
      </c>
      <c r="AE143" s="4" t="s">
        <v>484</v>
      </c>
      <c r="AG143" s="4">
        <v>141</v>
      </c>
      <c r="AH143" s="4">
        <v>1661</v>
      </c>
      <c r="AI143" s="109">
        <v>31.54</v>
      </c>
      <c r="AJ143" s="110">
        <v>141</v>
      </c>
      <c r="AK143" s="111" t="s">
        <v>417</v>
      </c>
      <c r="AL143" s="111">
        <v>1661</v>
      </c>
      <c r="AM143" s="111" t="s">
        <v>230</v>
      </c>
      <c r="AN143" s="112">
        <v>31.54</v>
      </c>
      <c r="AO143" s="112">
        <f t="shared" si="8"/>
        <v>70.088888888888889</v>
      </c>
      <c r="AP143" s="111" t="s">
        <v>427</v>
      </c>
    </row>
    <row r="144" spans="1:42" ht="15.75" customHeight="1" x14ac:dyDescent="0.3">
      <c r="A144" s="4">
        <v>142</v>
      </c>
      <c r="B144" s="114">
        <v>19.23</v>
      </c>
      <c r="C144" s="101">
        <f t="shared" si="0"/>
        <v>0.42733333333333334</v>
      </c>
      <c r="D144" s="4" t="s">
        <v>271</v>
      </c>
      <c r="F144" s="4" t="s">
        <v>293</v>
      </c>
      <c r="G144" s="106">
        <f t="shared" si="1"/>
        <v>0.67488888888888887</v>
      </c>
      <c r="H144" s="115">
        <v>30.37</v>
      </c>
      <c r="I144" s="116">
        <v>2188</v>
      </c>
      <c r="AB144" s="4">
        <v>142</v>
      </c>
      <c r="AC144" s="4">
        <v>745</v>
      </c>
      <c r="AD144" s="109">
        <v>28.63</v>
      </c>
      <c r="AE144" s="4" t="s">
        <v>453</v>
      </c>
      <c r="AG144" s="4">
        <v>142</v>
      </c>
      <c r="AH144" s="4">
        <v>1057</v>
      </c>
      <c r="AI144" s="109">
        <v>31.79</v>
      </c>
      <c r="AJ144" s="110">
        <v>142</v>
      </c>
      <c r="AK144" s="111" t="s">
        <v>358</v>
      </c>
      <c r="AL144" s="111">
        <v>1057</v>
      </c>
      <c r="AM144" s="111" t="s">
        <v>324</v>
      </c>
      <c r="AN144" s="112">
        <v>31.79</v>
      </c>
      <c r="AO144" s="112">
        <f t="shared" si="8"/>
        <v>70.644444444444446</v>
      </c>
      <c r="AP144" s="111" t="s">
        <v>427</v>
      </c>
    </row>
    <row r="145" spans="1:42" ht="15.75" customHeight="1" x14ac:dyDescent="0.3">
      <c r="A145" s="4">
        <v>143</v>
      </c>
      <c r="B145" s="114">
        <v>19.23</v>
      </c>
      <c r="C145" s="101">
        <f t="shared" si="0"/>
        <v>0.42733333333333334</v>
      </c>
      <c r="D145" s="4" t="s">
        <v>271</v>
      </c>
      <c r="F145" s="4" t="s">
        <v>293</v>
      </c>
      <c r="G145" s="106">
        <f t="shared" si="1"/>
        <v>0.68377777777777782</v>
      </c>
      <c r="H145" s="107">
        <v>30.77</v>
      </c>
      <c r="I145" s="13">
        <v>296</v>
      </c>
      <c r="AB145" s="4">
        <v>143</v>
      </c>
      <c r="AC145" s="4">
        <v>230</v>
      </c>
      <c r="AD145" s="109">
        <v>26.37</v>
      </c>
      <c r="AE145" s="4" t="s">
        <v>422</v>
      </c>
      <c r="AG145" s="4">
        <v>143</v>
      </c>
      <c r="AH145" s="4">
        <v>1523</v>
      </c>
      <c r="AI145" s="109">
        <v>31.88</v>
      </c>
      <c r="AJ145" s="110">
        <v>143</v>
      </c>
      <c r="AK145" s="111" t="s">
        <v>343</v>
      </c>
      <c r="AL145" s="111">
        <v>1523</v>
      </c>
      <c r="AM145" s="111" t="s">
        <v>392</v>
      </c>
      <c r="AN145" s="112">
        <v>31.88</v>
      </c>
      <c r="AO145" s="112">
        <f t="shared" si="8"/>
        <v>70.844444444444449</v>
      </c>
      <c r="AP145" s="111" t="s">
        <v>427</v>
      </c>
    </row>
    <row r="146" spans="1:42" ht="15.75" customHeight="1" x14ac:dyDescent="0.3">
      <c r="A146" s="4">
        <v>144</v>
      </c>
      <c r="B146" s="114">
        <v>18.850000000000001</v>
      </c>
      <c r="C146" s="101">
        <f t="shared" si="0"/>
        <v>0.41888888888888892</v>
      </c>
      <c r="D146" s="4" t="s">
        <v>271</v>
      </c>
      <c r="F146" s="4" t="s">
        <v>293</v>
      </c>
      <c r="G146" s="106">
        <f t="shared" si="1"/>
        <v>0.68444444444444441</v>
      </c>
      <c r="H146" s="107">
        <v>30.8</v>
      </c>
      <c r="I146" s="14">
        <v>1812</v>
      </c>
      <c r="AB146" s="4">
        <v>144</v>
      </c>
      <c r="AC146" s="4">
        <v>215</v>
      </c>
      <c r="AD146" s="109">
        <v>25.35</v>
      </c>
      <c r="AE146" s="4" t="s">
        <v>407</v>
      </c>
      <c r="AG146" s="4">
        <v>144</v>
      </c>
      <c r="AH146" s="4">
        <v>726</v>
      </c>
      <c r="AI146" s="109">
        <v>31.96</v>
      </c>
      <c r="AJ146" s="110">
        <v>144</v>
      </c>
      <c r="AK146" s="111" t="s">
        <v>444</v>
      </c>
      <c r="AL146" s="111">
        <v>726</v>
      </c>
      <c r="AM146" s="111" t="s">
        <v>485</v>
      </c>
      <c r="AN146" s="112">
        <v>31.96</v>
      </c>
      <c r="AO146" s="112">
        <f t="shared" si="8"/>
        <v>71.022222222222226</v>
      </c>
      <c r="AP146" s="111" t="s">
        <v>427</v>
      </c>
    </row>
    <row r="147" spans="1:42" ht="15.75" customHeight="1" x14ac:dyDescent="0.3">
      <c r="A147" s="4">
        <v>145</v>
      </c>
      <c r="B147" s="114">
        <v>17.97</v>
      </c>
      <c r="C147" s="101">
        <f t="shared" si="0"/>
        <v>0.39933333333333332</v>
      </c>
      <c r="D147" s="4" t="s">
        <v>271</v>
      </c>
      <c r="F147" s="4" t="s">
        <v>293</v>
      </c>
      <c r="G147" s="106">
        <f t="shared" si="1"/>
        <v>0.68755555555555559</v>
      </c>
      <c r="H147" s="107">
        <v>30.94</v>
      </c>
      <c r="I147" s="13">
        <v>1370</v>
      </c>
      <c r="AB147" s="4">
        <v>145</v>
      </c>
      <c r="AC147" s="4">
        <v>165</v>
      </c>
      <c r="AD147" s="109">
        <v>20.22</v>
      </c>
      <c r="AE147" s="4" t="s">
        <v>328</v>
      </c>
      <c r="AG147" s="4">
        <v>145</v>
      </c>
      <c r="AH147" s="4">
        <v>1799</v>
      </c>
      <c r="AI147" s="109">
        <v>32</v>
      </c>
      <c r="AJ147" s="110">
        <v>145</v>
      </c>
      <c r="AK147" s="111" t="s">
        <v>428</v>
      </c>
      <c r="AL147" s="111">
        <v>1799</v>
      </c>
      <c r="AM147" s="111" t="s">
        <v>486</v>
      </c>
      <c r="AN147" s="112">
        <v>32</v>
      </c>
      <c r="AO147" s="112">
        <f t="shared" si="8"/>
        <v>71.111111111111114</v>
      </c>
      <c r="AP147" s="111" t="s">
        <v>427</v>
      </c>
    </row>
    <row r="148" spans="1:42" ht="15.75" customHeight="1" x14ac:dyDescent="0.3">
      <c r="A148" s="4">
        <v>146</v>
      </c>
      <c r="B148" s="114">
        <v>17.739999999999998</v>
      </c>
      <c r="C148" s="101">
        <f t="shared" si="0"/>
        <v>0.3942222222222222</v>
      </c>
      <c r="D148" s="4" t="s">
        <v>271</v>
      </c>
      <c r="F148" s="4" t="s">
        <v>293</v>
      </c>
      <c r="G148" s="106">
        <f t="shared" si="1"/>
        <v>0.70644444444444443</v>
      </c>
      <c r="H148" s="115">
        <v>31.79</v>
      </c>
      <c r="I148" s="116">
        <v>1057</v>
      </c>
      <c r="AB148" s="4">
        <v>146</v>
      </c>
      <c r="AC148" s="4">
        <v>629</v>
      </c>
      <c r="AD148" s="109">
        <v>19.66</v>
      </c>
      <c r="AE148" s="4" t="s">
        <v>321</v>
      </c>
      <c r="AG148" s="4">
        <v>146</v>
      </c>
      <c r="AH148" s="4">
        <v>1637</v>
      </c>
      <c r="AI148" s="109">
        <v>32</v>
      </c>
      <c r="AJ148" s="110">
        <v>146</v>
      </c>
      <c r="AK148" s="111" t="s">
        <v>294</v>
      </c>
      <c r="AL148" s="111">
        <v>1637</v>
      </c>
      <c r="AM148" s="111" t="s">
        <v>467</v>
      </c>
      <c r="AN148" s="112">
        <v>32</v>
      </c>
      <c r="AO148" s="112">
        <f t="shared" si="8"/>
        <v>71.111111111111114</v>
      </c>
      <c r="AP148" s="111" t="s">
        <v>427</v>
      </c>
    </row>
    <row r="149" spans="1:42" ht="15.75" customHeight="1" x14ac:dyDescent="0.3">
      <c r="A149" s="4">
        <v>147</v>
      </c>
      <c r="B149" s="114">
        <v>17.25</v>
      </c>
      <c r="C149" s="101">
        <f t="shared" si="0"/>
        <v>0.38333333333333336</v>
      </c>
      <c r="D149" s="4" t="s">
        <v>271</v>
      </c>
      <c r="F149" s="4" t="s">
        <v>293</v>
      </c>
      <c r="G149" s="106">
        <f t="shared" si="1"/>
        <v>0.70844444444444443</v>
      </c>
      <c r="H149" s="115">
        <v>31.88</v>
      </c>
      <c r="I149" s="116">
        <v>1523</v>
      </c>
      <c r="AB149" s="4">
        <v>147</v>
      </c>
      <c r="AC149" s="4">
        <v>2340</v>
      </c>
      <c r="AD149" s="109">
        <v>33.08</v>
      </c>
      <c r="AE149" s="4" t="s">
        <v>487</v>
      </c>
      <c r="AG149" s="4">
        <v>147</v>
      </c>
      <c r="AH149" s="4">
        <v>80</v>
      </c>
      <c r="AI149" s="109">
        <v>32</v>
      </c>
      <c r="AJ149" s="110">
        <v>147</v>
      </c>
      <c r="AK149" s="111" t="s">
        <v>488</v>
      </c>
      <c r="AL149" s="111">
        <v>80</v>
      </c>
      <c r="AM149" s="111" t="s">
        <v>314</v>
      </c>
      <c r="AN149" s="112">
        <v>32</v>
      </c>
      <c r="AO149" s="112">
        <f t="shared" si="8"/>
        <v>71.111111111111114</v>
      </c>
      <c r="AP149" s="111" t="s">
        <v>427</v>
      </c>
    </row>
    <row r="150" spans="1:42" ht="15.75" customHeight="1" x14ac:dyDescent="0.3">
      <c r="A150" s="4">
        <v>148</v>
      </c>
      <c r="B150" s="114">
        <v>17.02</v>
      </c>
      <c r="C150" s="101">
        <f t="shared" si="0"/>
        <v>0.37822222222222224</v>
      </c>
      <c r="D150" s="4" t="s">
        <v>271</v>
      </c>
      <c r="F150" s="4" t="s">
        <v>293</v>
      </c>
      <c r="G150" s="106">
        <f t="shared" si="1"/>
        <v>0.7102222222222222</v>
      </c>
      <c r="H150" s="107">
        <v>31.96</v>
      </c>
      <c r="I150" s="14">
        <v>726</v>
      </c>
      <c r="AB150" s="4">
        <v>148</v>
      </c>
      <c r="AC150" s="4">
        <v>789</v>
      </c>
      <c r="AD150" s="109">
        <v>25.65</v>
      </c>
      <c r="AE150" s="4" t="s">
        <v>413</v>
      </c>
      <c r="AG150" s="4">
        <v>148</v>
      </c>
      <c r="AH150" s="4">
        <v>1094</v>
      </c>
      <c r="AI150" s="109">
        <v>32.119999999999997</v>
      </c>
      <c r="AJ150" s="110">
        <v>148</v>
      </c>
      <c r="AK150" s="111" t="s">
        <v>299</v>
      </c>
      <c r="AL150" s="111">
        <v>1094</v>
      </c>
      <c r="AM150" s="111" t="s">
        <v>353</v>
      </c>
      <c r="AN150" s="112">
        <v>32.119999999999997</v>
      </c>
      <c r="AO150" s="112">
        <f t="shared" si="8"/>
        <v>71.37777777777778</v>
      </c>
      <c r="AP150" s="111" t="s">
        <v>427</v>
      </c>
    </row>
    <row r="151" spans="1:42" ht="15.75" customHeight="1" x14ac:dyDescent="0.3">
      <c r="A151" s="4">
        <v>149</v>
      </c>
      <c r="B151" s="114">
        <v>16.09</v>
      </c>
      <c r="C151" s="101">
        <f t="shared" si="0"/>
        <v>0.35755555555555557</v>
      </c>
      <c r="D151" s="4" t="s">
        <v>271</v>
      </c>
      <c r="F151" s="4" t="s">
        <v>293</v>
      </c>
      <c r="G151" s="106">
        <f t="shared" si="1"/>
        <v>0.71111111111111114</v>
      </c>
      <c r="H151" s="107">
        <v>32</v>
      </c>
      <c r="I151" s="14">
        <v>1637</v>
      </c>
      <c r="AB151" s="4">
        <v>149</v>
      </c>
      <c r="AC151" s="4">
        <v>209</v>
      </c>
      <c r="AD151" s="109">
        <v>15.05</v>
      </c>
      <c r="AE151" s="4" t="s">
        <v>300</v>
      </c>
      <c r="AG151" s="4">
        <v>149</v>
      </c>
      <c r="AH151" s="4">
        <v>1229</v>
      </c>
      <c r="AI151" s="109">
        <v>32.15</v>
      </c>
      <c r="AJ151" s="110">
        <v>149</v>
      </c>
      <c r="AK151" s="111" t="s">
        <v>409</v>
      </c>
      <c r="AL151" s="111">
        <v>1229</v>
      </c>
      <c r="AM151" s="111" t="s">
        <v>307</v>
      </c>
      <c r="AN151" s="112">
        <v>32.15</v>
      </c>
      <c r="AO151" s="112">
        <f t="shared" si="8"/>
        <v>71.444444444444443</v>
      </c>
      <c r="AP151" s="111" t="s">
        <v>427</v>
      </c>
    </row>
    <row r="152" spans="1:42" ht="15.75" customHeight="1" x14ac:dyDescent="0.3">
      <c r="A152" s="4">
        <v>150</v>
      </c>
      <c r="B152" s="114">
        <v>15.05</v>
      </c>
      <c r="C152" s="101">
        <f t="shared" si="0"/>
        <v>0.33444444444444443</v>
      </c>
      <c r="D152" s="4" t="s">
        <v>271</v>
      </c>
      <c r="F152" s="4" t="s">
        <v>293</v>
      </c>
      <c r="G152" s="106">
        <f t="shared" si="1"/>
        <v>0.79933333333333334</v>
      </c>
      <c r="H152" s="119">
        <v>35.97</v>
      </c>
      <c r="I152" s="116">
        <v>2581</v>
      </c>
      <c r="AB152" s="4">
        <v>150</v>
      </c>
      <c r="AC152" s="4">
        <v>13</v>
      </c>
      <c r="AD152" s="109">
        <v>13.9</v>
      </c>
      <c r="AE152" s="4" t="s">
        <v>295</v>
      </c>
      <c r="AG152" s="4">
        <v>150</v>
      </c>
      <c r="AH152" s="4">
        <v>1523</v>
      </c>
      <c r="AI152" s="109">
        <v>32.229999999999997</v>
      </c>
      <c r="AJ152" s="110">
        <v>150</v>
      </c>
      <c r="AK152" s="111" t="s">
        <v>329</v>
      </c>
      <c r="AL152" s="111">
        <v>1523</v>
      </c>
      <c r="AM152" s="111" t="s">
        <v>395</v>
      </c>
      <c r="AN152" s="112">
        <v>32.229999999999997</v>
      </c>
      <c r="AO152" s="112">
        <f t="shared" si="8"/>
        <v>71.62222222222222</v>
      </c>
      <c r="AP152" s="111" t="s">
        <v>427</v>
      </c>
    </row>
    <row r="153" spans="1:42" ht="15.75" customHeight="1" x14ac:dyDescent="0.3">
      <c r="A153" s="4">
        <v>151</v>
      </c>
      <c r="B153" s="114">
        <v>14.54</v>
      </c>
      <c r="C153" s="101">
        <f t="shared" si="0"/>
        <v>0.32311111111111107</v>
      </c>
      <c r="D153" s="4" t="s">
        <v>271</v>
      </c>
      <c r="F153" s="4" t="s">
        <v>270</v>
      </c>
      <c r="G153" s="106">
        <f t="shared" si="1"/>
        <v>0.81</v>
      </c>
      <c r="H153" s="119">
        <v>36.450000000000003</v>
      </c>
      <c r="I153" s="116">
        <v>2462</v>
      </c>
      <c r="AB153" s="4">
        <v>151</v>
      </c>
      <c r="AC153" s="4">
        <v>20</v>
      </c>
      <c r="AD153" s="109">
        <v>28</v>
      </c>
      <c r="AE153" s="4" t="s">
        <v>449</v>
      </c>
      <c r="AG153" s="4">
        <v>151</v>
      </c>
      <c r="AH153" s="4">
        <v>1244</v>
      </c>
      <c r="AI153" s="109">
        <v>32.25</v>
      </c>
      <c r="AJ153" s="110">
        <v>151</v>
      </c>
      <c r="AK153" s="111" t="s">
        <v>325</v>
      </c>
      <c r="AL153" s="111">
        <v>1244</v>
      </c>
      <c r="AM153" s="111" t="s">
        <v>326</v>
      </c>
      <c r="AN153" s="112">
        <v>32.25</v>
      </c>
      <c r="AO153" s="112">
        <f t="shared" si="8"/>
        <v>71.666666666666671</v>
      </c>
      <c r="AP153" s="111" t="s">
        <v>427</v>
      </c>
    </row>
    <row r="154" spans="1:42" ht="15.75" customHeight="1" x14ac:dyDescent="0.3">
      <c r="A154" s="4">
        <v>152</v>
      </c>
      <c r="B154" s="114">
        <v>13.9</v>
      </c>
      <c r="C154" s="101">
        <f t="shared" si="0"/>
        <v>0.30888888888888888</v>
      </c>
      <c r="D154" s="4" t="s">
        <v>271</v>
      </c>
      <c r="F154" s="4" t="s">
        <v>270</v>
      </c>
      <c r="G154" s="106">
        <f t="shared" si="1"/>
        <v>0.81599999999999995</v>
      </c>
      <c r="H154" s="119">
        <v>36.72</v>
      </c>
      <c r="I154" s="117">
        <v>1763</v>
      </c>
      <c r="AB154" s="4">
        <v>152</v>
      </c>
      <c r="AC154" s="4">
        <v>54</v>
      </c>
      <c r="AD154" s="109">
        <v>24.64</v>
      </c>
      <c r="AE154" s="4" t="s">
        <v>398</v>
      </c>
      <c r="AG154" s="4">
        <v>152</v>
      </c>
      <c r="AH154" s="4">
        <v>1212</v>
      </c>
      <c r="AI154" s="109">
        <v>32.25</v>
      </c>
      <c r="AJ154" s="110">
        <v>152</v>
      </c>
      <c r="AK154" s="111" t="s">
        <v>434</v>
      </c>
      <c r="AL154" s="111">
        <v>1212</v>
      </c>
      <c r="AM154" s="111" t="s">
        <v>485</v>
      </c>
      <c r="AN154" s="112">
        <v>32.25</v>
      </c>
      <c r="AO154" s="112">
        <f t="shared" si="8"/>
        <v>71.666666666666671</v>
      </c>
      <c r="AP154" s="111" t="s">
        <v>427</v>
      </c>
    </row>
    <row r="155" spans="1:42" ht="15.75" customHeight="1" x14ac:dyDescent="0.3">
      <c r="A155" s="4">
        <v>153</v>
      </c>
      <c r="B155" s="114">
        <v>13.8</v>
      </c>
      <c r="C155" s="101">
        <f t="shared" si="0"/>
        <v>0.3066666666666667</v>
      </c>
      <c r="D155" s="4" t="s">
        <v>271</v>
      </c>
      <c r="F155" s="4" t="s">
        <v>270</v>
      </c>
      <c r="G155" s="106">
        <f t="shared" si="1"/>
        <v>0.82111111111111112</v>
      </c>
      <c r="H155" s="119">
        <v>36.950000000000003</v>
      </c>
      <c r="I155" s="116">
        <v>1244</v>
      </c>
      <c r="AB155" s="4">
        <v>153</v>
      </c>
      <c r="AC155" s="4">
        <v>2143</v>
      </c>
      <c r="AD155" s="109">
        <v>20.46</v>
      </c>
      <c r="AE155" s="4" t="s">
        <v>332</v>
      </c>
      <c r="AG155" s="4">
        <v>153</v>
      </c>
      <c r="AH155" s="4">
        <v>2721</v>
      </c>
      <c r="AI155" s="109">
        <v>32.25</v>
      </c>
      <c r="AJ155" s="110">
        <v>153</v>
      </c>
      <c r="AK155" s="111" t="s">
        <v>489</v>
      </c>
      <c r="AL155" s="111">
        <v>2721</v>
      </c>
      <c r="AM155" s="111" t="s">
        <v>379</v>
      </c>
      <c r="AN155" s="112">
        <v>32.25</v>
      </c>
      <c r="AO155" s="112">
        <f t="shared" si="8"/>
        <v>71.666666666666671</v>
      </c>
      <c r="AP155" s="111" t="s">
        <v>427</v>
      </c>
    </row>
    <row r="156" spans="1:42" ht="15.75" customHeight="1" x14ac:dyDescent="0.3">
      <c r="A156" s="4">
        <v>154</v>
      </c>
      <c r="B156" s="114">
        <v>13.45</v>
      </c>
      <c r="C156" s="101">
        <f t="shared" si="0"/>
        <v>0.29888888888888887</v>
      </c>
      <c r="D156" s="4" t="s">
        <v>271</v>
      </c>
      <c r="F156" s="4" t="s">
        <v>270</v>
      </c>
      <c r="G156" s="106">
        <f t="shared" si="1"/>
        <v>0.8348888888888889</v>
      </c>
      <c r="H156" s="119">
        <v>37.57</v>
      </c>
      <c r="I156" s="117">
        <v>2522</v>
      </c>
      <c r="AB156" s="4">
        <v>154</v>
      </c>
      <c r="AC156" s="4">
        <v>2721</v>
      </c>
      <c r="AD156" s="109">
        <v>32.25</v>
      </c>
      <c r="AE156" s="4" t="s">
        <v>489</v>
      </c>
      <c r="AG156" s="4">
        <v>154</v>
      </c>
      <c r="AH156" s="4">
        <v>1126</v>
      </c>
      <c r="AI156" s="109">
        <v>32.32</v>
      </c>
      <c r="AJ156" s="110">
        <v>154</v>
      </c>
      <c r="AK156" s="111" t="s">
        <v>347</v>
      </c>
      <c r="AL156" s="111">
        <v>1126</v>
      </c>
      <c r="AM156" s="111" t="s">
        <v>392</v>
      </c>
      <c r="AN156" s="112">
        <v>32.32</v>
      </c>
      <c r="AO156" s="112">
        <f t="shared" si="8"/>
        <v>71.822222222222223</v>
      </c>
      <c r="AP156" s="111" t="s">
        <v>427</v>
      </c>
    </row>
    <row r="157" spans="1:42" ht="15.75" customHeight="1" x14ac:dyDescent="0.3">
      <c r="A157" s="4">
        <v>155</v>
      </c>
      <c r="B157" s="114">
        <v>13.38</v>
      </c>
      <c r="C157" s="101">
        <f t="shared" si="0"/>
        <v>0.29733333333333334</v>
      </c>
      <c r="D157" s="4" t="s">
        <v>271</v>
      </c>
      <c r="F157" s="4" t="s">
        <v>270</v>
      </c>
      <c r="G157" s="106">
        <f t="shared" si="1"/>
        <v>0.83977777777777773</v>
      </c>
      <c r="H157" s="119">
        <v>37.79</v>
      </c>
      <c r="I157" s="116">
        <v>1449</v>
      </c>
      <c r="AB157" s="4">
        <v>155</v>
      </c>
      <c r="AC157" s="4">
        <v>1146</v>
      </c>
      <c r="AD157" s="109">
        <v>23.24</v>
      </c>
      <c r="AE157" s="4" t="s">
        <v>378</v>
      </c>
      <c r="AG157" s="4">
        <v>155</v>
      </c>
      <c r="AH157" s="4">
        <v>971</v>
      </c>
      <c r="AI157" s="109">
        <v>32.36</v>
      </c>
      <c r="AJ157" s="110">
        <v>155</v>
      </c>
      <c r="AK157" s="111" t="s">
        <v>474</v>
      </c>
      <c r="AL157" s="111">
        <v>971</v>
      </c>
      <c r="AM157" s="111" t="s">
        <v>490</v>
      </c>
      <c r="AN157" s="112">
        <v>32.36</v>
      </c>
      <c r="AO157" s="112">
        <f t="shared" si="8"/>
        <v>71.911111111111111</v>
      </c>
      <c r="AP157" s="111" t="s">
        <v>427</v>
      </c>
    </row>
    <row r="158" spans="1:42" ht="15.75" customHeight="1" x14ac:dyDescent="0.3">
      <c r="A158" s="4">
        <v>156</v>
      </c>
      <c r="B158" s="114">
        <v>12.44</v>
      </c>
      <c r="C158" s="101">
        <f t="shared" si="0"/>
        <v>0.27644444444444444</v>
      </c>
      <c r="D158" s="4" t="s">
        <v>271</v>
      </c>
      <c r="F158" s="4" t="s">
        <v>270</v>
      </c>
      <c r="G158" s="106">
        <f t="shared" si="1"/>
        <v>0.84711111111111104</v>
      </c>
      <c r="H158" s="119">
        <v>38.119999999999997</v>
      </c>
      <c r="I158" s="116">
        <v>1393</v>
      </c>
      <c r="AB158" s="4">
        <v>156</v>
      </c>
      <c r="AC158" s="4">
        <v>1151</v>
      </c>
      <c r="AD158" s="109">
        <v>31.51</v>
      </c>
      <c r="AE158" s="4" t="s">
        <v>482</v>
      </c>
      <c r="AG158" s="4">
        <v>156</v>
      </c>
      <c r="AH158" s="4">
        <v>1055</v>
      </c>
      <c r="AI158" s="109">
        <v>32.380000000000003</v>
      </c>
      <c r="AJ158" s="110">
        <v>156</v>
      </c>
      <c r="AK158" s="111" t="s">
        <v>368</v>
      </c>
      <c r="AL158" s="111">
        <v>1055</v>
      </c>
      <c r="AM158" s="111" t="s">
        <v>491</v>
      </c>
      <c r="AN158" s="112">
        <v>32.380000000000003</v>
      </c>
      <c r="AO158" s="112">
        <f t="shared" si="8"/>
        <v>71.955555555555563</v>
      </c>
      <c r="AP158" s="111" t="s">
        <v>427</v>
      </c>
    </row>
    <row r="159" spans="1:42" ht="15.75" customHeight="1" x14ac:dyDescent="0.3">
      <c r="A159" s="4">
        <v>157</v>
      </c>
      <c r="B159" s="114">
        <v>12.03</v>
      </c>
      <c r="C159" s="101">
        <f t="shared" si="0"/>
        <v>0.26733333333333331</v>
      </c>
      <c r="D159" s="4" t="s">
        <v>271</v>
      </c>
      <c r="F159" s="4" t="s">
        <v>270</v>
      </c>
      <c r="G159" s="106">
        <f t="shared" si="1"/>
        <v>0.86288888888888882</v>
      </c>
      <c r="H159" s="119">
        <v>38.83</v>
      </c>
      <c r="I159" s="117">
        <v>2946</v>
      </c>
      <c r="AB159" s="4">
        <v>157</v>
      </c>
      <c r="AC159" s="4">
        <v>319</v>
      </c>
      <c r="AD159" s="109">
        <v>32.479999999999997</v>
      </c>
      <c r="AE159" s="4" t="s">
        <v>492</v>
      </c>
      <c r="AG159" s="4">
        <v>157</v>
      </c>
      <c r="AH159" s="4">
        <v>194</v>
      </c>
      <c r="AI159" s="109">
        <v>32.479999999999997</v>
      </c>
      <c r="AJ159" s="110">
        <v>157</v>
      </c>
      <c r="AK159" s="111" t="s">
        <v>480</v>
      </c>
      <c r="AL159" s="111">
        <v>194</v>
      </c>
      <c r="AM159" s="111" t="s">
        <v>473</v>
      </c>
      <c r="AN159" s="112">
        <v>32.479999999999997</v>
      </c>
      <c r="AO159" s="112">
        <f t="shared" si="8"/>
        <v>72.177777777777777</v>
      </c>
      <c r="AP159" s="111" t="s">
        <v>427</v>
      </c>
    </row>
    <row r="160" spans="1:42" ht="15.75" customHeight="1" x14ac:dyDescent="0.3">
      <c r="A160" s="4">
        <v>158</v>
      </c>
      <c r="B160" s="120">
        <v>11.3</v>
      </c>
      <c r="C160" s="101">
        <f t="shared" si="0"/>
        <v>0.25111111111111112</v>
      </c>
      <c r="D160" s="4" t="s">
        <v>271</v>
      </c>
      <c r="F160" s="4" t="s">
        <v>270</v>
      </c>
      <c r="G160" s="106">
        <f t="shared" si="1"/>
        <v>0.87177777777777776</v>
      </c>
      <c r="H160" s="121">
        <v>39.229999999999997</v>
      </c>
      <c r="I160" s="122">
        <v>1523</v>
      </c>
      <c r="AB160" s="4">
        <v>158</v>
      </c>
      <c r="AC160" s="4">
        <v>309</v>
      </c>
      <c r="AD160" s="109">
        <v>26.08</v>
      </c>
      <c r="AE160" s="4" t="s">
        <v>419</v>
      </c>
      <c r="AG160" s="4">
        <v>158</v>
      </c>
      <c r="AH160" s="4">
        <v>319</v>
      </c>
      <c r="AI160" s="109">
        <v>32.479999999999997</v>
      </c>
      <c r="AJ160" s="110">
        <v>158</v>
      </c>
      <c r="AK160" s="111" t="s">
        <v>492</v>
      </c>
      <c r="AL160" s="111">
        <v>319</v>
      </c>
      <c r="AM160" s="111" t="s">
        <v>493</v>
      </c>
      <c r="AN160" s="112">
        <v>32.479999999999997</v>
      </c>
      <c r="AO160" s="112">
        <f t="shared" si="8"/>
        <v>72.177777777777777</v>
      </c>
      <c r="AP160" s="111" t="s">
        <v>427</v>
      </c>
    </row>
    <row r="161" spans="9:42" ht="15.75" customHeight="1" x14ac:dyDescent="0.3">
      <c r="I161" s="100">
        <f>SUM(I3:I160)</f>
        <v>149988</v>
      </c>
      <c r="AB161" s="4">
        <v>159</v>
      </c>
      <c r="AC161" s="4">
        <v>350</v>
      </c>
      <c r="AD161" s="109">
        <v>19.32</v>
      </c>
      <c r="AE161" s="4" t="s">
        <v>313</v>
      </c>
      <c r="AG161" s="4">
        <v>159</v>
      </c>
      <c r="AH161" s="4">
        <v>684</v>
      </c>
      <c r="AI161" s="109">
        <v>32.549999999999997</v>
      </c>
      <c r="AJ161" s="110">
        <v>159</v>
      </c>
      <c r="AK161" s="111" t="s">
        <v>481</v>
      </c>
      <c r="AL161" s="111">
        <v>684</v>
      </c>
      <c r="AM161" s="111" t="s">
        <v>473</v>
      </c>
      <c r="AN161" s="112">
        <v>32.549999999999997</v>
      </c>
      <c r="AO161" s="112">
        <f t="shared" si="8"/>
        <v>72.333333333333329</v>
      </c>
      <c r="AP161" s="111" t="s">
        <v>427</v>
      </c>
    </row>
    <row r="162" spans="9:42" ht="15.75" customHeight="1" x14ac:dyDescent="0.3">
      <c r="AB162" s="4">
        <v>160</v>
      </c>
      <c r="AC162" s="4">
        <v>63</v>
      </c>
      <c r="AD162" s="109">
        <v>24.78</v>
      </c>
      <c r="AE162" s="4" t="s">
        <v>404</v>
      </c>
      <c r="AG162" s="4">
        <v>160</v>
      </c>
      <c r="AH162" s="4">
        <v>1211</v>
      </c>
      <c r="AI162" s="109">
        <v>32.61</v>
      </c>
      <c r="AJ162" s="110">
        <v>160</v>
      </c>
      <c r="AK162" s="111" t="s">
        <v>377</v>
      </c>
      <c r="AL162" s="111">
        <v>1211</v>
      </c>
      <c r="AM162" s="111" t="s">
        <v>468</v>
      </c>
      <c r="AN162" s="112">
        <v>32.61</v>
      </c>
      <c r="AO162" s="112">
        <f t="shared" si="8"/>
        <v>72.466666666666669</v>
      </c>
      <c r="AP162" s="111" t="s">
        <v>427</v>
      </c>
    </row>
    <row r="163" spans="9:42" ht="15.75" customHeight="1" x14ac:dyDescent="0.3">
      <c r="AB163" s="4">
        <v>161</v>
      </c>
      <c r="AC163" s="4">
        <v>777</v>
      </c>
      <c r="AD163" s="109">
        <v>32.61</v>
      </c>
      <c r="AE163" s="4" t="s">
        <v>494</v>
      </c>
      <c r="AG163" s="4">
        <v>161</v>
      </c>
      <c r="AH163" s="4">
        <v>777</v>
      </c>
      <c r="AI163" s="109">
        <v>32.61</v>
      </c>
      <c r="AJ163" s="110">
        <v>161</v>
      </c>
      <c r="AK163" s="111" t="s">
        <v>494</v>
      </c>
      <c r="AL163" s="111">
        <v>777</v>
      </c>
      <c r="AM163" s="111" t="s">
        <v>495</v>
      </c>
      <c r="AN163" s="112">
        <v>32.61</v>
      </c>
      <c r="AO163" s="112">
        <f t="shared" si="8"/>
        <v>72.466666666666669</v>
      </c>
      <c r="AP163" s="111" t="s">
        <v>427</v>
      </c>
    </row>
    <row r="164" spans="9:42" ht="15.75" customHeight="1" x14ac:dyDescent="0.3">
      <c r="AB164" s="4">
        <v>162</v>
      </c>
      <c r="AC164" s="4">
        <v>80</v>
      </c>
      <c r="AD164" s="109">
        <v>32</v>
      </c>
      <c r="AE164" s="4" t="s">
        <v>488</v>
      </c>
      <c r="AG164" s="4">
        <v>162</v>
      </c>
      <c r="AH164" s="4">
        <v>1554</v>
      </c>
      <c r="AI164" s="109">
        <v>32.68</v>
      </c>
      <c r="AJ164" s="110">
        <v>162</v>
      </c>
      <c r="AK164" s="111" t="s">
        <v>484</v>
      </c>
      <c r="AL164" s="111">
        <v>1554</v>
      </c>
      <c r="AM164" s="111" t="s">
        <v>496</v>
      </c>
      <c r="AN164" s="112">
        <v>32.68</v>
      </c>
      <c r="AO164" s="112">
        <f t="shared" si="8"/>
        <v>72.62222222222222</v>
      </c>
      <c r="AP164" s="111" t="s">
        <v>427</v>
      </c>
    </row>
    <row r="165" spans="9:42" ht="15.75" customHeight="1" x14ac:dyDescent="0.3">
      <c r="AB165" s="4">
        <v>163</v>
      </c>
      <c r="AC165" s="4">
        <v>190</v>
      </c>
      <c r="AD165" s="109">
        <v>26.75</v>
      </c>
      <c r="AE165" s="4" t="s">
        <v>425</v>
      </c>
      <c r="AG165" s="4">
        <v>163</v>
      </c>
      <c r="AH165" s="4">
        <v>2581</v>
      </c>
      <c r="AI165" s="109">
        <v>32.97</v>
      </c>
      <c r="AJ165" s="110">
        <v>163</v>
      </c>
      <c r="AK165" s="111" t="s">
        <v>497</v>
      </c>
      <c r="AL165" s="111">
        <v>2581</v>
      </c>
      <c r="AM165" s="111" t="s">
        <v>479</v>
      </c>
      <c r="AN165" s="112">
        <v>32.97</v>
      </c>
      <c r="AO165" s="112">
        <f t="shared" si="8"/>
        <v>73.266666666666666</v>
      </c>
      <c r="AP165" s="111" t="s">
        <v>427</v>
      </c>
    </row>
    <row r="166" spans="9:42" ht="15.75" customHeight="1" x14ac:dyDescent="0.3">
      <c r="AB166" s="4">
        <v>164</v>
      </c>
      <c r="AC166" s="4">
        <v>151</v>
      </c>
      <c r="AD166" s="109">
        <v>12.05</v>
      </c>
      <c r="AE166" s="4" t="s">
        <v>281</v>
      </c>
      <c r="AG166" s="4">
        <v>164</v>
      </c>
      <c r="AH166" s="4">
        <v>1879</v>
      </c>
      <c r="AI166" s="109">
        <v>32.979999999999997</v>
      </c>
      <c r="AJ166" s="110">
        <v>164</v>
      </c>
      <c r="AK166" s="111" t="s">
        <v>322</v>
      </c>
      <c r="AL166" s="111">
        <v>1879</v>
      </c>
      <c r="AM166" s="111" t="s">
        <v>326</v>
      </c>
      <c r="AN166" s="112">
        <v>32.979999999999997</v>
      </c>
      <c r="AO166" s="112">
        <f t="shared" si="8"/>
        <v>73.288888888888877</v>
      </c>
      <c r="AP166" s="111" t="s">
        <v>427</v>
      </c>
    </row>
    <row r="167" spans="9:42" ht="15.75" customHeight="1" x14ac:dyDescent="0.3">
      <c r="AB167" s="4">
        <v>165</v>
      </c>
      <c r="AC167" s="4">
        <v>62</v>
      </c>
      <c r="AD167" s="109">
        <v>15.95</v>
      </c>
      <c r="AE167" s="4" t="s">
        <v>302</v>
      </c>
      <c r="AG167" s="4">
        <v>165</v>
      </c>
      <c r="AH167" s="4">
        <v>2340</v>
      </c>
      <c r="AI167" s="109">
        <v>33.08</v>
      </c>
      <c r="AJ167" s="110">
        <v>165</v>
      </c>
      <c r="AK167" s="111" t="s">
        <v>487</v>
      </c>
      <c r="AL167" s="111">
        <v>2340</v>
      </c>
      <c r="AM167" s="111" t="s">
        <v>498</v>
      </c>
      <c r="AN167" s="112">
        <v>33.08</v>
      </c>
      <c r="AO167" s="112">
        <f t="shared" si="8"/>
        <v>73.511111111111106</v>
      </c>
      <c r="AP167" s="111" t="s">
        <v>427</v>
      </c>
    </row>
    <row r="168" spans="9:42" ht="15.75" customHeight="1" x14ac:dyDescent="0.3">
      <c r="AB168" s="4">
        <v>166</v>
      </c>
      <c r="AC168" s="4">
        <v>696</v>
      </c>
      <c r="AD168" s="109">
        <v>29.64</v>
      </c>
      <c r="AE168" s="4" t="s">
        <v>462</v>
      </c>
      <c r="AG168" s="4">
        <v>166</v>
      </c>
      <c r="AH168" s="4">
        <v>1393</v>
      </c>
      <c r="AI168" s="109">
        <v>33.1</v>
      </c>
      <c r="AJ168" s="110">
        <v>166</v>
      </c>
      <c r="AK168" s="111" t="s">
        <v>327</v>
      </c>
      <c r="AL168" s="111">
        <v>1393</v>
      </c>
      <c r="AM168" s="111" t="s">
        <v>326</v>
      </c>
      <c r="AN168" s="112">
        <v>33.1</v>
      </c>
      <c r="AO168" s="112">
        <f t="shared" si="8"/>
        <v>73.555555555555557</v>
      </c>
      <c r="AP168" s="111" t="s">
        <v>427</v>
      </c>
    </row>
    <row r="169" spans="9:42" ht="15.75" customHeight="1" x14ac:dyDescent="0.3">
      <c r="AB169" s="4">
        <v>167</v>
      </c>
      <c r="AC169" s="4">
        <v>598</v>
      </c>
      <c r="AD169" s="109">
        <v>27.75</v>
      </c>
      <c r="AE169" s="4" t="s">
        <v>446</v>
      </c>
      <c r="AG169" s="4">
        <v>167</v>
      </c>
      <c r="AH169" s="4">
        <v>1867</v>
      </c>
      <c r="AI169" s="109">
        <v>33.119999999999997</v>
      </c>
      <c r="AJ169" s="110">
        <v>167</v>
      </c>
      <c r="AK169" s="111" t="s">
        <v>301</v>
      </c>
      <c r="AL169" s="111">
        <v>1867</v>
      </c>
      <c r="AM169" s="111" t="s">
        <v>353</v>
      </c>
      <c r="AN169" s="112">
        <v>33.119999999999997</v>
      </c>
      <c r="AO169" s="112">
        <f t="shared" si="8"/>
        <v>73.599999999999994</v>
      </c>
      <c r="AP169" s="111" t="s">
        <v>427</v>
      </c>
    </row>
    <row r="170" spans="9:42" ht="15.75" customHeight="1" x14ac:dyDescent="0.3">
      <c r="AB170" s="4">
        <v>168</v>
      </c>
      <c r="AC170" s="4">
        <v>445</v>
      </c>
      <c r="AD170" s="109">
        <v>30.65</v>
      </c>
      <c r="AE170" s="4" t="s">
        <v>475</v>
      </c>
      <c r="AG170" s="4">
        <v>168</v>
      </c>
      <c r="AH170" s="4">
        <v>1763</v>
      </c>
      <c r="AI170" s="109">
        <v>33.18</v>
      </c>
      <c r="AJ170" s="110">
        <v>168</v>
      </c>
      <c r="AK170" s="111" t="s">
        <v>291</v>
      </c>
      <c r="AL170" s="111">
        <v>1763</v>
      </c>
      <c r="AM170" s="111" t="s">
        <v>499</v>
      </c>
      <c r="AN170" s="112">
        <v>33.18</v>
      </c>
      <c r="AO170" s="112">
        <f t="shared" si="8"/>
        <v>73.733333333333334</v>
      </c>
      <c r="AP170" s="111" t="s">
        <v>427</v>
      </c>
    </row>
    <row r="171" spans="9:42" ht="15.75" customHeight="1" x14ac:dyDescent="0.3">
      <c r="AB171" s="4">
        <v>169</v>
      </c>
      <c r="AC171" s="4">
        <v>64</v>
      </c>
      <c r="AD171" s="109">
        <v>28.94</v>
      </c>
      <c r="AE171" s="4" t="s">
        <v>459</v>
      </c>
      <c r="AG171" s="4">
        <v>169</v>
      </c>
      <c r="AH171" s="4">
        <v>2462</v>
      </c>
      <c r="AI171" s="109">
        <v>33.450000000000003</v>
      </c>
      <c r="AJ171" s="110">
        <v>169</v>
      </c>
      <c r="AK171" s="111" t="s">
        <v>430</v>
      </c>
      <c r="AL171" s="111">
        <v>2462</v>
      </c>
      <c r="AM171" s="111" t="s">
        <v>500</v>
      </c>
      <c r="AN171" s="112">
        <v>33.450000000000003</v>
      </c>
      <c r="AO171" s="112">
        <f t="shared" si="8"/>
        <v>74.333333333333343</v>
      </c>
      <c r="AP171" s="111" t="s">
        <v>427</v>
      </c>
    </row>
    <row r="172" spans="9:42" ht="15.75" customHeight="1" x14ac:dyDescent="0.3">
      <c r="AB172" s="4">
        <v>170</v>
      </c>
      <c r="AC172" s="4">
        <v>695</v>
      </c>
      <c r="AD172" s="109">
        <v>22.73</v>
      </c>
      <c r="AE172" s="4" t="s">
        <v>365</v>
      </c>
      <c r="AG172" s="4">
        <v>170</v>
      </c>
      <c r="AH172" s="4">
        <v>2433</v>
      </c>
      <c r="AI172" s="109">
        <v>33.46</v>
      </c>
      <c r="AJ172" s="110">
        <v>170</v>
      </c>
      <c r="AK172" s="111" t="s">
        <v>385</v>
      </c>
      <c r="AL172" s="111">
        <v>2433</v>
      </c>
      <c r="AM172" s="111" t="s">
        <v>376</v>
      </c>
      <c r="AN172" s="112">
        <v>33.46</v>
      </c>
      <c r="AO172" s="112">
        <f t="shared" si="8"/>
        <v>74.355555555555554</v>
      </c>
      <c r="AP172" s="111" t="s">
        <v>427</v>
      </c>
    </row>
    <row r="173" spans="9:42" ht="15.75" customHeight="1" x14ac:dyDescent="0.3">
      <c r="AB173" s="4">
        <v>171</v>
      </c>
      <c r="AC173" s="4">
        <v>463</v>
      </c>
      <c r="AD173" s="109">
        <v>23.63</v>
      </c>
      <c r="AE173" s="4" t="s">
        <v>386</v>
      </c>
      <c r="AG173" s="4">
        <v>171</v>
      </c>
      <c r="AH173" s="4">
        <v>551</v>
      </c>
      <c r="AI173" s="109">
        <v>33.729999999999997</v>
      </c>
      <c r="AJ173" s="110">
        <v>171</v>
      </c>
      <c r="AK173" s="111" t="s">
        <v>452</v>
      </c>
      <c r="AL173" s="111">
        <v>551</v>
      </c>
      <c r="AM173" s="111" t="s">
        <v>416</v>
      </c>
      <c r="AN173" s="112">
        <v>33.729999999999997</v>
      </c>
      <c r="AO173" s="112">
        <f t="shared" si="8"/>
        <v>74.955555555555549</v>
      </c>
      <c r="AP173" s="111" t="s">
        <v>427</v>
      </c>
    </row>
    <row r="174" spans="9:42" ht="15.75" customHeight="1" x14ac:dyDescent="0.3">
      <c r="AB174" s="4">
        <v>172</v>
      </c>
      <c r="AC174" s="4">
        <v>296</v>
      </c>
      <c r="AD174" s="109">
        <v>30.77</v>
      </c>
      <c r="AE174" s="4" t="s">
        <v>478</v>
      </c>
      <c r="AG174" s="4">
        <v>172</v>
      </c>
      <c r="AH174" s="4">
        <v>2184</v>
      </c>
      <c r="AI174" s="109">
        <v>34</v>
      </c>
      <c r="AJ174" s="110">
        <v>172</v>
      </c>
      <c r="AK174" s="111" t="s">
        <v>340</v>
      </c>
      <c r="AL174" s="111">
        <v>2184</v>
      </c>
      <c r="AM174" s="111" t="s">
        <v>501</v>
      </c>
      <c r="AN174" s="112">
        <v>34</v>
      </c>
      <c r="AO174" s="112">
        <f t="shared" si="8"/>
        <v>75.555555555555557</v>
      </c>
      <c r="AP174" s="111" t="s">
        <v>427</v>
      </c>
    </row>
    <row r="175" spans="9:42" ht="15.75" customHeight="1" x14ac:dyDescent="0.3">
      <c r="AB175" s="4">
        <v>173</v>
      </c>
      <c r="AC175" s="4">
        <v>2581</v>
      </c>
      <c r="AD175" s="109">
        <v>32.97</v>
      </c>
      <c r="AE175" s="4" t="s">
        <v>497</v>
      </c>
      <c r="AG175" s="4">
        <v>173</v>
      </c>
      <c r="AH175" s="4">
        <v>1911</v>
      </c>
      <c r="AI175" s="109">
        <v>34</v>
      </c>
      <c r="AJ175" s="110">
        <v>173</v>
      </c>
      <c r="AK175" s="111" t="s">
        <v>477</v>
      </c>
      <c r="AL175" s="111">
        <v>1911</v>
      </c>
      <c r="AM175" s="111" t="s">
        <v>490</v>
      </c>
      <c r="AN175" s="112">
        <v>34</v>
      </c>
      <c r="AO175" s="112">
        <f t="shared" si="8"/>
        <v>75.555555555555557</v>
      </c>
      <c r="AP175" s="111" t="s">
        <v>427</v>
      </c>
    </row>
    <row r="176" spans="9:42" ht="15.75" customHeight="1" x14ac:dyDescent="0.3">
      <c r="AB176" s="4">
        <v>174</v>
      </c>
      <c r="AC176" s="4">
        <v>876</v>
      </c>
      <c r="AD176" s="109">
        <v>26.13</v>
      </c>
      <c r="AE176" s="4" t="s">
        <v>420</v>
      </c>
      <c r="AG176" s="4">
        <v>174</v>
      </c>
      <c r="AH176" s="4">
        <v>2522</v>
      </c>
      <c r="AI176" s="109">
        <v>34.270000000000003</v>
      </c>
      <c r="AJ176" s="110">
        <v>174</v>
      </c>
      <c r="AK176" s="111" t="s">
        <v>406</v>
      </c>
      <c r="AL176" s="111">
        <v>2522</v>
      </c>
      <c r="AM176" s="111" t="s">
        <v>307</v>
      </c>
      <c r="AN176" s="112">
        <v>34.270000000000003</v>
      </c>
      <c r="AO176" s="112">
        <f t="shared" si="8"/>
        <v>76.155555555555566</v>
      </c>
      <c r="AP176" s="111" t="s">
        <v>427</v>
      </c>
    </row>
    <row r="177" spans="28:42" ht="15.75" customHeight="1" x14ac:dyDescent="0.3">
      <c r="AB177" s="4">
        <v>175</v>
      </c>
      <c r="AC177" s="4">
        <v>148</v>
      </c>
      <c r="AD177" s="109">
        <v>29.82</v>
      </c>
      <c r="AE177" s="4" t="s">
        <v>502</v>
      </c>
      <c r="AG177" s="4">
        <v>175</v>
      </c>
      <c r="AH177" s="4">
        <v>1424</v>
      </c>
      <c r="AI177" s="109">
        <v>35.369999999999997</v>
      </c>
      <c r="AJ177" s="110">
        <v>175</v>
      </c>
      <c r="AK177" s="111" t="s">
        <v>432</v>
      </c>
      <c r="AL177" s="111">
        <v>1424</v>
      </c>
      <c r="AM177" s="111" t="s">
        <v>503</v>
      </c>
      <c r="AN177" s="112">
        <v>35.369999999999997</v>
      </c>
      <c r="AO177" s="112">
        <f t="shared" si="8"/>
        <v>78.599999999999994</v>
      </c>
      <c r="AP177" s="111" t="s">
        <v>427</v>
      </c>
    </row>
    <row r="178" spans="28:42" ht="15.75" customHeight="1" x14ac:dyDescent="0.3">
      <c r="AB178" s="4">
        <v>176</v>
      </c>
      <c r="AC178" s="4">
        <v>1046</v>
      </c>
      <c r="AD178" s="109">
        <v>30</v>
      </c>
      <c r="AE178" s="4" t="s">
        <v>504</v>
      </c>
      <c r="AG178" s="4">
        <v>176</v>
      </c>
      <c r="AH178" s="4">
        <v>1449</v>
      </c>
      <c r="AI178" s="109">
        <v>37.79</v>
      </c>
      <c r="AJ178" s="110">
        <v>176</v>
      </c>
      <c r="AK178" s="111" t="s">
        <v>361</v>
      </c>
      <c r="AL178" s="111">
        <v>1449</v>
      </c>
      <c r="AM178" s="111" t="s">
        <v>324</v>
      </c>
      <c r="AN178" s="112">
        <v>37.79</v>
      </c>
      <c r="AO178" s="112">
        <f t="shared" si="8"/>
        <v>83.977777777777774</v>
      </c>
      <c r="AP178" s="111" t="s">
        <v>505</v>
      </c>
    </row>
    <row r="179" spans="28:42" ht="15.75" customHeight="1" x14ac:dyDescent="0.3">
      <c r="AB179" s="4">
        <v>177</v>
      </c>
      <c r="AC179" s="4">
        <v>367</v>
      </c>
      <c r="AD179" s="109">
        <v>20.94</v>
      </c>
      <c r="AE179" s="4" t="s">
        <v>506</v>
      </c>
      <c r="AG179" s="4">
        <v>177</v>
      </c>
      <c r="AH179" s="4">
        <v>2946</v>
      </c>
      <c r="AI179" s="109">
        <v>38.83</v>
      </c>
      <c r="AJ179" s="110">
        <v>177</v>
      </c>
      <c r="AK179" s="111" t="s">
        <v>455</v>
      </c>
      <c r="AL179" s="111">
        <v>2946</v>
      </c>
      <c r="AM179" s="111" t="s">
        <v>416</v>
      </c>
      <c r="AN179" s="112">
        <v>38.83</v>
      </c>
      <c r="AO179" s="112">
        <f t="shared" si="8"/>
        <v>86.288888888888877</v>
      </c>
      <c r="AP179" s="111" t="s">
        <v>505</v>
      </c>
    </row>
    <row r="180" spans="28:42" ht="15.75" customHeight="1" x14ac:dyDescent="0.3">
      <c r="AB180" s="4">
        <v>178</v>
      </c>
      <c r="AC180" s="4">
        <v>1372</v>
      </c>
      <c r="AD180" s="109">
        <v>21.51</v>
      </c>
      <c r="AE180" s="4" t="s">
        <v>346</v>
      </c>
      <c r="AG180" s="4">
        <v>178</v>
      </c>
      <c r="AH180" s="4">
        <v>1807</v>
      </c>
      <c r="AI180" s="109">
        <v>39.49</v>
      </c>
      <c r="AJ180" s="110">
        <v>178</v>
      </c>
      <c r="AK180" s="111" t="s">
        <v>426</v>
      </c>
      <c r="AL180" s="111">
        <v>1807</v>
      </c>
      <c r="AM180" s="111" t="s">
        <v>429</v>
      </c>
      <c r="AN180" s="112">
        <v>39.49</v>
      </c>
      <c r="AO180" s="112">
        <f t="shared" si="8"/>
        <v>87.75555555555556</v>
      </c>
      <c r="AP180" s="111" t="s">
        <v>505</v>
      </c>
    </row>
    <row r="181" spans="28:42" ht="15.75" customHeight="1" x14ac:dyDescent="0.3"/>
    <row r="182" spans="28:42" ht="15.75" customHeight="1" x14ac:dyDescent="0.3"/>
    <row r="183" spans="28:42" ht="15.75" customHeight="1" x14ac:dyDescent="0.3"/>
    <row r="184" spans="28:42" ht="15.75" customHeight="1" x14ac:dyDescent="0.3">
      <c r="AH184" s="109"/>
    </row>
    <row r="185" spans="28:42" ht="15.75" customHeight="1" x14ac:dyDescent="0.3"/>
    <row r="186" spans="28:42" ht="15.75" customHeight="1" x14ac:dyDescent="0.3"/>
    <row r="187" spans="28:42" ht="15.75" customHeight="1" x14ac:dyDescent="0.3"/>
    <row r="188" spans="28:42" ht="15.75" customHeight="1" x14ac:dyDescent="0.3"/>
    <row r="189" spans="28:42" ht="15.75" customHeight="1" x14ac:dyDescent="0.3"/>
    <row r="190" spans="28:42" ht="15.75" customHeight="1" x14ac:dyDescent="0.3"/>
    <row r="191" spans="28:42" ht="15.75" customHeight="1" x14ac:dyDescent="0.3"/>
    <row r="192" spans="28:4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J1:AP1"/>
  </mergeCells>
  <pageMargins left="0.70866141732283472" right="0.70866141732283472" top="0.74803149606299213" bottom="0.74803149606299213" header="0" footer="0"/>
  <pageSetup paperSize="9"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B1:A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3.5546875" customWidth="1"/>
    <col min="3" max="3" width="15.33203125" customWidth="1"/>
    <col min="4" max="4" width="18.88671875" customWidth="1"/>
    <col min="5" max="5" width="12.109375" customWidth="1"/>
    <col min="6" max="6" width="14.6640625" customWidth="1"/>
    <col min="7" max="16" width="8.6640625" customWidth="1"/>
    <col min="17" max="20" width="9.6640625" customWidth="1"/>
    <col min="21" max="21" width="11.33203125" customWidth="1"/>
    <col min="22" max="35" width="8.6640625" customWidth="1"/>
  </cols>
  <sheetData>
    <row r="1" spans="2:35" ht="13.5" customHeight="1" x14ac:dyDescent="0.3"/>
    <row r="2" spans="2:35" ht="14.25" customHeight="1" x14ac:dyDescent="0.3">
      <c r="B2" s="123" t="s">
        <v>507</v>
      </c>
      <c r="C2" s="123" t="s">
        <v>508</v>
      </c>
      <c r="D2" s="123" t="s">
        <v>509</v>
      </c>
      <c r="E2" s="123" t="s">
        <v>510</v>
      </c>
      <c r="F2" s="123" t="s">
        <v>511</v>
      </c>
      <c r="G2" s="124" t="s">
        <v>512</v>
      </c>
      <c r="H2" s="124" t="s">
        <v>258</v>
      </c>
      <c r="K2" s="124"/>
      <c r="L2" s="124" t="s">
        <v>512</v>
      </c>
      <c r="M2" s="124" t="s">
        <v>258</v>
      </c>
      <c r="O2" s="102" t="s">
        <v>259</v>
      </c>
      <c r="P2" s="102"/>
      <c r="Q2" s="125" t="s">
        <v>513</v>
      </c>
      <c r="R2" s="125"/>
      <c r="S2" s="102" t="s">
        <v>259</v>
      </c>
      <c r="T2" s="102"/>
      <c r="U2" s="125" t="s">
        <v>514</v>
      </c>
      <c r="W2" s="124" t="s">
        <v>258</v>
      </c>
      <c r="X2" s="123" t="s">
        <v>507</v>
      </c>
      <c r="Y2" s="123" t="s">
        <v>508</v>
      </c>
      <c r="Z2" s="123" t="s">
        <v>509</v>
      </c>
      <c r="AA2" s="123" t="s">
        <v>510</v>
      </c>
      <c r="AB2" s="126" t="s">
        <v>511</v>
      </c>
      <c r="AC2" s="124" t="s">
        <v>512</v>
      </c>
      <c r="AF2" s="4" t="s">
        <v>258</v>
      </c>
      <c r="AG2" s="4" t="s">
        <v>515</v>
      </c>
    </row>
    <row r="3" spans="2:35" ht="14.4" x14ac:dyDescent="0.3">
      <c r="B3" s="107">
        <v>13.38</v>
      </c>
      <c r="C3" s="107">
        <v>6</v>
      </c>
      <c r="D3" s="107">
        <v>6.5</v>
      </c>
      <c r="E3" s="107">
        <v>3.1</v>
      </c>
      <c r="F3" s="107">
        <v>3.4</v>
      </c>
      <c r="G3" s="109">
        <f t="shared" ref="G3:G160" si="0">+SUM(B3:F3)</f>
        <v>32.380000000000003</v>
      </c>
      <c r="H3" s="14">
        <v>148</v>
      </c>
      <c r="I3" s="109"/>
      <c r="J3" s="4" t="s">
        <v>516</v>
      </c>
      <c r="K3" s="101">
        <f t="shared" ref="K3:K160" si="1">+L3/55</f>
        <v>0.43636363636363634</v>
      </c>
      <c r="L3" s="109">
        <v>24</v>
      </c>
      <c r="M3" s="13">
        <v>1232</v>
      </c>
      <c r="O3" s="4" t="s">
        <v>271</v>
      </c>
      <c r="P3" s="101">
        <f t="shared" ref="P3:P5" si="2">+Q3/$Q$6</f>
        <v>0.24157303370786518</v>
      </c>
      <c r="Q3" s="4">
        <f>+COUNT(AH3:AH45)</f>
        <v>43</v>
      </c>
      <c r="S3" s="4" t="str">
        <f t="shared" ref="S3:S5" si="3">+O3</f>
        <v>jelek</v>
      </c>
      <c r="T3" s="101">
        <v>0.23</v>
      </c>
      <c r="U3" s="100">
        <f>+SUM(AF3:AF45)</f>
        <v>37396</v>
      </c>
      <c r="V3" s="4">
        <v>1</v>
      </c>
      <c r="W3" s="4">
        <v>1000</v>
      </c>
      <c r="X3" s="109">
        <v>9.6300000000000008</v>
      </c>
      <c r="Y3" s="109">
        <v>7.23</v>
      </c>
      <c r="Z3" s="109">
        <v>11.72</v>
      </c>
      <c r="AA3" s="109">
        <v>4.18</v>
      </c>
      <c r="AB3" s="109">
        <v>7</v>
      </c>
      <c r="AC3" s="109">
        <f t="shared" ref="AC3:AC180" si="4">+SUM(X3:AB3)</f>
        <v>39.76</v>
      </c>
      <c r="AE3" s="4">
        <v>1</v>
      </c>
      <c r="AF3" s="4">
        <v>1085</v>
      </c>
      <c r="AG3" s="4">
        <v>19.009999999999998</v>
      </c>
      <c r="AH3" s="109">
        <f t="shared" ref="AH3:AH180" si="5">+AG3/55*100</f>
        <v>34.563636363636355</v>
      </c>
      <c r="AI3" s="4" t="s">
        <v>271</v>
      </c>
    </row>
    <row r="4" spans="2:35" ht="14.4" x14ac:dyDescent="0.3">
      <c r="B4" s="107">
        <v>13.36</v>
      </c>
      <c r="C4" s="107">
        <v>6</v>
      </c>
      <c r="D4" s="107">
        <v>6.5</v>
      </c>
      <c r="E4" s="107">
        <v>3.1</v>
      </c>
      <c r="F4" s="107">
        <v>3</v>
      </c>
      <c r="G4" s="109">
        <f t="shared" si="0"/>
        <v>31.96</v>
      </c>
      <c r="H4" s="14">
        <v>156</v>
      </c>
      <c r="I4" s="109"/>
      <c r="J4" s="4" t="s">
        <v>516</v>
      </c>
      <c r="K4" s="101">
        <f t="shared" si="1"/>
        <v>0.45927272727272722</v>
      </c>
      <c r="L4" s="109">
        <v>25.259999999999998</v>
      </c>
      <c r="M4" s="14">
        <v>455</v>
      </c>
      <c r="O4" s="4" t="s">
        <v>293</v>
      </c>
      <c r="P4" s="101">
        <f t="shared" si="2"/>
        <v>0.651685393258427</v>
      </c>
      <c r="Q4" s="4">
        <f>+COUNT(AH46:AH161)</f>
        <v>116</v>
      </c>
      <c r="S4" s="4" t="str">
        <f t="shared" si="3"/>
        <v>sedang</v>
      </c>
      <c r="T4" s="101">
        <v>0.67</v>
      </c>
      <c r="U4" s="100">
        <f>+SUM(AF46:AF161)</f>
        <v>109583</v>
      </c>
      <c r="V4" s="4">
        <v>2</v>
      </c>
      <c r="W4" s="4">
        <v>1403</v>
      </c>
      <c r="X4" s="109">
        <v>14.91</v>
      </c>
      <c r="Y4" s="109">
        <v>8.5</v>
      </c>
      <c r="Z4" s="109">
        <v>11.1</v>
      </c>
      <c r="AA4" s="109">
        <v>4.25</v>
      </c>
      <c r="AB4" s="109">
        <v>6.55</v>
      </c>
      <c r="AC4" s="109">
        <f t="shared" si="4"/>
        <v>45.309999999999995</v>
      </c>
      <c r="AE4" s="4">
        <v>2</v>
      </c>
      <c r="AF4" s="4">
        <v>1132</v>
      </c>
      <c r="AG4" s="4">
        <v>19.8</v>
      </c>
      <c r="AH4" s="109">
        <f t="shared" si="5"/>
        <v>36</v>
      </c>
      <c r="AI4" s="4" t="s">
        <v>271</v>
      </c>
    </row>
    <row r="5" spans="2:35" ht="14.4" x14ac:dyDescent="0.3">
      <c r="B5" s="115">
        <v>13.4</v>
      </c>
      <c r="C5" s="115">
        <v>6</v>
      </c>
      <c r="D5" s="115">
        <v>6.5</v>
      </c>
      <c r="E5" s="115">
        <v>2.9</v>
      </c>
      <c r="F5" s="115">
        <v>3.99</v>
      </c>
      <c r="G5" s="109">
        <f t="shared" si="0"/>
        <v>32.79</v>
      </c>
      <c r="H5" s="117">
        <v>1212</v>
      </c>
      <c r="I5" s="109"/>
      <c r="J5" s="4" t="s">
        <v>516</v>
      </c>
      <c r="K5" s="101">
        <f t="shared" si="1"/>
        <v>0.50163636363636366</v>
      </c>
      <c r="L5" s="109">
        <v>27.59</v>
      </c>
      <c r="M5" s="116">
        <v>1523</v>
      </c>
      <c r="O5" s="4" t="s">
        <v>270</v>
      </c>
      <c r="P5" s="101">
        <f t="shared" si="2"/>
        <v>0.10674157303370786</v>
      </c>
      <c r="Q5" s="4">
        <f>+COUNT(AH162:AH180)</f>
        <v>19</v>
      </c>
      <c r="S5" s="4" t="str">
        <f t="shared" si="3"/>
        <v>baik</v>
      </c>
      <c r="T5" s="101">
        <v>0.1</v>
      </c>
      <c r="U5" s="100">
        <f>+SUM(AF162:AF180)</f>
        <v>20149</v>
      </c>
      <c r="V5" s="4">
        <v>3</v>
      </c>
      <c r="W5" s="4">
        <v>1370</v>
      </c>
      <c r="X5" s="109">
        <v>15</v>
      </c>
      <c r="Y5" s="109">
        <v>7.23</v>
      </c>
      <c r="Z5" s="109">
        <v>11.72</v>
      </c>
      <c r="AA5" s="109">
        <v>4.18</v>
      </c>
      <c r="AB5" s="109">
        <v>7.75</v>
      </c>
      <c r="AC5" s="109">
        <f t="shared" si="4"/>
        <v>45.88</v>
      </c>
      <c r="AE5" s="4">
        <v>3</v>
      </c>
      <c r="AF5" s="4">
        <v>1232</v>
      </c>
      <c r="AG5" s="4">
        <v>24</v>
      </c>
      <c r="AH5" s="109">
        <f t="shared" si="5"/>
        <v>43.636363636363633</v>
      </c>
      <c r="AI5" s="4" t="s">
        <v>271</v>
      </c>
    </row>
    <row r="6" spans="2:35" ht="14.4" x14ac:dyDescent="0.3">
      <c r="B6" s="107">
        <v>13.53</v>
      </c>
      <c r="C6" s="107">
        <v>6</v>
      </c>
      <c r="D6" s="107">
        <v>6.5</v>
      </c>
      <c r="E6" s="107">
        <v>3.1</v>
      </c>
      <c r="F6" s="107">
        <v>3</v>
      </c>
      <c r="G6" s="109">
        <f t="shared" si="0"/>
        <v>32.130000000000003</v>
      </c>
      <c r="H6" s="14">
        <v>20</v>
      </c>
      <c r="I6" s="109"/>
      <c r="J6" s="4" t="s">
        <v>516</v>
      </c>
      <c r="K6" s="101">
        <f t="shared" si="1"/>
        <v>0.50927272727272721</v>
      </c>
      <c r="L6" s="109">
        <v>28.009999999999998</v>
      </c>
      <c r="M6" s="13">
        <v>296</v>
      </c>
      <c r="P6" s="101">
        <f t="shared" ref="P6:Q6" si="6">SUM(P3:P5)</f>
        <v>1</v>
      </c>
      <c r="Q6" s="4">
        <f t="shared" si="6"/>
        <v>178</v>
      </c>
      <c r="T6" s="101">
        <f t="shared" ref="T6:U6" si="7">SUM(T3:T5)</f>
        <v>1</v>
      </c>
      <c r="U6" s="100">
        <f t="shared" si="7"/>
        <v>167128</v>
      </c>
      <c r="V6" s="4">
        <v>4</v>
      </c>
      <c r="W6" s="4">
        <v>1787</v>
      </c>
      <c r="X6" s="109">
        <v>12.78</v>
      </c>
      <c r="Y6" s="109">
        <v>4.1399999999999997</v>
      </c>
      <c r="Z6" s="109">
        <v>7.22</v>
      </c>
      <c r="AA6" s="109">
        <v>2.9</v>
      </c>
      <c r="AB6" s="109">
        <v>4.96</v>
      </c>
      <c r="AC6" s="109">
        <f t="shared" si="4"/>
        <v>31.999999999999996</v>
      </c>
      <c r="AE6" s="4">
        <v>4</v>
      </c>
      <c r="AF6" s="4">
        <v>455</v>
      </c>
      <c r="AG6" s="4">
        <v>25.259999999999998</v>
      </c>
      <c r="AH6" s="109">
        <f t="shared" si="5"/>
        <v>45.927272727272722</v>
      </c>
      <c r="AI6" s="4" t="s">
        <v>271</v>
      </c>
    </row>
    <row r="7" spans="2:35" ht="14.4" x14ac:dyDescent="0.3">
      <c r="B7" s="107">
        <v>12.71</v>
      </c>
      <c r="C7" s="107">
        <v>4.5999999999999996</v>
      </c>
      <c r="D7" s="107">
        <v>10.28</v>
      </c>
      <c r="E7" s="107">
        <v>2.98</v>
      </c>
      <c r="F7" s="107">
        <v>4.2</v>
      </c>
      <c r="G7" s="109">
        <f t="shared" si="0"/>
        <v>34.770000000000003</v>
      </c>
      <c r="H7" s="14">
        <v>527</v>
      </c>
      <c r="I7" s="109"/>
      <c r="J7" s="4" t="s">
        <v>516</v>
      </c>
      <c r="K7" s="101">
        <f t="shared" si="1"/>
        <v>0.51763636363636356</v>
      </c>
      <c r="L7" s="109">
        <v>28.47</v>
      </c>
      <c r="M7" s="117">
        <v>971</v>
      </c>
      <c r="V7" s="4">
        <v>5</v>
      </c>
      <c r="W7" s="4">
        <v>1096</v>
      </c>
      <c r="X7" s="109">
        <v>13</v>
      </c>
      <c r="Y7" s="109">
        <v>6.15</v>
      </c>
      <c r="Z7" s="109">
        <v>9.64</v>
      </c>
      <c r="AA7" s="109">
        <v>3.8</v>
      </c>
      <c r="AB7" s="109">
        <v>7</v>
      </c>
      <c r="AC7" s="109">
        <f t="shared" si="4"/>
        <v>39.589999999999996</v>
      </c>
      <c r="AE7" s="4">
        <v>5</v>
      </c>
      <c r="AF7" s="4">
        <v>1613</v>
      </c>
      <c r="AG7" s="4">
        <v>25.89</v>
      </c>
      <c r="AH7" s="109">
        <f t="shared" si="5"/>
        <v>47.072727272727271</v>
      </c>
      <c r="AI7" s="4" t="s">
        <v>271</v>
      </c>
    </row>
    <row r="8" spans="2:35" ht="14.4" x14ac:dyDescent="0.3">
      <c r="B8" s="107">
        <v>13.65</v>
      </c>
      <c r="C8" s="107">
        <v>3.9</v>
      </c>
      <c r="D8" s="107">
        <v>8.26</v>
      </c>
      <c r="E8" s="107">
        <v>3.1</v>
      </c>
      <c r="F8" s="107">
        <v>6.3</v>
      </c>
      <c r="G8" s="109">
        <f t="shared" si="0"/>
        <v>35.21</v>
      </c>
      <c r="H8" s="14">
        <v>457</v>
      </c>
      <c r="I8" s="109"/>
      <c r="J8" s="4" t="s">
        <v>516</v>
      </c>
      <c r="K8" s="101">
        <f t="shared" si="1"/>
        <v>0.5194545454545455</v>
      </c>
      <c r="L8" s="109">
        <v>28.57</v>
      </c>
      <c r="M8" s="116">
        <v>2462</v>
      </c>
      <c r="V8" s="4">
        <v>6</v>
      </c>
      <c r="W8" s="4">
        <v>1727</v>
      </c>
      <c r="X8" s="109">
        <v>13.2</v>
      </c>
      <c r="Y8" s="109">
        <v>5.14</v>
      </c>
      <c r="Z8" s="109">
        <v>9.1300000000000008</v>
      </c>
      <c r="AA8" s="109">
        <v>3.33</v>
      </c>
      <c r="AB8" s="109">
        <v>5.7</v>
      </c>
      <c r="AC8" s="109">
        <f t="shared" si="4"/>
        <v>36.5</v>
      </c>
      <c r="AE8" s="4">
        <v>6</v>
      </c>
      <c r="AF8" s="4">
        <v>876</v>
      </c>
      <c r="AG8" s="4">
        <v>26.130000000000003</v>
      </c>
      <c r="AH8" s="109">
        <f t="shared" si="5"/>
        <v>47.509090909090915</v>
      </c>
      <c r="AI8" s="4" t="s">
        <v>271</v>
      </c>
    </row>
    <row r="9" spans="2:35" ht="14.4" x14ac:dyDescent="0.3">
      <c r="B9" s="107">
        <v>13.38</v>
      </c>
      <c r="C9" s="107">
        <v>6</v>
      </c>
      <c r="D9" s="107">
        <v>6.5</v>
      </c>
      <c r="E9" s="107">
        <v>3.1</v>
      </c>
      <c r="F9" s="107">
        <v>3</v>
      </c>
      <c r="G9" s="109">
        <f t="shared" si="0"/>
        <v>31.980000000000004</v>
      </c>
      <c r="H9" s="14">
        <v>107</v>
      </c>
      <c r="I9" s="109"/>
      <c r="J9" s="4" t="s">
        <v>516</v>
      </c>
      <c r="K9" s="101">
        <f t="shared" si="1"/>
        <v>0.53272727272727272</v>
      </c>
      <c r="L9" s="109">
        <v>29.299999999999997</v>
      </c>
      <c r="M9" s="14">
        <v>193</v>
      </c>
      <c r="V9" s="4">
        <v>7</v>
      </c>
      <c r="W9" s="4">
        <v>1378</v>
      </c>
      <c r="X9" s="109">
        <v>9</v>
      </c>
      <c r="Y9" s="109">
        <v>8.0500000000000007</v>
      </c>
      <c r="Z9" s="109">
        <v>11.19</v>
      </c>
      <c r="AA9" s="109">
        <v>3.5</v>
      </c>
      <c r="AB9" s="109">
        <v>7</v>
      </c>
      <c r="AC9" s="109">
        <f t="shared" si="4"/>
        <v>38.74</v>
      </c>
      <c r="AE9" s="4">
        <v>7</v>
      </c>
      <c r="AF9" s="4">
        <v>1523</v>
      </c>
      <c r="AG9" s="4">
        <v>27.41</v>
      </c>
      <c r="AH9" s="109">
        <f t="shared" si="5"/>
        <v>49.836363636363636</v>
      </c>
      <c r="AI9" s="4" t="s">
        <v>271</v>
      </c>
    </row>
    <row r="10" spans="2:35" ht="14.4" x14ac:dyDescent="0.3">
      <c r="B10" s="107">
        <v>14.35</v>
      </c>
      <c r="C10" s="107">
        <v>4.5999999999999996</v>
      </c>
      <c r="D10" s="107">
        <v>7.7</v>
      </c>
      <c r="E10" s="107">
        <v>3.1</v>
      </c>
      <c r="F10" s="107">
        <v>3</v>
      </c>
      <c r="G10" s="109">
        <f t="shared" si="0"/>
        <v>32.75</v>
      </c>
      <c r="H10" s="14">
        <v>39</v>
      </c>
      <c r="I10" s="109"/>
      <c r="J10" s="4" t="s">
        <v>516</v>
      </c>
      <c r="K10" s="101">
        <f t="shared" si="1"/>
        <v>0.53599999999999992</v>
      </c>
      <c r="L10" s="109">
        <v>29.479999999999997</v>
      </c>
      <c r="M10" s="117">
        <v>2946</v>
      </c>
      <c r="V10" s="4">
        <v>8</v>
      </c>
      <c r="W10" s="4">
        <v>1763</v>
      </c>
      <c r="X10" s="109">
        <v>14.47</v>
      </c>
      <c r="Y10" s="109">
        <v>6.5</v>
      </c>
      <c r="Z10" s="109">
        <v>8</v>
      </c>
      <c r="AA10" s="109">
        <v>3.3</v>
      </c>
      <c r="AB10" s="109">
        <v>6.6</v>
      </c>
      <c r="AC10" s="109">
        <f t="shared" si="4"/>
        <v>38.869999999999997</v>
      </c>
      <c r="AE10" s="4">
        <v>8</v>
      </c>
      <c r="AF10" s="4">
        <v>296</v>
      </c>
      <c r="AG10" s="4">
        <v>28.009999999999998</v>
      </c>
      <c r="AH10" s="109">
        <f t="shared" si="5"/>
        <v>50.927272727272722</v>
      </c>
      <c r="AI10" s="4" t="s">
        <v>271</v>
      </c>
    </row>
    <row r="11" spans="2:35" ht="14.4" x14ac:dyDescent="0.3">
      <c r="B11" s="107">
        <v>13.54</v>
      </c>
      <c r="C11" s="107">
        <v>3.8</v>
      </c>
      <c r="D11" s="107">
        <v>9.6999999999999993</v>
      </c>
      <c r="E11" s="107">
        <v>2.9</v>
      </c>
      <c r="F11" s="107">
        <v>3</v>
      </c>
      <c r="G11" s="109">
        <f t="shared" si="0"/>
        <v>32.94</v>
      </c>
      <c r="H11" s="14">
        <v>282</v>
      </c>
      <c r="I11" s="109"/>
      <c r="J11" s="4" t="s">
        <v>516</v>
      </c>
      <c r="K11" s="101">
        <f t="shared" si="1"/>
        <v>0.54400000000000004</v>
      </c>
      <c r="L11" s="109">
        <v>29.92</v>
      </c>
      <c r="M11" s="13">
        <v>1807</v>
      </c>
      <c r="V11" s="4">
        <v>9</v>
      </c>
      <c r="W11" s="4">
        <v>1637</v>
      </c>
      <c r="X11" s="109">
        <v>12.5</v>
      </c>
      <c r="Y11" s="109">
        <v>7.29</v>
      </c>
      <c r="Z11" s="109">
        <v>11.49</v>
      </c>
      <c r="AA11" s="109">
        <v>4.03</v>
      </c>
      <c r="AB11" s="109">
        <v>7.68</v>
      </c>
      <c r="AC11" s="109">
        <f t="shared" si="4"/>
        <v>42.99</v>
      </c>
      <c r="AE11" s="4">
        <v>9</v>
      </c>
      <c r="AF11" s="4">
        <v>64</v>
      </c>
      <c r="AG11" s="4">
        <v>28.4</v>
      </c>
      <c r="AH11" s="109">
        <f t="shared" si="5"/>
        <v>51.636363636363633</v>
      </c>
      <c r="AI11" s="4" t="s">
        <v>271</v>
      </c>
    </row>
    <row r="12" spans="2:35" ht="14.4" x14ac:dyDescent="0.3">
      <c r="B12" s="107">
        <v>13.27</v>
      </c>
      <c r="C12" s="107">
        <v>5.9</v>
      </c>
      <c r="D12" s="107">
        <v>6.5</v>
      </c>
      <c r="E12" s="107">
        <v>3.1</v>
      </c>
      <c r="F12" s="107">
        <v>3</v>
      </c>
      <c r="G12" s="109">
        <f t="shared" si="0"/>
        <v>31.770000000000003</v>
      </c>
      <c r="H12" s="14">
        <v>726</v>
      </c>
      <c r="I12" s="109"/>
      <c r="J12" s="4" t="s">
        <v>516</v>
      </c>
      <c r="K12" s="101">
        <f t="shared" si="1"/>
        <v>0.54636363636363627</v>
      </c>
      <c r="L12" s="109">
        <v>30.049999999999997</v>
      </c>
      <c r="M12" s="116">
        <v>2581</v>
      </c>
      <c r="V12" s="4">
        <v>10</v>
      </c>
      <c r="W12" s="4">
        <v>1086</v>
      </c>
      <c r="X12" s="109">
        <v>13.42</v>
      </c>
      <c r="Y12" s="109">
        <v>7.71</v>
      </c>
      <c r="Z12" s="109">
        <v>11.42</v>
      </c>
      <c r="AA12" s="109">
        <v>3.88</v>
      </c>
      <c r="AB12" s="109">
        <v>7.39</v>
      </c>
      <c r="AC12" s="109">
        <f t="shared" si="4"/>
        <v>43.82</v>
      </c>
      <c r="AE12" s="4">
        <v>10</v>
      </c>
      <c r="AF12" s="4">
        <v>971</v>
      </c>
      <c r="AG12" s="4">
        <v>28.47</v>
      </c>
      <c r="AH12" s="109">
        <f t="shared" si="5"/>
        <v>51.763636363636358</v>
      </c>
      <c r="AI12" s="4" t="s">
        <v>271</v>
      </c>
    </row>
    <row r="13" spans="2:35" ht="14.4" x14ac:dyDescent="0.3">
      <c r="B13" s="107">
        <v>13.46</v>
      </c>
      <c r="C13" s="107">
        <v>6</v>
      </c>
      <c r="D13" s="107">
        <v>6.5</v>
      </c>
      <c r="E13" s="107">
        <v>3.1</v>
      </c>
      <c r="F13" s="107">
        <v>3</v>
      </c>
      <c r="G13" s="109">
        <f t="shared" si="0"/>
        <v>32.06</v>
      </c>
      <c r="H13" s="14">
        <v>63</v>
      </c>
      <c r="I13" s="109"/>
      <c r="J13" s="4" t="s">
        <v>516</v>
      </c>
      <c r="K13" s="101">
        <f t="shared" si="1"/>
        <v>0.56054545454545457</v>
      </c>
      <c r="L13" s="109">
        <v>30.83</v>
      </c>
      <c r="M13" s="117">
        <v>515</v>
      </c>
      <c r="V13" s="4">
        <v>11</v>
      </c>
      <c r="W13" s="4">
        <v>1094</v>
      </c>
      <c r="X13" s="109">
        <v>10.7</v>
      </c>
      <c r="Y13" s="109">
        <v>7</v>
      </c>
      <c r="Z13" s="109">
        <v>10.5</v>
      </c>
      <c r="AA13" s="109">
        <v>3.5</v>
      </c>
      <c r="AB13" s="109">
        <v>7</v>
      </c>
      <c r="AC13" s="109">
        <f t="shared" si="4"/>
        <v>38.700000000000003</v>
      </c>
      <c r="AE13" s="4">
        <v>11</v>
      </c>
      <c r="AF13" s="4">
        <v>20</v>
      </c>
      <c r="AG13" s="4">
        <v>29</v>
      </c>
      <c r="AH13" s="109">
        <f t="shared" si="5"/>
        <v>52.72727272727272</v>
      </c>
      <c r="AI13" s="4" t="s">
        <v>271</v>
      </c>
    </row>
    <row r="14" spans="2:35" ht="14.4" x14ac:dyDescent="0.3">
      <c r="B14" s="107">
        <v>15</v>
      </c>
      <c r="C14" s="107">
        <v>5</v>
      </c>
      <c r="D14" s="107">
        <v>7.14</v>
      </c>
      <c r="E14" s="107">
        <v>3.1</v>
      </c>
      <c r="F14" s="107">
        <v>3</v>
      </c>
      <c r="G14" s="109">
        <f t="shared" si="0"/>
        <v>33.24</v>
      </c>
      <c r="H14" s="14">
        <v>70</v>
      </c>
      <c r="I14" s="109"/>
      <c r="J14" s="4" t="s">
        <v>516</v>
      </c>
      <c r="K14" s="101">
        <f t="shared" si="1"/>
        <v>0.56181818181818177</v>
      </c>
      <c r="L14" s="109">
        <v>30.9</v>
      </c>
      <c r="M14" s="117">
        <v>1470</v>
      </c>
      <c r="V14" s="4">
        <v>12</v>
      </c>
      <c r="W14" s="4">
        <v>1867</v>
      </c>
      <c r="X14" s="109">
        <v>11.6</v>
      </c>
      <c r="Y14" s="109">
        <v>8.5</v>
      </c>
      <c r="Z14" s="109">
        <v>12.75</v>
      </c>
      <c r="AA14" s="109">
        <v>4.25</v>
      </c>
      <c r="AB14" s="109">
        <v>8.5</v>
      </c>
      <c r="AC14" s="109">
        <f t="shared" si="4"/>
        <v>45.6</v>
      </c>
      <c r="AE14" s="4">
        <v>12</v>
      </c>
      <c r="AF14" s="4">
        <v>193</v>
      </c>
      <c r="AG14" s="4">
        <v>29.299999999999997</v>
      </c>
      <c r="AH14" s="109">
        <f t="shared" si="5"/>
        <v>53.272727272727273</v>
      </c>
      <c r="AI14" s="4" t="s">
        <v>271</v>
      </c>
    </row>
    <row r="15" spans="2:35" ht="14.4" x14ac:dyDescent="0.3">
      <c r="B15" s="107">
        <v>14.81</v>
      </c>
      <c r="C15" s="107">
        <v>6.2</v>
      </c>
      <c r="D15" s="107">
        <v>9.8800000000000008</v>
      </c>
      <c r="E15" s="107">
        <v>2.7</v>
      </c>
      <c r="F15" s="107">
        <v>4.16</v>
      </c>
      <c r="G15" s="109">
        <f t="shared" si="0"/>
        <v>37.75</v>
      </c>
      <c r="H15" s="14">
        <v>53</v>
      </c>
      <c r="I15" s="109"/>
      <c r="J15" s="4" t="s">
        <v>516</v>
      </c>
      <c r="K15" s="101">
        <f t="shared" si="1"/>
        <v>0.56454545454545457</v>
      </c>
      <c r="L15" s="109">
        <v>31.05</v>
      </c>
      <c r="M15" s="116">
        <v>1736</v>
      </c>
      <c r="V15" s="4">
        <v>13</v>
      </c>
      <c r="W15" s="4">
        <v>1088</v>
      </c>
      <c r="X15" s="109">
        <v>14.86</v>
      </c>
      <c r="Y15" s="109">
        <v>7.7</v>
      </c>
      <c r="Z15" s="109">
        <v>11.15</v>
      </c>
      <c r="AA15" s="109">
        <v>3.95</v>
      </c>
      <c r="AB15" s="109">
        <v>7.8</v>
      </c>
      <c r="AC15" s="109">
        <f t="shared" si="4"/>
        <v>45.46</v>
      </c>
      <c r="AE15" s="4">
        <v>13</v>
      </c>
      <c r="AF15" s="4">
        <v>515</v>
      </c>
      <c r="AG15" s="4">
        <v>29.36</v>
      </c>
      <c r="AH15" s="109">
        <f t="shared" si="5"/>
        <v>53.381818181818183</v>
      </c>
      <c r="AI15" s="4" t="s">
        <v>271</v>
      </c>
    </row>
    <row r="16" spans="2:35" ht="14.4" x14ac:dyDescent="0.3">
      <c r="B16" s="107">
        <v>11.04</v>
      </c>
      <c r="C16" s="107">
        <v>6.95</v>
      </c>
      <c r="D16" s="107">
        <v>7.86</v>
      </c>
      <c r="E16" s="107">
        <v>3.45</v>
      </c>
      <c r="F16" s="107">
        <v>0</v>
      </c>
      <c r="G16" s="109">
        <f t="shared" si="0"/>
        <v>29.299999999999997</v>
      </c>
      <c r="H16" s="14">
        <v>193</v>
      </c>
      <c r="I16" s="109"/>
      <c r="J16" s="4" t="s">
        <v>516</v>
      </c>
      <c r="K16" s="101">
        <f t="shared" si="1"/>
        <v>0.56490909090909092</v>
      </c>
      <c r="L16" s="109">
        <v>31.07</v>
      </c>
      <c r="M16" s="117">
        <v>293</v>
      </c>
      <c r="V16" s="4">
        <v>14</v>
      </c>
      <c r="W16" s="4">
        <v>1920</v>
      </c>
      <c r="X16" s="109">
        <v>13</v>
      </c>
      <c r="Y16" s="109">
        <v>7.86</v>
      </c>
      <c r="Z16" s="109">
        <v>11.36</v>
      </c>
      <c r="AA16" s="109">
        <v>3.95</v>
      </c>
      <c r="AB16" s="109">
        <v>7</v>
      </c>
      <c r="AC16" s="109">
        <f t="shared" si="4"/>
        <v>43.17</v>
      </c>
      <c r="AE16" s="4">
        <v>14</v>
      </c>
      <c r="AF16" s="4">
        <v>1807</v>
      </c>
      <c r="AG16" s="4">
        <v>30.220000000000002</v>
      </c>
      <c r="AH16" s="109">
        <f t="shared" si="5"/>
        <v>54.945454545454552</v>
      </c>
      <c r="AI16" s="4" t="s">
        <v>271</v>
      </c>
    </row>
    <row r="17" spans="2:35" ht="14.4" x14ac:dyDescent="0.3">
      <c r="B17" s="107">
        <v>11.42</v>
      </c>
      <c r="C17" s="107">
        <v>4.24</v>
      </c>
      <c r="D17" s="107">
        <v>6.1</v>
      </c>
      <c r="E17" s="107">
        <v>3.5</v>
      </c>
      <c r="F17" s="107">
        <v>0</v>
      </c>
      <c r="G17" s="109">
        <f t="shared" si="0"/>
        <v>25.259999999999998</v>
      </c>
      <c r="H17" s="14">
        <v>455</v>
      </c>
      <c r="I17" s="109"/>
      <c r="J17" s="4" t="s">
        <v>516</v>
      </c>
      <c r="K17" s="101">
        <f t="shared" si="1"/>
        <v>0.5656363636363636</v>
      </c>
      <c r="L17" s="109">
        <v>31.11</v>
      </c>
      <c r="M17" s="116">
        <v>1909</v>
      </c>
      <c r="V17" s="4">
        <v>15</v>
      </c>
      <c r="W17" s="4">
        <v>1262</v>
      </c>
      <c r="X17" s="109">
        <v>13.36</v>
      </c>
      <c r="Y17" s="109">
        <v>7.88</v>
      </c>
      <c r="Z17" s="109">
        <v>12.03</v>
      </c>
      <c r="AA17" s="109">
        <v>4.03</v>
      </c>
      <c r="AB17" s="109">
        <v>7.62</v>
      </c>
      <c r="AC17" s="109">
        <f t="shared" si="4"/>
        <v>44.919999999999995</v>
      </c>
      <c r="AE17" s="4">
        <v>15</v>
      </c>
      <c r="AF17" s="4">
        <v>463</v>
      </c>
      <c r="AG17" s="4">
        <v>30.29</v>
      </c>
      <c r="AH17" s="109">
        <f t="shared" si="5"/>
        <v>55.072727272727271</v>
      </c>
      <c r="AI17" s="4" t="s">
        <v>271</v>
      </c>
    </row>
    <row r="18" spans="2:35" ht="14.4" x14ac:dyDescent="0.3">
      <c r="B18" s="107">
        <v>13.4</v>
      </c>
      <c r="C18" s="107">
        <v>6</v>
      </c>
      <c r="D18" s="107">
        <v>6.9</v>
      </c>
      <c r="E18" s="107">
        <v>3.1</v>
      </c>
      <c r="F18" s="107">
        <v>3</v>
      </c>
      <c r="G18" s="109">
        <f t="shared" si="0"/>
        <v>32.4</v>
      </c>
      <c r="H18" s="14">
        <v>16</v>
      </c>
      <c r="I18" s="109"/>
      <c r="J18" s="4" t="s">
        <v>516</v>
      </c>
      <c r="K18" s="101">
        <f t="shared" si="1"/>
        <v>0.56981818181818189</v>
      </c>
      <c r="L18" s="109">
        <v>31.340000000000003</v>
      </c>
      <c r="M18" s="117">
        <v>1926</v>
      </c>
      <c r="V18" s="4">
        <v>16</v>
      </c>
      <c r="W18" s="4">
        <v>2188</v>
      </c>
      <c r="X18" s="109">
        <v>13.02</v>
      </c>
      <c r="Y18" s="109">
        <v>7.77</v>
      </c>
      <c r="Z18" s="109">
        <v>11.61</v>
      </c>
      <c r="AA18" s="109">
        <v>3.95</v>
      </c>
      <c r="AB18" s="109">
        <v>7</v>
      </c>
      <c r="AC18" s="109">
        <f t="shared" si="4"/>
        <v>43.35</v>
      </c>
      <c r="AE18" s="4">
        <v>16</v>
      </c>
      <c r="AF18" s="4">
        <v>1470</v>
      </c>
      <c r="AG18" s="4">
        <v>30.9</v>
      </c>
      <c r="AH18" s="109">
        <f t="shared" si="5"/>
        <v>56.18181818181818</v>
      </c>
      <c r="AI18" s="4" t="s">
        <v>271</v>
      </c>
    </row>
    <row r="19" spans="2:35" ht="14.4" x14ac:dyDescent="0.3">
      <c r="B19" s="107">
        <v>13.5</v>
      </c>
      <c r="C19" s="107">
        <v>6</v>
      </c>
      <c r="D19" s="107">
        <v>6.5</v>
      </c>
      <c r="E19" s="107">
        <v>3.1</v>
      </c>
      <c r="F19" s="107">
        <v>3</v>
      </c>
      <c r="G19" s="109">
        <f t="shared" si="0"/>
        <v>32.1</v>
      </c>
      <c r="H19" s="14">
        <v>32</v>
      </c>
      <c r="I19" s="109"/>
      <c r="J19" s="4" t="s">
        <v>516</v>
      </c>
      <c r="K19" s="101">
        <f t="shared" si="1"/>
        <v>0.57327272727272727</v>
      </c>
      <c r="L19" s="109">
        <v>31.53</v>
      </c>
      <c r="M19" s="13">
        <v>1744</v>
      </c>
      <c r="V19" s="4">
        <v>17</v>
      </c>
      <c r="W19" s="4">
        <v>1239</v>
      </c>
      <c r="X19" s="109">
        <v>14.53</v>
      </c>
      <c r="Y19" s="109">
        <v>8.0500000000000007</v>
      </c>
      <c r="Z19" s="109">
        <v>11.9</v>
      </c>
      <c r="AA19" s="109">
        <v>3.88</v>
      </c>
      <c r="AB19" s="109">
        <v>7.06</v>
      </c>
      <c r="AC19" s="109">
        <f t="shared" si="4"/>
        <v>45.42</v>
      </c>
      <c r="AE19" s="4">
        <v>17</v>
      </c>
      <c r="AF19" s="4">
        <v>1185</v>
      </c>
      <c r="AG19" s="4">
        <v>31</v>
      </c>
      <c r="AH19" s="109">
        <f t="shared" si="5"/>
        <v>56.36363636363636</v>
      </c>
      <c r="AI19" s="4" t="s">
        <v>271</v>
      </c>
    </row>
    <row r="20" spans="2:35" ht="14.4" x14ac:dyDescent="0.3">
      <c r="B20" s="107">
        <v>15</v>
      </c>
      <c r="C20" s="107">
        <v>5.9</v>
      </c>
      <c r="D20" s="107">
        <v>7.3</v>
      </c>
      <c r="E20" s="107">
        <v>3.1</v>
      </c>
      <c r="F20" s="107">
        <v>3</v>
      </c>
      <c r="G20" s="109">
        <f t="shared" si="0"/>
        <v>34.299999999999997</v>
      </c>
      <c r="H20" s="14">
        <v>46</v>
      </c>
      <c r="I20" s="109"/>
      <c r="J20" s="4" t="s">
        <v>516</v>
      </c>
      <c r="K20" s="101">
        <f t="shared" si="1"/>
        <v>0.57763636363636373</v>
      </c>
      <c r="L20" s="109">
        <v>31.770000000000003</v>
      </c>
      <c r="M20" s="14">
        <v>726</v>
      </c>
      <c r="V20" s="4">
        <v>18</v>
      </c>
      <c r="W20" s="4">
        <v>2323</v>
      </c>
      <c r="X20" s="109">
        <v>12.05</v>
      </c>
      <c r="Y20" s="109">
        <v>7.56</v>
      </c>
      <c r="Z20" s="109">
        <v>11.37</v>
      </c>
      <c r="AA20" s="109">
        <v>3.65</v>
      </c>
      <c r="AB20" s="109">
        <v>8.0500000000000007</v>
      </c>
      <c r="AC20" s="109">
        <f t="shared" si="4"/>
        <v>42.679999999999993</v>
      </c>
      <c r="AE20" s="4">
        <v>18</v>
      </c>
      <c r="AF20" s="4">
        <v>1736</v>
      </c>
      <c r="AG20" s="4">
        <v>31.05</v>
      </c>
      <c r="AH20" s="109">
        <f t="shared" si="5"/>
        <v>56.45454545454546</v>
      </c>
      <c r="AI20" s="4" t="s">
        <v>271</v>
      </c>
    </row>
    <row r="21" spans="2:35" ht="15.75" customHeight="1" x14ac:dyDescent="0.3">
      <c r="B21" s="107">
        <v>13.21</v>
      </c>
      <c r="C21" s="107">
        <v>6</v>
      </c>
      <c r="D21" s="107">
        <v>6.5</v>
      </c>
      <c r="E21" s="107">
        <v>3.1</v>
      </c>
      <c r="F21" s="107">
        <v>3</v>
      </c>
      <c r="G21" s="109">
        <f t="shared" si="0"/>
        <v>31.810000000000002</v>
      </c>
      <c r="H21" s="14">
        <v>59</v>
      </c>
      <c r="I21" s="109"/>
      <c r="J21" s="4" t="s">
        <v>516</v>
      </c>
      <c r="K21" s="101">
        <f t="shared" si="1"/>
        <v>0.57836363636363641</v>
      </c>
      <c r="L21" s="109">
        <v>31.810000000000002</v>
      </c>
      <c r="M21" s="14">
        <v>59</v>
      </c>
      <c r="V21" s="4">
        <v>19</v>
      </c>
      <c r="W21" s="4">
        <v>1447</v>
      </c>
      <c r="X21" s="109">
        <v>11.53</v>
      </c>
      <c r="Y21" s="109">
        <v>7.56</v>
      </c>
      <c r="Z21" s="109">
        <v>11.25</v>
      </c>
      <c r="AA21" s="109">
        <v>3.73</v>
      </c>
      <c r="AB21" s="109">
        <v>7.53</v>
      </c>
      <c r="AC21" s="109">
        <f t="shared" si="4"/>
        <v>41.6</v>
      </c>
      <c r="AE21" s="4">
        <v>19</v>
      </c>
      <c r="AF21" s="4">
        <v>1909</v>
      </c>
      <c r="AG21" s="4">
        <v>31.11</v>
      </c>
      <c r="AH21" s="109">
        <f t="shared" si="5"/>
        <v>56.563636363636363</v>
      </c>
      <c r="AI21" s="4" t="s">
        <v>271</v>
      </c>
    </row>
    <row r="22" spans="2:35" ht="15.75" customHeight="1" x14ac:dyDescent="0.3">
      <c r="B22" s="107">
        <v>14.56</v>
      </c>
      <c r="C22" s="107">
        <v>5.9</v>
      </c>
      <c r="D22" s="107">
        <v>6.5</v>
      </c>
      <c r="E22" s="107">
        <v>2.9</v>
      </c>
      <c r="F22" s="107">
        <v>3</v>
      </c>
      <c r="G22" s="109">
        <f t="shared" si="0"/>
        <v>32.86</v>
      </c>
      <c r="H22" s="14">
        <v>119</v>
      </c>
      <c r="I22" s="109"/>
      <c r="J22" s="4" t="s">
        <v>516</v>
      </c>
      <c r="K22" s="101">
        <f t="shared" si="1"/>
        <v>0.58054545454545459</v>
      </c>
      <c r="L22" s="109">
        <v>31.93</v>
      </c>
      <c r="M22" s="13">
        <v>1090</v>
      </c>
      <c r="V22" s="4">
        <v>20</v>
      </c>
      <c r="W22" s="4">
        <v>2056</v>
      </c>
      <c r="X22" s="109">
        <v>10.56</v>
      </c>
      <c r="Y22" s="109">
        <v>7.8</v>
      </c>
      <c r="Z22" s="109">
        <v>11.61</v>
      </c>
      <c r="AA22" s="109">
        <v>3.8</v>
      </c>
      <c r="AB22" s="109">
        <v>7</v>
      </c>
      <c r="AC22" s="109">
        <f t="shared" si="4"/>
        <v>40.769999999999996</v>
      </c>
      <c r="AE22" s="4">
        <v>20</v>
      </c>
      <c r="AF22" s="4">
        <v>1744</v>
      </c>
      <c r="AG22" s="4">
        <v>31.2</v>
      </c>
      <c r="AH22" s="109">
        <f t="shared" si="5"/>
        <v>56.727272727272727</v>
      </c>
      <c r="AI22" s="4" t="s">
        <v>271</v>
      </c>
    </row>
    <row r="23" spans="2:35" ht="15.75" customHeight="1" x14ac:dyDescent="0.3">
      <c r="B23" s="107">
        <v>13.86</v>
      </c>
      <c r="C23" s="107">
        <v>7.15</v>
      </c>
      <c r="D23" s="107">
        <v>11.1</v>
      </c>
      <c r="E23" s="107">
        <v>3.65</v>
      </c>
      <c r="F23" s="107">
        <v>7.75</v>
      </c>
      <c r="G23" s="109">
        <f t="shared" si="0"/>
        <v>43.51</v>
      </c>
      <c r="H23" s="14">
        <v>165</v>
      </c>
      <c r="I23" s="109"/>
      <c r="J23" s="4" t="s">
        <v>516</v>
      </c>
      <c r="K23" s="101">
        <f t="shared" si="1"/>
        <v>0.58072727272727276</v>
      </c>
      <c r="L23" s="109">
        <v>31.94</v>
      </c>
      <c r="M23" s="13">
        <v>2340</v>
      </c>
      <c r="V23" s="4">
        <v>21</v>
      </c>
      <c r="W23" s="4">
        <v>1879</v>
      </c>
      <c r="X23" s="109">
        <v>13.37</v>
      </c>
      <c r="Y23" s="109">
        <v>7.27</v>
      </c>
      <c r="Z23" s="109">
        <v>12.87</v>
      </c>
      <c r="AA23" s="109">
        <v>4.25</v>
      </c>
      <c r="AB23" s="109">
        <v>9</v>
      </c>
      <c r="AC23" s="109">
        <f t="shared" si="4"/>
        <v>46.76</v>
      </c>
      <c r="AE23" s="4">
        <v>21</v>
      </c>
      <c r="AF23" s="4">
        <v>1926</v>
      </c>
      <c r="AG23" s="4">
        <v>31.340000000000003</v>
      </c>
      <c r="AH23" s="109">
        <f t="shared" si="5"/>
        <v>56.981818181818191</v>
      </c>
      <c r="AI23" s="4" t="s">
        <v>271</v>
      </c>
    </row>
    <row r="24" spans="2:35" ht="15.75" customHeight="1" x14ac:dyDescent="0.3">
      <c r="B24" s="107">
        <v>12.21</v>
      </c>
      <c r="C24" s="107">
        <v>5.09</v>
      </c>
      <c r="D24" s="107">
        <v>8.9</v>
      </c>
      <c r="E24" s="107">
        <v>3.58</v>
      </c>
      <c r="F24" s="107">
        <v>5.96</v>
      </c>
      <c r="G24" s="109">
        <f t="shared" si="0"/>
        <v>35.74</v>
      </c>
      <c r="H24" s="14">
        <v>551</v>
      </c>
      <c r="I24" s="109"/>
      <c r="J24" s="4" t="s">
        <v>516</v>
      </c>
      <c r="K24" s="101">
        <f t="shared" si="1"/>
        <v>0.5810909090909091</v>
      </c>
      <c r="L24" s="109">
        <v>31.96</v>
      </c>
      <c r="M24" s="14">
        <v>156</v>
      </c>
      <c r="V24" s="4">
        <v>22</v>
      </c>
      <c r="W24" s="4">
        <v>1244</v>
      </c>
      <c r="X24" s="109">
        <v>14.66</v>
      </c>
      <c r="Y24" s="109">
        <v>7.88</v>
      </c>
      <c r="Z24" s="109">
        <v>11.58</v>
      </c>
      <c r="AA24" s="109">
        <v>4.03</v>
      </c>
      <c r="AB24" s="109">
        <v>7.53</v>
      </c>
      <c r="AC24" s="109">
        <f t="shared" si="4"/>
        <v>45.68</v>
      </c>
      <c r="AE24" s="4">
        <v>22</v>
      </c>
      <c r="AF24" s="4">
        <v>1054</v>
      </c>
      <c r="AG24" s="4">
        <v>31.36</v>
      </c>
      <c r="AH24" s="109">
        <f t="shared" si="5"/>
        <v>57.018181818181816</v>
      </c>
      <c r="AI24" s="4" t="s">
        <v>271</v>
      </c>
    </row>
    <row r="25" spans="2:35" ht="15.75" customHeight="1" x14ac:dyDescent="0.3">
      <c r="B25" s="107">
        <v>14.28</v>
      </c>
      <c r="C25" s="107">
        <v>7</v>
      </c>
      <c r="D25" s="107">
        <v>10.5</v>
      </c>
      <c r="E25" s="107">
        <v>4.03</v>
      </c>
      <c r="F25" s="107">
        <v>4.26</v>
      </c>
      <c r="G25" s="109">
        <f t="shared" si="0"/>
        <v>40.07</v>
      </c>
      <c r="H25" s="14">
        <v>69</v>
      </c>
      <c r="I25" s="109"/>
      <c r="J25" s="4" t="s">
        <v>516</v>
      </c>
      <c r="K25" s="101">
        <f t="shared" si="1"/>
        <v>0.58145454545454556</v>
      </c>
      <c r="L25" s="109">
        <v>31.980000000000004</v>
      </c>
      <c r="M25" s="14">
        <v>107</v>
      </c>
      <c r="V25" s="4">
        <v>23</v>
      </c>
      <c r="W25" s="4">
        <v>1393</v>
      </c>
      <c r="X25" s="109">
        <v>14.2</v>
      </c>
      <c r="Y25" s="109">
        <v>8.15</v>
      </c>
      <c r="Z25" s="109">
        <v>11.51</v>
      </c>
      <c r="AA25" s="109">
        <v>3.88</v>
      </c>
      <c r="AB25" s="109">
        <v>7.23</v>
      </c>
      <c r="AC25" s="109">
        <f t="shared" si="4"/>
        <v>44.97</v>
      </c>
      <c r="AE25" s="4">
        <v>23</v>
      </c>
      <c r="AF25" s="4">
        <v>2946</v>
      </c>
      <c r="AG25" s="4">
        <v>31.42</v>
      </c>
      <c r="AH25" s="109">
        <f t="shared" si="5"/>
        <v>57.127272727272725</v>
      </c>
      <c r="AI25" s="4" t="s">
        <v>271</v>
      </c>
    </row>
    <row r="26" spans="2:35" ht="15.75" customHeight="1" x14ac:dyDescent="0.3">
      <c r="B26" s="107">
        <v>13.51</v>
      </c>
      <c r="C26" s="107">
        <v>6</v>
      </c>
      <c r="D26" s="107">
        <v>10.5</v>
      </c>
      <c r="E26" s="107">
        <v>3.5</v>
      </c>
      <c r="F26" s="107">
        <v>7</v>
      </c>
      <c r="G26" s="109">
        <f t="shared" si="0"/>
        <v>40.51</v>
      </c>
      <c r="H26" s="14">
        <v>54</v>
      </c>
      <c r="I26" s="109"/>
      <c r="J26" s="4" t="s">
        <v>516</v>
      </c>
      <c r="K26" s="101">
        <f t="shared" si="1"/>
        <v>0.58290909090909093</v>
      </c>
      <c r="L26" s="109">
        <v>32.06</v>
      </c>
      <c r="M26" s="14">
        <v>63</v>
      </c>
      <c r="V26" s="4">
        <v>24</v>
      </c>
      <c r="W26" s="4">
        <v>1523</v>
      </c>
      <c r="X26" s="109">
        <v>5.29</v>
      </c>
      <c r="Y26" s="109">
        <v>4.24</v>
      </c>
      <c r="Z26" s="109">
        <v>8.58</v>
      </c>
      <c r="AA26" s="109">
        <v>3.5</v>
      </c>
      <c r="AB26" s="109">
        <v>5.8</v>
      </c>
      <c r="AC26" s="109">
        <f t="shared" si="4"/>
        <v>27.41</v>
      </c>
      <c r="AE26" s="4">
        <v>24</v>
      </c>
      <c r="AF26" s="4">
        <v>726</v>
      </c>
      <c r="AG26" s="4">
        <v>31.770000000000003</v>
      </c>
      <c r="AH26" s="109">
        <f t="shared" si="5"/>
        <v>57.763636363636373</v>
      </c>
      <c r="AI26" s="4" t="s">
        <v>271</v>
      </c>
    </row>
    <row r="27" spans="2:35" ht="15.75" customHeight="1" x14ac:dyDescent="0.3">
      <c r="B27" s="107">
        <v>13.53</v>
      </c>
      <c r="C27" s="107">
        <v>7</v>
      </c>
      <c r="D27" s="107">
        <v>10.5</v>
      </c>
      <c r="E27" s="107">
        <v>3.5</v>
      </c>
      <c r="F27" s="107">
        <v>7</v>
      </c>
      <c r="G27" s="109">
        <f t="shared" si="0"/>
        <v>41.53</v>
      </c>
      <c r="H27" s="14">
        <v>23</v>
      </c>
      <c r="I27" s="109"/>
      <c r="J27" s="4" t="s">
        <v>516</v>
      </c>
      <c r="K27" s="101">
        <f t="shared" si="1"/>
        <v>0.5830909090909091</v>
      </c>
      <c r="L27" s="109">
        <v>32.07</v>
      </c>
      <c r="M27" s="117">
        <v>1911</v>
      </c>
      <c r="V27" s="4">
        <v>25</v>
      </c>
      <c r="W27" s="4">
        <v>1736</v>
      </c>
      <c r="X27" s="109">
        <v>11.81</v>
      </c>
      <c r="Y27" s="109">
        <v>4.2</v>
      </c>
      <c r="Z27" s="109">
        <v>7.3</v>
      </c>
      <c r="AA27" s="109">
        <v>3.58</v>
      </c>
      <c r="AB27" s="109">
        <v>4.16</v>
      </c>
      <c r="AC27" s="109">
        <f t="shared" si="4"/>
        <v>31.05</v>
      </c>
      <c r="AE27" s="4">
        <v>25</v>
      </c>
      <c r="AF27" s="4">
        <v>59</v>
      </c>
      <c r="AG27" s="4">
        <v>31.810000000000002</v>
      </c>
      <c r="AH27" s="109">
        <f t="shared" si="5"/>
        <v>57.836363636363643</v>
      </c>
      <c r="AI27" s="4" t="s">
        <v>271</v>
      </c>
    </row>
    <row r="28" spans="2:35" ht="15.75" customHeight="1" x14ac:dyDescent="0.3">
      <c r="B28" s="107">
        <v>13.15</v>
      </c>
      <c r="C28" s="107">
        <v>7</v>
      </c>
      <c r="D28" s="107">
        <v>10.5</v>
      </c>
      <c r="E28" s="107">
        <v>3.5</v>
      </c>
      <c r="F28" s="107">
        <v>7</v>
      </c>
      <c r="G28" s="109">
        <f t="shared" si="0"/>
        <v>41.15</v>
      </c>
      <c r="H28" s="14">
        <v>42</v>
      </c>
      <c r="I28" s="109"/>
      <c r="J28" s="4" t="s">
        <v>516</v>
      </c>
      <c r="K28" s="101">
        <f t="shared" si="1"/>
        <v>0.58363636363636362</v>
      </c>
      <c r="L28" s="109">
        <v>32.1</v>
      </c>
      <c r="M28" s="14">
        <v>32</v>
      </c>
      <c r="V28" s="4">
        <v>26</v>
      </c>
      <c r="W28" s="4">
        <v>1074</v>
      </c>
      <c r="X28" s="109">
        <v>10.6</v>
      </c>
      <c r="Y28" s="109">
        <v>6.63</v>
      </c>
      <c r="Z28" s="109">
        <v>11.49</v>
      </c>
      <c r="AA28" s="109">
        <v>3.7</v>
      </c>
      <c r="AB28" s="109">
        <v>6</v>
      </c>
      <c r="AC28" s="109">
        <f t="shared" si="4"/>
        <v>38.42</v>
      </c>
      <c r="AE28" s="4">
        <v>26</v>
      </c>
      <c r="AF28" s="4">
        <v>1475</v>
      </c>
      <c r="AG28" s="4">
        <v>31.88</v>
      </c>
      <c r="AH28" s="109">
        <f t="shared" si="5"/>
        <v>57.963636363636361</v>
      </c>
      <c r="AI28" s="4" t="s">
        <v>271</v>
      </c>
    </row>
    <row r="29" spans="2:35" ht="15.75" customHeight="1" x14ac:dyDescent="0.3">
      <c r="B29" s="107">
        <v>13.22</v>
      </c>
      <c r="C29" s="107">
        <v>7</v>
      </c>
      <c r="D29" s="107">
        <v>10.5</v>
      </c>
      <c r="E29" s="107">
        <v>3.5</v>
      </c>
      <c r="F29" s="107">
        <v>7</v>
      </c>
      <c r="G29" s="109">
        <f t="shared" si="0"/>
        <v>41.22</v>
      </c>
      <c r="H29" s="14">
        <v>51</v>
      </c>
      <c r="I29" s="109"/>
      <c r="J29" s="4" t="s">
        <v>516</v>
      </c>
      <c r="K29" s="101">
        <f t="shared" si="1"/>
        <v>0.58418181818181825</v>
      </c>
      <c r="L29" s="109">
        <v>32.130000000000003</v>
      </c>
      <c r="M29" s="14">
        <v>20</v>
      </c>
      <c r="V29" s="4">
        <v>27</v>
      </c>
      <c r="W29" s="4">
        <v>1074</v>
      </c>
      <c r="X29" s="109">
        <v>10.16</v>
      </c>
      <c r="Y29" s="109">
        <v>5</v>
      </c>
      <c r="Z29" s="109">
        <v>9.8000000000000007</v>
      </c>
      <c r="AA29" s="109">
        <v>3.38</v>
      </c>
      <c r="AB29" s="109">
        <v>5.16</v>
      </c>
      <c r="AC29" s="109">
        <f t="shared" si="4"/>
        <v>33.5</v>
      </c>
      <c r="AE29" s="4">
        <v>27</v>
      </c>
      <c r="AF29" s="4">
        <v>156</v>
      </c>
      <c r="AG29" s="4">
        <v>31.96</v>
      </c>
      <c r="AH29" s="109">
        <f t="shared" si="5"/>
        <v>58.109090909090909</v>
      </c>
      <c r="AI29" s="4" t="s">
        <v>271</v>
      </c>
    </row>
    <row r="30" spans="2:35" ht="15.75" customHeight="1" x14ac:dyDescent="0.3">
      <c r="B30" s="107">
        <v>13.52</v>
      </c>
      <c r="C30" s="107">
        <v>7</v>
      </c>
      <c r="D30" s="107">
        <v>10.5</v>
      </c>
      <c r="E30" s="107">
        <v>3.5</v>
      </c>
      <c r="F30" s="107">
        <v>7</v>
      </c>
      <c r="G30" s="109">
        <f t="shared" si="0"/>
        <v>41.519999999999996</v>
      </c>
      <c r="H30" s="14">
        <v>82</v>
      </c>
      <c r="I30" s="109"/>
      <c r="J30" s="4" t="s">
        <v>516</v>
      </c>
      <c r="K30" s="101">
        <f t="shared" si="1"/>
        <v>0.58581818181818179</v>
      </c>
      <c r="L30" s="109">
        <v>32.22</v>
      </c>
      <c r="M30" s="13">
        <v>1008</v>
      </c>
      <c r="V30" s="4">
        <v>28</v>
      </c>
      <c r="W30" s="4">
        <v>1499</v>
      </c>
      <c r="X30" s="109">
        <v>15</v>
      </c>
      <c r="Y30" s="109">
        <v>7.14</v>
      </c>
      <c r="Z30" s="109">
        <v>11.57</v>
      </c>
      <c r="AA30" s="109">
        <v>4.25</v>
      </c>
      <c r="AB30" s="109">
        <v>8.11</v>
      </c>
      <c r="AC30" s="109">
        <f t="shared" si="4"/>
        <v>46.07</v>
      </c>
      <c r="AE30" s="4">
        <v>28</v>
      </c>
      <c r="AF30" s="4">
        <v>107</v>
      </c>
      <c r="AG30" s="4">
        <v>31.980000000000004</v>
      </c>
      <c r="AH30" s="109">
        <f t="shared" si="5"/>
        <v>58.145454545454555</v>
      </c>
      <c r="AI30" s="4" t="s">
        <v>271</v>
      </c>
    </row>
    <row r="31" spans="2:35" ht="15.75" customHeight="1" x14ac:dyDescent="0.3">
      <c r="B31" s="107">
        <v>13.57</v>
      </c>
      <c r="C31" s="107">
        <v>7</v>
      </c>
      <c r="D31" s="107">
        <v>10.5</v>
      </c>
      <c r="E31" s="107">
        <v>3.5</v>
      </c>
      <c r="F31" s="107">
        <v>7</v>
      </c>
      <c r="G31" s="109">
        <f t="shared" si="0"/>
        <v>41.57</v>
      </c>
      <c r="H31" s="14">
        <v>62</v>
      </c>
      <c r="I31" s="109"/>
      <c r="J31" s="4" t="s">
        <v>516</v>
      </c>
      <c r="K31" s="101">
        <f t="shared" si="1"/>
        <v>0.58836363636363631</v>
      </c>
      <c r="L31" s="109">
        <v>32.36</v>
      </c>
      <c r="M31" s="116">
        <v>1085</v>
      </c>
      <c r="V31" s="4">
        <v>29</v>
      </c>
      <c r="W31" s="4">
        <v>2184</v>
      </c>
      <c r="X31" s="109">
        <v>13</v>
      </c>
      <c r="Y31" s="109">
        <v>6</v>
      </c>
      <c r="Z31" s="109">
        <v>9.5</v>
      </c>
      <c r="AA31" s="109">
        <v>3.1</v>
      </c>
      <c r="AB31" s="109">
        <v>5.56</v>
      </c>
      <c r="AC31" s="109">
        <f t="shared" si="4"/>
        <v>37.160000000000004</v>
      </c>
      <c r="AE31" s="4">
        <v>29</v>
      </c>
      <c r="AF31" s="4">
        <v>422</v>
      </c>
      <c r="AG31" s="4">
        <v>31.990000000000002</v>
      </c>
      <c r="AH31" s="109">
        <f t="shared" si="5"/>
        <v>58.163636363636364</v>
      </c>
      <c r="AI31" s="4" t="s">
        <v>271</v>
      </c>
    </row>
    <row r="32" spans="2:35" ht="15.75" customHeight="1" x14ac:dyDescent="0.3">
      <c r="B32" s="107">
        <v>13.17</v>
      </c>
      <c r="C32" s="107">
        <v>7</v>
      </c>
      <c r="D32" s="107">
        <v>10.5</v>
      </c>
      <c r="E32" s="107">
        <v>3.5</v>
      </c>
      <c r="F32" s="107">
        <v>7</v>
      </c>
      <c r="G32" s="109">
        <f t="shared" si="0"/>
        <v>41.17</v>
      </c>
      <c r="H32" s="14">
        <v>56</v>
      </c>
      <c r="I32" s="109"/>
      <c r="J32" s="4" t="s">
        <v>516</v>
      </c>
      <c r="K32" s="101">
        <f t="shared" si="1"/>
        <v>0.58872727272727277</v>
      </c>
      <c r="L32" s="109">
        <v>32.380000000000003</v>
      </c>
      <c r="M32" s="14">
        <v>148</v>
      </c>
      <c r="V32" s="4">
        <v>30</v>
      </c>
      <c r="W32" s="4">
        <v>1523</v>
      </c>
      <c r="X32" s="109">
        <v>13</v>
      </c>
      <c r="Y32" s="109">
        <v>6</v>
      </c>
      <c r="Z32" s="109">
        <v>11</v>
      </c>
      <c r="AA32" s="109">
        <v>3.8</v>
      </c>
      <c r="AB32" s="109">
        <v>6.41</v>
      </c>
      <c r="AC32" s="109">
        <f t="shared" si="4"/>
        <v>40.209999999999994</v>
      </c>
      <c r="AE32" s="4">
        <v>30</v>
      </c>
      <c r="AF32" s="4">
        <v>1787</v>
      </c>
      <c r="AG32" s="4">
        <v>31.999999999999996</v>
      </c>
      <c r="AH32" s="109">
        <f t="shared" si="5"/>
        <v>58.18181818181818</v>
      </c>
      <c r="AI32" s="4" t="s">
        <v>271</v>
      </c>
    </row>
    <row r="33" spans="2:35" ht="15.75" customHeight="1" x14ac:dyDescent="0.3">
      <c r="B33" s="107">
        <v>13.58</v>
      </c>
      <c r="C33" s="107">
        <v>7</v>
      </c>
      <c r="D33" s="107">
        <v>10.5</v>
      </c>
      <c r="E33" s="107">
        <v>3.5</v>
      </c>
      <c r="F33" s="107">
        <v>7</v>
      </c>
      <c r="G33" s="109">
        <f t="shared" si="0"/>
        <v>41.58</v>
      </c>
      <c r="H33" s="14">
        <v>38</v>
      </c>
      <c r="I33" s="109"/>
      <c r="J33" s="4" t="s">
        <v>516</v>
      </c>
      <c r="K33" s="101">
        <f t="shared" si="1"/>
        <v>0.58909090909090911</v>
      </c>
      <c r="L33" s="109">
        <v>32.4</v>
      </c>
      <c r="M33" s="14">
        <v>16</v>
      </c>
      <c r="V33" s="4">
        <v>31</v>
      </c>
      <c r="W33" s="4">
        <v>1744</v>
      </c>
      <c r="X33" s="109">
        <v>11.54</v>
      </c>
      <c r="Y33" s="109">
        <v>4.54</v>
      </c>
      <c r="Z33" s="109">
        <v>7.66</v>
      </c>
      <c r="AA33" s="109">
        <v>2.2999999999999998</v>
      </c>
      <c r="AB33" s="109">
        <v>5.16</v>
      </c>
      <c r="AC33" s="109">
        <f t="shared" si="4"/>
        <v>31.2</v>
      </c>
      <c r="AE33" s="4">
        <v>31</v>
      </c>
      <c r="AF33" s="4">
        <v>63</v>
      </c>
      <c r="AG33" s="4">
        <v>32.06</v>
      </c>
      <c r="AH33" s="109">
        <f t="shared" si="5"/>
        <v>58.290909090909096</v>
      </c>
      <c r="AI33" s="4" t="s">
        <v>271</v>
      </c>
    </row>
    <row r="34" spans="2:35" ht="15.75" customHeight="1" x14ac:dyDescent="0.3">
      <c r="B34" s="107">
        <v>11.51</v>
      </c>
      <c r="C34" s="107">
        <v>7</v>
      </c>
      <c r="D34" s="107">
        <v>10.5</v>
      </c>
      <c r="E34" s="107">
        <v>3.5</v>
      </c>
      <c r="F34" s="107">
        <v>7</v>
      </c>
      <c r="G34" s="109">
        <f t="shared" si="0"/>
        <v>39.51</v>
      </c>
      <c r="H34" s="14">
        <v>45</v>
      </c>
      <c r="I34" s="109"/>
      <c r="J34" s="4" t="s">
        <v>516</v>
      </c>
      <c r="K34" s="127">
        <f t="shared" si="1"/>
        <v>0.59545454545454546</v>
      </c>
      <c r="L34" s="109">
        <v>32.75</v>
      </c>
      <c r="M34" s="14">
        <v>39</v>
      </c>
      <c r="V34" s="4">
        <v>32</v>
      </c>
      <c r="W34" s="4">
        <v>1126</v>
      </c>
      <c r="X34" s="109">
        <v>13.28</v>
      </c>
      <c r="Y34" s="109">
        <v>5.08</v>
      </c>
      <c r="Z34" s="109">
        <v>10.6</v>
      </c>
      <c r="AA34" s="109">
        <v>3.18</v>
      </c>
      <c r="AB34" s="109">
        <v>5.31</v>
      </c>
      <c r="AC34" s="109">
        <f t="shared" si="4"/>
        <v>37.450000000000003</v>
      </c>
      <c r="AE34" s="4">
        <v>32</v>
      </c>
      <c r="AF34" s="4">
        <v>32</v>
      </c>
      <c r="AG34" s="4">
        <v>32.1</v>
      </c>
      <c r="AH34" s="109">
        <f t="shared" si="5"/>
        <v>58.36363636363636</v>
      </c>
      <c r="AI34" s="4" t="s">
        <v>271</v>
      </c>
    </row>
    <row r="35" spans="2:35" ht="15.75" customHeight="1" x14ac:dyDescent="0.3">
      <c r="B35" s="107">
        <v>12.18</v>
      </c>
      <c r="C35" s="107">
        <v>3.94</v>
      </c>
      <c r="D35" s="107">
        <v>8.9</v>
      </c>
      <c r="E35" s="107">
        <v>2.85</v>
      </c>
      <c r="F35" s="107">
        <v>5</v>
      </c>
      <c r="G35" s="109">
        <f t="shared" si="0"/>
        <v>32.870000000000005</v>
      </c>
      <c r="H35" s="14">
        <v>461</v>
      </c>
      <c r="I35" s="109"/>
      <c r="J35" s="4" t="s">
        <v>516</v>
      </c>
      <c r="K35" s="127">
        <f t="shared" si="1"/>
        <v>0.59618181818181815</v>
      </c>
      <c r="L35" s="109">
        <v>32.79</v>
      </c>
      <c r="M35" s="117">
        <v>1212</v>
      </c>
      <c r="V35" s="4">
        <v>33</v>
      </c>
      <c r="W35" s="4">
        <v>1909</v>
      </c>
      <c r="X35" s="109">
        <v>11.03</v>
      </c>
      <c r="Y35" s="109">
        <v>4.3600000000000003</v>
      </c>
      <c r="Z35" s="109">
        <v>8.58</v>
      </c>
      <c r="AA35" s="109">
        <v>3.1</v>
      </c>
      <c r="AB35" s="109">
        <v>4.04</v>
      </c>
      <c r="AC35" s="109">
        <f t="shared" si="4"/>
        <v>31.11</v>
      </c>
      <c r="AE35" s="4">
        <v>33</v>
      </c>
      <c r="AF35" s="4">
        <v>20</v>
      </c>
      <c r="AG35" s="4">
        <v>32.130000000000003</v>
      </c>
      <c r="AH35" s="109">
        <f t="shared" si="5"/>
        <v>58.418181818181822</v>
      </c>
      <c r="AI35" s="4" t="s">
        <v>271</v>
      </c>
    </row>
    <row r="36" spans="2:35" ht="15.75" customHeight="1" x14ac:dyDescent="0.3">
      <c r="B36" s="115">
        <v>14.47</v>
      </c>
      <c r="C36" s="115">
        <v>3</v>
      </c>
      <c r="D36" s="115">
        <v>5.7</v>
      </c>
      <c r="E36" s="115">
        <v>3.3</v>
      </c>
      <c r="F36" s="115">
        <v>6.6</v>
      </c>
      <c r="G36" s="109">
        <f t="shared" si="0"/>
        <v>33.07</v>
      </c>
      <c r="H36" s="117">
        <v>1763</v>
      </c>
      <c r="I36" s="109"/>
      <c r="J36" s="4" t="s">
        <v>516</v>
      </c>
      <c r="K36" s="127">
        <f t="shared" si="1"/>
        <v>0.59745454545454546</v>
      </c>
      <c r="L36" s="109">
        <v>32.86</v>
      </c>
      <c r="M36" s="14">
        <v>119</v>
      </c>
      <c r="V36" s="4">
        <v>34</v>
      </c>
      <c r="W36" s="4">
        <v>1513</v>
      </c>
      <c r="X36" s="109">
        <v>14.58</v>
      </c>
      <c r="Y36" s="109">
        <v>7.35</v>
      </c>
      <c r="Z36" s="109">
        <v>4.5</v>
      </c>
      <c r="AA36" s="109">
        <v>3.5</v>
      </c>
      <c r="AB36" s="109">
        <v>8.5</v>
      </c>
      <c r="AC36" s="109">
        <f t="shared" si="4"/>
        <v>38.43</v>
      </c>
      <c r="AE36" s="4">
        <v>34</v>
      </c>
      <c r="AF36" s="4">
        <v>1090</v>
      </c>
      <c r="AG36" s="4">
        <v>32.299999999999997</v>
      </c>
      <c r="AH36" s="109">
        <f t="shared" si="5"/>
        <v>58.72727272727272</v>
      </c>
      <c r="AI36" s="4" t="s">
        <v>271</v>
      </c>
    </row>
    <row r="37" spans="2:35" ht="15.75" customHeight="1" x14ac:dyDescent="0.3">
      <c r="B37" s="107">
        <v>9</v>
      </c>
      <c r="C37" s="107">
        <v>8.0500000000000007</v>
      </c>
      <c r="D37" s="107">
        <v>11.19</v>
      </c>
      <c r="E37" s="107">
        <v>3.5</v>
      </c>
      <c r="F37" s="107">
        <v>7</v>
      </c>
      <c r="G37" s="109">
        <f t="shared" si="0"/>
        <v>38.74</v>
      </c>
      <c r="H37" s="14">
        <v>1378</v>
      </c>
      <c r="I37" s="109"/>
      <c r="J37" s="4" t="s">
        <v>516</v>
      </c>
      <c r="K37" s="127">
        <f t="shared" si="1"/>
        <v>0.59763636363636374</v>
      </c>
      <c r="L37" s="109">
        <v>32.870000000000005</v>
      </c>
      <c r="M37" s="14">
        <v>461</v>
      </c>
      <c r="V37" s="4">
        <v>35</v>
      </c>
      <c r="W37" s="4">
        <v>1843</v>
      </c>
      <c r="X37" s="109">
        <v>12.03</v>
      </c>
      <c r="Y37" s="109">
        <v>4.5999999999999996</v>
      </c>
      <c r="Z37" s="109">
        <v>8.18</v>
      </c>
      <c r="AA37" s="109">
        <v>3.5</v>
      </c>
      <c r="AB37" s="109">
        <v>5.64</v>
      </c>
      <c r="AC37" s="109">
        <f t="shared" si="4"/>
        <v>33.949999999999996</v>
      </c>
      <c r="AE37" s="4">
        <v>35</v>
      </c>
      <c r="AF37" s="4">
        <v>2340</v>
      </c>
      <c r="AG37" s="4">
        <v>32.379999999999995</v>
      </c>
      <c r="AH37" s="109">
        <f t="shared" si="5"/>
        <v>58.872727272727268</v>
      </c>
      <c r="AI37" s="4" t="s">
        <v>271</v>
      </c>
    </row>
    <row r="38" spans="2:35" ht="15.75" customHeight="1" x14ac:dyDescent="0.3">
      <c r="B38" s="115">
        <v>11.26</v>
      </c>
      <c r="C38" s="115">
        <v>4.2</v>
      </c>
      <c r="D38" s="115">
        <v>7.62</v>
      </c>
      <c r="E38" s="115">
        <v>3.5</v>
      </c>
      <c r="F38" s="115">
        <v>4.76</v>
      </c>
      <c r="G38" s="109">
        <f t="shared" si="0"/>
        <v>31.340000000000003</v>
      </c>
      <c r="H38" s="117">
        <v>1926</v>
      </c>
      <c r="I38" s="109"/>
      <c r="J38" s="4" t="s">
        <v>516</v>
      </c>
      <c r="K38" s="127">
        <f t="shared" si="1"/>
        <v>0.59890909090909084</v>
      </c>
      <c r="L38" s="109">
        <v>32.94</v>
      </c>
      <c r="M38" s="14">
        <v>282</v>
      </c>
      <c r="V38" s="4">
        <v>36</v>
      </c>
      <c r="W38" s="4">
        <v>1613</v>
      </c>
      <c r="X38" s="109">
        <v>11.89</v>
      </c>
      <c r="Y38" s="109">
        <v>3</v>
      </c>
      <c r="Z38" s="109">
        <v>6.5</v>
      </c>
      <c r="AA38" s="109">
        <v>1.5</v>
      </c>
      <c r="AB38" s="109">
        <v>3</v>
      </c>
      <c r="AC38" s="109">
        <f t="shared" si="4"/>
        <v>25.89</v>
      </c>
      <c r="AE38" s="4">
        <v>36</v>
      </c>
      <c r="AF38" s="4">
        <v>148</v>
      </c>
      <c r="AG38" s="4">
        <v>32.380000000000003</v>
      </c>
      <c r="AH38" s="109">
        <f t="shared" si="5"/>
        <v>58.872727272727275</v>
      </c>
      <c r="AI38" s="4" t="s">
        <v>271</v>
      </c>
    </row>
    <row r="39" spans="2:35" ht="15.75" customHeight="1" x14ac:dyDescent="0.3">
      <c r="B39" s="115">
        <v>11.46</v>
      </c>
      <c r="C39" s="115">
        <v>4.34</v>
      </c>
      <c r="D39" s="115">
        <v>6.02</v>
      </c>
      <c r="E39" s="115">
        <v>2.9</v>
      </c>
      <c r="F39" s="115">
        <v>4.76</v>
      </c>
      <c r="G39" s="109">
        <f t="shared" si="0"/>
        <v>29.479999999999997</v>
      </c>
      <c r="H39" s="117">
        <v>2946</v>
      </c>
      <c r="I39" s="109"/>
      <c r="J39" s="4" t="s">
        <v>517</v>
      </c>
      <c r="K39" s="127">
        <f t="shared" si="1"/>
        <v>0.60127272727272729</v>
      </c>
      <c r="L39" s="109">
        <v>33.07</v>
      </c>
      <c r="M39" s="117">
        <v>1763</v>
      </c>
      <c r="V39" s="4">
        <v>37</v>
      </c>
      <c r="W39" s="4">
        <v>1057</v>
      </c>
      <c r="X39" s="109">
        <v>13.64</v>
      </c>
      <c r="Y39" s="109">
        <v>6.48</v>
      </c>
      <c r="Z39" s="109">
        <v>8.5299999999999994</v>
      </c>
      <c r="AA39" s="109">
        <v>4.25</v>
      </c>
      <c r="AB39" s="109">
        <v>7.9</v>
      </c>
      <c r="AC39" s="109">
        <f t="shared" si="4"/>
        <v>40.799999999999997</v>
      </c>
      <c r="AE39" s="4">
        <v>37</v>
      </c>
      <c r="AF39" s="4">
        <v>16</v>
      </c>
      <c r="AG39" s="4">
        <v>32.4</v>
      </c>
      <c r="AH39" s="109">
        <f t="shared" si="5"/>
        <v>58.909090909090914</v>
      </c>
      <c r="AI39" s="4" t="s">
        <v>271</v>
      </c>
    </row>
    <row r="40" spans="2:35" ht="15.75" customHeight="1" x14ac:dyDescent="0.3">
      <c r="B40" s="107">
        <v>14.66</v>
      </c>
      <c r="C40" s="107">
        <v>7.5</v>
      </c>
      <c r="D40" s="107">
        <v>11.25</v>
      </c>
      <c r="E40" s="107">
        <v>3.8</v>
      </c>
      <c r="F40" s="107">
        <v>7</v>
      </c>
      <c r="G40" s="109">
        <f t="shared" si="0"/>
        <v>44.209999999999994</v>
      </c>
      <c r="H40" s="14">
        <v>369</v>
      </c>
      <c r="I40" s="109"/>
      <c r="J40" s="4" t="s">
        <v>517</v>
      </c>
      <c r="K40" s="127">
        <f t="shared" si="1"/>
        <v>0.60436363636363644</v>
      </c>
      <c r="L40" s="109">
        <v>33.24</v>
      </c>
      <c r="M40" s="14">
        <v>70</v>
      </c>
      <c r="V40" s="4">
        <v>38</v>
      </c>
      <c r="W40" s="4">
        <v>1008</v>
      </c>
      <c r="X40" s="109">
        <v>12.27</v>
      </c>
      <c r="Y40" s="109">
        <v>4.5999999999999996</v>
      </c>
      <c r="Z40" s="109">
        <v>7.54</v>
      </c>
      <c r="AA40" s="109">
        <v>3.18</v>
      </c>
      <c r="AB40" s="109">
        <v>5</v>
      </c>
      <c r="AC40" s="109">
        <f t="shared" si="4"/>
        <v>32.589999999999996</v>
      </c>
      <c r="AE40" s="4">
        <v>38</v>
      </c>
      <c r="AF40" s="4">
        <v>1008</v>
      </c>
      <c r="AG40" s="4">
        <v>32.589999999999996</v>
      </c>
      <c r="AH40" s="109">
        <f t="shared" si="5"/>
        <v>59.25454545454545</v>
      </c>
      <c r="AI40" s="4" t="s">
        <v>271</v>
      </c>
    </row>
    <row r="41" spans="2:35" ht="15.75" customHeight="1" x14ac:dyDescent="0.3">
      <c r="B41" s="107">
        <v>14.35</v>
      </c>
      <c r="C41" s="107">
        <v>7.59</v>
      </c>
      <c r="D41" s="107">
        <v>11.07</v>
      </c>
      <c r="E41" s="107">
        <v>3.65</v>
      </c>
      <c r="F41" s="107">
        <v>7</v>
      </c>
      <c r="G41" s="109">
        <f t="shared" si="0"/>
        <v>43.66</v>
      </c>
      <c r="H41" s="14">
        <v>281</v>
      </c>
      <c r="I41" s="109"/>
      <c r="J41" s="4" t="s">
        <v>517</v>
      </c>
      <c r="K41" s="101">
        <f t="shared" si="1"/>
        <v>0.60636363636363644</v>
      </c>
      <c r="L41" s="109">
        <v>33.35</v>
      </c>
      <c r="M41" s="116">
        <v>2184</v>
      </c>
      <c r="V41" s="4">
        <v>39</v>
      </c>
      <c r="W41" s="4">
        <v>1449</v>
      </c>
      <c r="X41" s="109">
        <v>13.5</v>
      </c>
      <c r="Y41" s="109">
        <v>6.5</v>
      </c>
      <c r="Z41" s="109">
        <v>8.1</v>
      </c>
      <c r="AA41" s="109">
        <v>3.5</v>
      </c>
      <c r="AB41" s="109">
        <v>7.5</v>
      </c>
      <c r="AC41" s="109">
        <f t="shared" si="4"/>
        <v>39.1</v>
      </c>
      <c r="AE41" s="4">
        <v>39</v>
      </c>
      <c r="AF41" s="4">
        <v>39</v>
      </c>
      <c r="AG41" s="4">
        <v>32.75</v>
      </c>
      <c r="AH41" s="109">
        <f t="shared" si="5"/>
        <v>59.545454545454547</v>
      </c>
      <c r="AI41" s="4" t="s">
        <v>271</v>
      </c>
    </row>
    <row r="42" spans="2:35" ht="15.75" customHeight="1" x14ac:dyDescent="0.3">
      <c r="B42" s="107">
        <v>11.57</v>
      </c>
      <c r="C42" s="107">
        <v>8.4600000000000009</v>
      </c>
      <c r="D42" s="107">
        <v>12.72</v>
      </c>
      <c r="E42" s="107">
        <v>4.03</v>
      </c>
      <c r="F42" s="107">
        <v>7.9</v>
      </c>
      <c r="G42" s="109">
        <f t="shared" si="0"/>
        <v>44.68</v>
      </c>
      <c r="H42" s="14">
        <v>332</v>
      </c>
      <c r="I42" s="109"/>
      <c r="J42" s="4" t="s">
        <v>517</v>
      </c>
      <c r="K42" s="101">
        <f t="shared" si="1"/>
        <v>0.60909090909090913</v>
      </c>
      <c r="L42" s="109">
        <v>33.5</v>
      </c>
      <c r="M42" s="13">
        <v>1074</v>
      </c>
      <c r="V42" s="4">
        <v>40</v>
      </c>
      <c r="W42" s="4">
        <v>1085</v>
      </c>
      <c r="X42" s="109">
        <v>5.41</v>
      </c>
      <c r="Y42" s="109">
        <v>3</v>
      </c>
      <c r="Z42" s="109">
        <v>6.1</v>
      </c>
      <c r="AA42" s="109">
        <v>1.5</v>
      </c>
      <c r="AB42" s="109">
        <v>3</v>
      </c>
      <c r="AC42" s="109">
        <f t="shared" si="4"/>
        <v>19.009999999999998</v>
      </c>
      <c r="AE42" s="4">
        <v>40</v>
      </c>
      <c r="AF42" s="4">
        <v>1212</v>
      </c>
      <c r="AG42" s="4">
        <v>32.79</v>
      </c>
      <c r="AH42" s="109">
        <f t="shared" si="5"/>
        <v>59.618181818181817</v>
      </c>
      <c r="AI42" s="4" t="s">
        <v>271</v>
      </c>
    </row>
    <row r="43" spans="2:35" ht="15.75" customHeight="1" x14ac:dyDescent="0.3">
      <c r="B43" s="107">
        <v>10.52</v>
      </c>
      <c r="C43" s="107">
        <v>7.37</v>
      </c>
      <c r="D43" s="107">
        <v>11.15</v>
      </c>
      <c r="E43" s="107">
        <v>3.8</v>
      </c>
      <c r="F43" s="107">
        <v>7</v>
      </c>
      <c r="G43" s="109">
        <f t="shared" si="0"/>
        <v>39.839999999999996</v>
      </c>
      <c r="H43" s="14">
        <v>108</v>
      </c>
      <c r="I43" s="109"/>
      <c r="J43" s="4" t="s">
        <v>517</v>
      </c>
      <c r="K43" s="101">
        <f t="shared" si="1"/>
        <v>0.61072727272727279</v>
      </c>
      <c r="L43" s="109">
        <v>33.590000000000003</v>
      </c>
      <c r="M43" s="14">
        <v>1211</v>
      </c>
      <c r="V43" s="4">
        <v>41</v>
      </c>
      <c r="W43" s="4">
        <v>1090</v>
      </c>
      <c r="X43" s="109">
        <v>12.88</v>
      </c>
      <c r="Y43" s="109">
        <v>3.94</v>
      </c>
      <c r="Z43" s="109">
        <v>7.3</v>
      </c>
      <c r="AA43" s="109">
        <v>3.18</v>
      </c>
      <c r="AB43" s="109">
        <v>5</v>
      </c>
      <c r="AC43" s="109">
        <f t="shared" si="4"/>
        <v>32.299999999999997</v>
      </c>
      <c r="AE43" s="4">
        <v>41</v>
      </c>
      <c r="AF43" s="4">
        <v>80</v>
      </c>
      <c r="AG43" s="4">
        <v>32.79</v>
      </c>
      <c r="AH43" s="109">
        <f t="shared" si="5"/>
        <v>59.618181818181817</v>
      </c>
      <c r="AI43" s="4" t="s">
        <v>271</v>
      </c>
    </row>
    <row r="44" spans="2:35" ht="15.75" customHeight="1" x14ac:dyDescent="0.3">
      <c r="B44" s="107">
        <v>13.96</v>
      </c>
      <c r="C44" s="107">
        <v>7.62</v>
      </c>
      <c r="D44" s="107">
        <v>11.06</v>
      </c>
      <c r="E44" s="107">
        <v>3.8</v>
      </c>
      <c r="F44" s="107">
        <v>7</v>
      </c>
      <c r="G44" s="109">
        <f t="shared" si="0"/>
        <v>43.44</v>
      </c>
      <c r="H44" s="14">
        <v>98</v>
      </c>
      <c r="I44" s="109"/>
      <c r="J44" s="4" t="s">
        <v>517</v>
      </c>
      <c r="K44" s="101">
        <f t="shared" si="1"/>
        <v>0.61090909090909096</v>
      </c>
      <c r="L44" s="109">
        <v>33.6</v>
      </c>
      <c r="M44" s="13">
        <v>2433</v>
      </c>
      <c r="V44" s="4">
        <v>42</v>
      </c>
      <c r="W44" s="4">
        <v>1132</v>
      </c>
      <c r="X44" s="109">
        <v>5.8</v>
      </c>
      <c r="Y44" s="109">
        <v>3</v>
      </c>
      <c r="Z44" s="109">
        <v>6.5</v>
      </c>
      <c r="AA44" s="109">
        <v>1.5</v>
      </c>
      <c r="AB44" s="109">
        <v>3</v>
      </c>
      <c r="AC44" s="109">
        <f t="shared" si="4"/>
        <v>19.8</v>
      </c>
      <c r="AE44" s="4">
        <v>42</v>
      </c>
      <c r="AF44" s="4">
        <v>119</v>
      </c>
      <c r="AG44" s="4">
        <v>32.86</v>
      </c>
      <c r="AH44" s="109">
        <f t="shared" si="5"/>
        <v>59.74545454545455</v>
      </c>
      <c r="AI44" s="4" t="s">
        <v>271</v>
      </c>
    </row>
    <row r="45" spans="2:35" ht="15.75" customHeight="1" x14ac:dyDescent="0.3">
      <c r="B45" s="107">
        <v>14.04</v>
      </c>
      <c r="C45" s="107">
        <v>7.44</v>
      </c>
      <c r="D45" s="107">
        <v>11.1</v>
      </c>
      <c r="E45" s="107">
        <v>3.88</v>
      </c>
      <c r="F45" s="107">
        <v>7</v>
      </c>
      <c r="G45" s="109">
        <f t="shared" si="0"/>
        <v>43.46</v>
      </c>
      <c r="H45" s="14">
        <v>245</v>
      </c>
      <c r="I45" s="109"/>
      <c r="J45" s="4" t="s">
        <v>517</v>
      </c>
      <c r="K45" s="101">
        <f t="shared" si="1"/>
        <v>0.6140000000000001</v>
      </c>
      <c r="L45" s="109">
        <v>33.770000000000003</v>
      </c>
      <c r="M45" s="13">
        <v>1424</v>
      </c>
      <c r="V45" s="4">
        <v>43</v>
      </c>
      <c r="W45" s="4">
        <v>1055</v>
      </c>
      <c r="X45" s="109">
        <v>14.96</v>
      </c>
      <c r="Y45" s="109">
        <v>4.8</v>
      </c>
      <c r="Z45" s="109">
        <v>9.6999999999999993</v>
      </c>
      <c r="AA45" s="109">
        <v>2.98</v>
      </c>
      <c r="AB45" s="109">
        <v>4.3600000000000003</v>
      </c>
      <c r="AC45" s="109">
        <f t="shared" si="4"/>
        <v>36.799999999999997</v>
      </c>
      <c r="AE45" s="4">
        <v>43</v>
      </c>
      <c r="AF45" s="4">
        <v>282</v>
      </c>
      <c r="AG45" s="4">
        <v>32.94</v>
      </c>
      <c r="AH45" s="109">
        <f t="shared" si="5"/>
        <v>59.890909090909084</v>
      </c>
      <c r="AI45" s="4" t="s">
        <v>271</v>
      </c>
    </row>
    <row r="46" spans="2:35" ht="15.75" customHeight="1" x14ac:dyDescent="0.3">
      <c r="B46" s="107">
        <v>14.63</v>
      </c>
      <c r="C46" s="107">
        <v>7.77</v>
      </c>
      <c r="D46" s="107">
        <v>10.76</v>
      </c>
      <c r="E46" s="107">
        <v>3.73</v>
      </c>
      <c r="F46" s="107">
        <v>7</v>
      </c>
      <c r="G46" s="109">
        <f t="shared" si="0"/>
        <v>43.889999999999993</v>
      </c>
      <c r="H46" s="14">
        <v>113</v>
      </c>
      <c r="I46" s="109"/>
      <c r="J46" s="4" t="s">
        <v>517</v>
      </c>
      <c r="K46" s="101">
        <f t="shared" si="1"/>
        <v>0.61690909090909085</v>
      </c>
      <c r="L46" s="109">
        <v>33.93</v>
      </c>
      <c r="M46" s="13">
        <v>629</v>
      </c>
      <c r="V46" s="4">
        <v>44</v>
      </c>
      <c r="W46" s="4">
        <v>1812</v>
      </c>
      <c r="X46" s="109">
        <v>14.34</v>
      </c>
      <c r="Y46" s="109">
        <v>7.3</v>
      </c>
      <c r="Z46" s="109">
        <v>11.16</v>
      </c>
      <c r="AA46" s="109">
        <v>4.03</v>
      </c>
      <c r="AB46" s="109">
        <v>7.59</v>
      </c>
      <c r="AC46" s="109">
        <f t="shared" si="4"/>
        <v>44.42</v>
      </c>
      <c r="AE46" s="4">
        <v>44</v>
      </c>
      <c r="AF46" s="4">
        <v>1085</v>
      </c>
      <c r="AG46" s="4">
        <v>33.21</v>
      </c>
      <c r="AH46" s="109">
        <f t="shared" si="5"/>
        <v>60.381818181818183</v>
      </c>
      <c r="AI46" s="4" t="s">
        <v>293</v>
      </c>
    </row>
    <row r="47" spans="2:35" ht="15.75" customHeight="1" x14ac:dyDescent="0.3">
      <c r="B47" s="107">
        <v>13.47</v>
      </c>
      <c r="C47" s="107">
        <v>7.59</v>
      </c>
      <c r="D47" s="107">
        <v>11.34</v>
      </c>
      <c r="E47" s="107">
        <v>3.8</v>
      </c>
      <c r="F47" s="107">
        <v>7.45</v>
      </c>
      <c r="G47" s="109">
        <f t="shared" si="0"/>
        <v>43.650000000000006</v>
      </c>
      <c r="H47" s="14">
        <v>69</v>
      </c>
      <c r="I47" s="109"/>
      <c r="J47" s="4" t="s">
        <v>517</v>
      </c>
      <c r="K47" s="101">
        <f t="shared" si="1"/>
        <v>0.6172727272727272</v>
      </c>
      <c r="L47" s="109">
        <v>33.949999999999996</v>
      </c>
      <c r="M47" s="116">
        <v>1843</v>
      </c>
      <c r="V47" s="4">
        <v>45</v>
      </c>
      <c r="W47" s="4">
        <v>1182</v>
      </c>
      <c r="X47" s="109">
        <v>13.17</v>
      </c>
      <c r="Y47" s="109">
        <v>7.74</v>
      </c>
      <c r="Z47" s="109">
        <v>11.45</v>
      </c>
      <c r="AA47" s="109">
        <v>3.8</v>
      </c>
      <c r="AB47" s="109">
        <v>7.84</v>
      </c>
      <c r="AC47" s="109">
        <f t="shared" si="4"/>
        <v>44</v>
      </c>
      <c r="AE47" s="4">
        <v>45</v>
      </c>
      <c r="AF47" s="4">
        <v>70</v>
      </c>
      <c r="AG47" s="4">
        <v>33.24</v>
      </c>
      <c r="AH47" s="109">
        <f t="shared" si="5"/>
        <v>60.436363636363645</v>
      </c>
      <c r="AI47" s="4" t="s">
        <v>293</v>
      </c>
    </row>
    <row r="48" spans="2:35" ht="15.75" customHeight="1" x14ac:dyDescent="0.3">
      <c r="B48" s="107">
        <v>13.36</v>
      </c>
      <c r="C48" s="107">
        <v>7.54</v>
      </c>
      <c r="D48" s="107">
        <v>11.4</v>
      </c>
      <c r="E48" s="107">
        <v>3.88</v>
      </c>
      <c r="F48" s="107">
        <v>7.6</v>
      </c>
      <c r="G48" s="109">
        <f t="shared" si="0"/>
        <v>43.78</v>
      </c>
      <c r="H48" s="14">
        <v>38</v>
      </c>
      <c r="I48" s="109"/>
      <c r="J48" s="4" t="s">
        <v>517</v>
      </c>
      <c r="K48" s="101">
        <f t="shared" si="1"/>
        <v>0.6225454545454544</v>
      </c>
      <c r="L48" s="109">
        <v>34.239999999999995</v>
      </c>
      <c r="M48" s="13">
        <v>684</v>
      </c>
      <c r="V48" s="4">
        <v>46</v>
      </c>
      <c r="W48" s="4">
        <v>1211</v>
      </c>
      <c r="X48" s="109">
        <v>15</v>
      </c>
      <c r="Y48" s="109">
        <v>7</v>
      </c>
      <c r="Z48" s="109">
        <v>9.9499999999999993</v>
      </c>
      <c r="AA48" s="109">
        <v>4.0999999999999996</v>
      </c>
      <c r="AB48" s="109">
        <v>4.5999999999999996</v>
      </c>
      <c r="AC48" s="109">
        <f t="shared" si="4"/>
        <v>40.65</v>
      </c>
      <c r="AE48" s="4">
        <v>46</v>
      </c>
      <c r="AF48" s="4">
        <v>1911</v>
      </c>
      <c r="AG48" s="4">
        <v>33.28</v>
      </c>
      <c r="AH48" s="109">
        <f t="shared" si="5"/>
        <v>60.509090909090915</v>
      </c>
      <c r="AI48" s="4" t="s">
        <v>293</v>
      </c>
    </row>
    <row r="49" spans="2:35" ht="15.75" customHeight="1" x14ac:dyDescent="0.3">
      <c r="B49" s="107">
        <v>12.5</v>
      </c>
      <c r="C49" s="107">
        <v>7.29</v>
      </c>
      <c r="D49" s="107">
        <v>11.49</v>
      </c>
      <c r="E49" s="107">
        <v>4.03</v>
      </c>
      <c r="F49" s="107">
        <v>7.68</v>
      </c>
      <c r="G49" s="109">
        <f t="shared" si="0"/>
        <v>42.99</v>
      </c>
      <c r="H49" s="14">
        <v>1637</v>
      </c>
      <c r="I49" s="109"/>
      <c r="J49" s="4" t="s">
        <v>517</v>
      </c>
      <c r="K49" s="101">
        <f t="shared" si="1"/>
        <v>0.62363636363636354</v>
      </c>
      <c r="L49" s="109">
        <v>34.299999999999997</v>
      </c>
      <c r="M49" s="14">
        <v>46</v>
      </c>
      <c r="V49" s="4">
        <v>47</v>
      </c>
      <c r="W49" s="4">
        <v>1470</v>
      </c>
      <c r="X49" s="109">
        <v>11.24</v>
      </c>
      <c r="Y49" s="109">
        <v>4.34</v>
      </c>
      <c r="Z49" s="109">
        <v>8.58</v>
      </c>
      <c r="AA49" s="109">
        <v>2.9</v>
      </c>
      <c r="AB49" s="109">
        <v>3.84</v>
      </c>
      <c r="AC49" s="109">
        <f t="shared" si="4"/>
        <v>30.9</v>
      </c>
      <c r="AE49" s="4">
        <v>47</v>
      </c>
      <c r="AF49" s="4">
        <v>1074</v>
      </c>
      <c r="AG49" s="4">
        <v>33.5</v>
      </c>
      <c r="AH49" s="109">
        <f t="shared" si="5"/>
        <v>60.909090909090914</v>
      </c>
      <c r="AI49" s="4" t="s">
        <v>293</v>
      </c>
    </row>
    <row r="50" spans="2:35" ht="15.75" customHeight="1" x14ac:dyDescent="0.3">
      <c r="B50" s="115">
        <v>13.42</v>
      </c>
      <c r="C50" s="115">
        <v>7.71</v>
      </c>
      <c r="D50" s="115">
        <v>11.42</v>
      </c>
      <c r="E50" s="115">
        <v>3.88</v>
      </c>
      <c r="F50" s="115">
        <v>7.39</v>
      </c>
      <c r="G50" s="109">
        <f t="shared" si="0"/>
        <v>43.82</v>
      </c>
      <c r="H50" s="117">
        <v>1086</v>
      </c>
      <c r="I50" s="109"/>
      <c r="J50" s="4" t="s">
        <v>517</v>
      </c>
      <c r="K50" s="101">
        <f t="shared" si="1"/>
        <v>0.62509090909090903</v>
      </c>
      <c r="L50" s="109">
        <v>34.379999999999995</v>
      </c>
      <c r="M50" s="13">
        <v>194</v>
      </c>
      <c r="V50" s="4">
        <v>48</v>
      </c>
      <c r="W50" s="4">
        <v>1185</v>
      </c>
      <c r="X50" s="109">
        <v>11.77</v>
      </c>
      <c r="Y50" s="109">
        <v>7</v>
      </c>
      <c r="Z50" s="109">
        <v>11.2</v>
      </c>
      <c r="AA50" s="109">
        <v>4.0999999999999996</v>
      </c>
      <c r="AB50" s="109">
        <v>4.5999999999999996</v>
      </c>
      <c r="AC50" s="109">
        <f t="shared" si="4"/>
        <v>38.67</v>
      </c>
      <c r="AE50" s="4">
        <v>48</v>
      </c>
      <c r="AF50" s="4">
        <v>2522</v>
      </c>
      <c r="AG50" s="4">
        <v>33.76</v>
      </c>
      <c r="AH50" s="109">
        <f t="shared" si="5"/>
        <v>61.381818181818183</v>
      </c>
      <c r="AI50" s="4" t="s">
        <v>293</v>
      </c>
    </row>
    <row r="51" spans="2:35" ht="15.75" customHeight="1" x14ac:dyDescent="0.3">
      <c r="B51" s="107">
        <v>11.91</v>
      </c>
      <c r="C51" s="107">
        <v>4.4000000000000004</v>
      </c>
      <c r="D51" s="107">
        <v>8.9</v>
      </c>
      <c r="E51" s="107">
        <v>3.18</v>
      </c>
      <c r="F51" s="107">
        <v>5.2</v>
      </c>
      <c r="G51" s="109">
        <f t="shared" si="0"/>
        <v>33.590000000000003</v>
      </c>
      <c r="H51" s="14">
        <v>1211</v>
      </c>
      <c r="I51" s="109"/>
      <c r="J51" s="4" t="s">
        <v>517</v>
      </c>
      <c r="K51" s="101">
        <f t="shared" si="1"/>
        <v>0.62618181818181828</v>
      </c>
      <c r="L51" s="109">
        <v>34.440000000000005</v>
      </c>
      <c r="M51" s="30">
        <v>1055</v>
      </c>
      <c r="V51" s="4">
        <v>49</v>
      </c>
      <c r="W51" s="4">
        <v>1058</v>
      </c>
      <c r="X51" s="109">
        <v>14.34</v>
      </c>
      <c r="Y51" s="109">
        <v>6.48</v>
      </c>
      <c r="Z51" s="109">
        <v>10.51</v>
      </c>
      <c r="AA51" s="109">
        <v>3.73</v>
      </c>
      <c r="AB51" s="109">
        <v>6.2</v>
      </c>
      <c r="AC51" s="109">
        <f t="shared" si="4"/>
        <v>41.26</v>
      </c>
      <c r="AE51" s="4">
        <v>49</v>
      </c>
      <c r="AF51" s="4">
        <v>1144</v>
      </c>
      <c r="AG51" s="4">
        <v>33.81</v>
      </c>
      <c r="AH51" s="109">
        <f t="shared" si="5"/>
        <v>61.472727272727276</v>
      </c>
      <c r="AI51" s="4" t="s">
        <v>293</v>
      </c>
    </row>
    <row r="52" spans="2:35" ht="15.75" customHeight="1" x14ac:dyDescent="0.3">
      <c r="B52" s="115">
        <v>11.24</v>
      </c>
      <c r="C52" s="115">
        <v>4.34</v>
      </c>
      <c r="D52" s="115">
        <v>8.58</v>
      </c>
      <c r="E52" s="115">
        <v>2.9</v>
      </c>
      <c r="F52" s="115">
        <v>3.84</v>
      </c>
      <c r="G52" s="109">
        <f t="shared" si="0"/>
        <v>30.9</v>
      </c>
      <c r="H52" s="117">
        <v>1470</v>
      </c>
      <c r="I52" s="109"/>
      <c r="J52" s="4" t="s">
        <v>517</v>
      </c>
      <c r="K52" s="101">
        <f t="shared" si="1"/>
        <v>0.63218181818181829</v>
      </c>
      <c r="L52" s="109">
        <v>34.770000000000003</v>
      </c>
      <c r="M52" s="14">
        <v>527</v>
      </c>
      <c r="V52" s="4">
        <v>50</v>
      </c>
      <c r="W52" s="4">
        <v>2433</v>
      </c>
      <c r="X52" s="109">
        <v>12.33</v>
      </c>
      <c r="Y52" s="109">
        <v>4.46</v>
      </c>
      <c r="Z52" s="109">
        <v>8.02</v>
      </c>
      <c r="AA52" s="109">
        <v>3.65</v>
      </c>
      <c r="AB52" s="109">
        <v>5.56</v>
      </c>
      <c r="AC52" s="109">
        <f t="shared" si="4"/>
        <v>34.019999999999996</v>
      </c>
      <c r="AE52" s="4">
        <v>50</v>
      </c>
      <c r="AF52" s="4">
        <v>629</v>
      </c>
      <c r="AG52" s="4">
        <v>33.93</v>
      </c>
      <c r="AH52" s="109">
        <f t="shared" si="5"/>
        <v>61.690909090909088</v>
      </c>
      <c r="AI52" s="4" t="s">
        <v>293</v>
      </c>
    </row>
    <row r="53" spans="2:35" ht="15.75" customHeight="1" x14ac:dyDescent="0.3">
      <c r="B53" s="107">
        <v>14.34</v>
      </c>
      <c r="C53" s="107">
        <v>7.3</v>
      </c>
      <c r="D53" s="107">
        <v>11.16</v>
      </c>
      <c r="E53" s="107">
        <v>4.03</v>
      </c>
      <c r="F53" s="107">
        <v>7.59</v>
      </c>
      <c r="G53" s="109">
        <f t="shared" si="0"/>
        <v>44.42</v>
      </c>
      <c r="H53" s="14">
        <v>1812</v>
      </c>
      <c r="I53" s="109"/>
      <c r="J53" s="4" t="s">
        <v>517</v>
      </c>
      <c r="K53" s="101">
        <f t="shared" si="1"/>
        <v>0.63545454545454538</v>
      </c>
      <c r="L53" s="109">
        <v>34.949999999999996</v>
      </c>
      <c r="M53" s="116">
        <v>1449</v>
      </c>
      <c r="V53" s="4">
        <v>51</v>
      </c>
      <c r="W53" s="4">
        <v>1273</v>
      </c>
      <c r="X53" s="109">
        <v>7.75</v>
      </c>
      <c r="Y53" s="109">
        <v>6.48</v>
      </c>
      <c r="Z53" s="109">
        <v>10.66</v>
      </c>
      <c r="AA53" s="109">
        <v>4.03</v>
      </c>
      <c r="AB53" s="109">
        <v>7</v>
      </c>
      <c r="AC53" s="109">
        <f t="shared" si="4"/>
        <v>35.92</v>
      </c>
      <c r="AE53" s="4">
        <v>51</v>
      </c>
      <c r="AF53" s="4">
        <v>1843</v>
      </c>
      <c r="AG53" s="4">
        <v>33.949999999999996</v>
      </c>
      <c r="AH53" s="109">
        <f t="shared" si="5"/>
        <v>61.72727272727272</v>
      </c>
      <c r="AI53" s="4" t="s">
        <v>293</v>
      </c>
    </row>
    <row r="54" spans="2:35" ht="15.75" customHeight="1" x14ac:dyDescent="0.3">
      <c r="B54" s="107">
        <v>13.17</v>
      </c>
      <c r="C54" s="107">
        <v>7.74</v>
      </c>
      <c r="D54" s="107">
        <v>11.45</v>
      </c>
      <c r="E54" s="107">
        <v>3.8</v>
      </c>
      <c r="F54" s="107">
        <v>7.84</v>
      </c>
      <c r="G54" s="109">
        <f t="shared" si="0"/>
        <v>44</v>
      </c>
      <c r="H54" s="14">
        <v>1182</v>
      </c>
      <c r="I54" s="109"/>
      <c r="J54" s="4" t="s">
        <v>517</v>
      </c>
      <c r="K54" s="101">
        <f t="shared" si="1"/>
        <v>0.63818181818181818</v>
      </c>
      <c r="L54" s="109">
        <v>35.1</v>
      </c>
      <c r="M54" s="13">
        <v>1332</v>
      </c>
      <c r="V54" s="4">
        <v>52</v>
      </c>
      <c r="W54" s="4">
        <v>1332</v>
      </c>
      <c r="X54" s="109">
        <v>11.2</v>
      </c>
      <c r="Y54" s="109">
        <v>6.48</v>
      </c>
      <c r="Z54" s="109">
        <v>11.18</v>
      </c>
      <c r="AA54" s="109">
        <v>4.03</v>
      </c>
      <c r="AB54" s="109">
        <v>8.0500000000000007</v>
      </c>
      <c r="AC54" s="109">
        <f t="shared" si="4"/>
        <v>40.94</v>
      </c>
      <c r="AE54" s="4">
        <v>52</v>
      </c>
      <c r="AF54" s="4">
        <v>1424</v>
      </c>
      <c r="AG54" s="4">
        <v>34.01</v>
      </c>
      <c r="AH54" s="109">
        <f t="shared" si="5"/>
        <v>61.836363636363636</v>
      </c>
      <c r="AI54" s="4" t="s">
        <v>293</v>
      </c>
    </row>
    <row r="55" spans="2:35" ht="15.75" customHeight="1" x14ac:dyDescent="0.3">
      <c r="B55" s="107">
        <v>13.22</v>
      </c>
      <c r="C55" s="107">
        <v>7.81</v>
      </c>
      <c r="D55" s="107">
        <v>11.64</v>
      </c>
      <c r="E55" s="107">
        <v>3.8</v>
      </c>
      <c r="F55" s="107">
        <v>7</v>
      </c>
      <c r="G55" s="109">
        <f t="shared" si="0"/>
        <v>43.47</v>
      </c>
      <c r="H55" s="14">
        <v>445</v>
      </c>
      <c r="I55" s="109"/>
      <c r="J55" s="4" t="s">
        <v>517</v>
      </c>
      <c r="K55" s="101">
        <f t="shared" si="1"/>
        <v>0.64018181818181819</v>
      </c>
      <c r="L55" s="109">
        <v>35.21</v>
      </c>
      <c r="M55" s="14">
        <v>457</v>
      </c>
      <c r="V55" s="4">
        <v>53</v>
      </c>
      <c r="W55" s="4">
        <v>1045</v>
      </c>
      <c r="X55" s="109">
        <v>13.31</v>
      </c>
      <c r="Y55" s="109">
        <v>6</v>
      </c>
      <c r="Z55" s="109">
        <v>8.68</v>
      </c>
      <c r="AA55" s="109">
        <v>4.03</v>
      </c>
      <c r="AB55" s="109">
        <v>7.08</v>
      </c>
      <c r="AC55" s="109">
        <f t="shared" si="4"/>
        <v>39.1</v>
      </c>
      <c r="AE55" s="4">
        <v>53</v>
      </c>
      <c r="AF55" s="4">
        <v>2433</v>
      </c>
      <c r="AG55" s="4">
        <v>34.019999999999996</v>
      </c>
      <c r="AH55" s="109">
        <f t="shared" si="5"/>
        <v>61.854545454545452</v>
      </c>
      <c r="AI55" s="4" t="s">
        <v>293</v>
      </c>
    </row>
    <row r="56" spans="2:35" ht="15.75" customHeight="1" x14ac:dyDescent="0.3">
      <c r="B56" s="107">
        <v>12.8</v>
      </c>
      <c r="C56" s="107">
        <v>7.65</v>
      </c>
      <c r="D56" s="107">
        <v>11.4</v>
      </c>
      <c r="E56" s="107">
        <v>3.88</v>
      </c>
      <c r="F56" s="107">
        <v>7.68</v>
      </c>
      <c r="G56" s="109">
        <f t="shared" si="0"/>
        <v>43.410000000000004</v>
      </c>
      <c r="H56" s="14">
        <v>62</v>
      </c>
      <c r="I56" s="109"/>
      <c r="J56" s="4" t="s">
        <v>517</v>
      </c>
      <c r="K56" s="101">
        <f t="shared" si="1"/>
        <v>0.6427272727272727</v>
      </c>
      <c r="L56" s="109">
        <v>35.35</v>
      </c>
      <c r="M56" s="116">
        <v>1523</v>
      </c>
      <c r="V56" s="4">
        <v>54</v>
      </c>
      <c r="W56" s="4">
        <v>1921</v>
      </c>
      <c r="X56" s="109">
        <v>13.76</v>
      </c>
      <c r="Y56" s="109">
        <v>7</v>
      </c>
      <c r="Z56" s="109">
        <v>12.63</v>
      </c>
      <c r="AA56" s="109">
        <v>3.5</v>
      </c>
      <c r="AB56" s="109">
        <v>7</v>
      </c>
      <c r="AC56" s="109">
        <f t="shared" si="4"/>
        <v>43.89</v>
      </c>
      <c r="AE56" s="4">
        <v>54</v>
      </c>
      <c r="AF56" s="4">
        <v>684</v>
      </c>
      <c r="AG56" s="4">
        <v>34.239999999999995</v>
      </c>
      <c r="AH56" s="109">
        <f t="shared" si="5"/>
        <v>62.254545454545443</v>
      </c>
      <c r="AI56" s="4" t="s">
        <v>293</v>
      </c>
    </row>
    <row r="57" spans="2:35" ht="15.75" customHeight="1" x14ac:dyDescent="0.3">
      <c r="B57" s="107">
        <v>11.75</v>
      </c>
      <c r="C57" s="107">
        <v>7.71</v>
      </c>
      <c r="D57" s="107">
        <v>11.64</v>
      </c>
      <c r="E57" s="107">
        <v>3.95</v>
      </c>
      <c r="F57" s="107">
        <v>7.24</v>
      </c>
      <c r="G57" s="109">
        <f t="shared" si="0"/>
        <v>42.290000000000006</v>
      </c>
      <c r="H57" s="14">
        <v>288</v>
      </c>
      <c r="I57" s="109"/>
      <c r="J57" s="4" t="s">
        <v>517</v>
      </c>
      <c r="K57" s="101">
        <f t="shared" si="1"/>
        <v>0.64400000000000002</v>
      </c>
      <c r="L57" s="109">
        <v>35.42</v>
      </c>
      <c r="M57" s="13">
        <v>1879</v>
      </c>
      <c r="V57" s="4">
        <v>55</v>
      </c>
      <c r="W57" s="4">
        <v>1593</v>
      </c>
      <c r="X57" s="109">
        <v>9.86</v>
      </c>
      <c r="Y57" s="109">
        <v>6.8</v>
      </c>
      <c r="Z57" s="109">
        <v>12.63</v>
      </c>
      <c r="AA57" s="109">
        <v>3.5</v>
      </c>
      <c r="AB57" s="109">
        <v>6.16</v>
      </c>
      <c r="AC57" s="109">
        <f t="shared" si="4"/>
        <v>38.950000000000003</v>
      </c>
      <c r="AE57" s="4">
        <v>55</v>
      </c>
      <c r="AF57" s="4">
        <v>281</v>
      </c>
      <c r="AG57" s="4">
        <v>34.279999999999994</v>
      </c>
      <c r="AH57" s="109">
        <f t="shared" si="5"/>
        <v>62.327272727272721</v>
      </c>
      <c r="AI57" s="4" t="s">
        <v>293</v>
      </c>
    </row>
    <row r="58" spans="2:35" ht="15.75" customHeight="1" x14ac:dyDescent="0.3">
      <c r="B58" s="107">
        <v>13.72</v>
      </c>
      <c r="C58" s="107">
        <v>7.48</v>
      </c>
      <c r="D58" s="107">
        <v>11.22</v>
      </c>
      <c r="E58" s="107">
        <v>3.8</v>
      </c>
      <c r="F58" s="107">
        <v>7.23</v>
      </c>
      <c r="G58" s="109">
        <f t="shared" si="0"/>
        <v>43.45</v>
      </c>
      <c r="H58" s="14">
        <v>69</v>
      </c>
      <c r="I58" s="109"/>
      <c r="J58" s="4" t="s">
        <v>517</v>
      </c>
      <c r="K58" s="101">
        <f t="shared" si="1"/>
        <v>0.64618181818181819</v>
      </c>
      <c r="L58" s="109">
        <v>35.54</v>
      </c>
      <c r="M58" s="13">
        <v>215</v>
      </c>
      <c r="V58" s="4">
        <v>56</v>
      </c>
      <c r="W58" s="4">
        <v>1246</v>
      </c>
      <c r="X58" s="109">
        <v>7.28</v>
      </c>
      <c r="Y58" s="109">
        <v>8.2799999999999994</v>
      </c>
      <c r="Z58" s="109">
        <v>12.75</v>
      </c>
      <c r="AA58" s="109">
        <v>3.8</v>
      </c>
      <c r="AB58" s="109">
        <v>7.99</v>
      </c>
      <c r="AC58" s="109">
        <f t="shared" si="4"/>
        <v>40.1</v>
      </c>
      <c r="AE58" s="4">
        <v>56</v>
      </c>
      <c r="AF58" s="4">
        <v>46</v>
      </c>
      <c r="AG58" s="4">
        <v>34.299999999999997</v>
      </c>
      <c r="AH58" s="109">
        <f t="shared" si="5"/>
        <v>62.363636363636353</v>
      </c>
      <c r="AI58" s="4" t="s">
        <v>293</v>
      </c>
    </row>
    <row r="59" spans="2:35" ht="15.75" customHeight="1" x14ac:dyDescent="0.3">
      <c r="B59" s="115">
        <v>10.27</v>
      </c>
      <c r="C59" s="115">
        <v>7.75</v>
      </c>
      <c r="D59" s="115">
        <v>11.27</v>
      </c>
      <c r="E59" s="115">
        <v>3.73</v>
      </c>
      <c r="F59" s="115">
        <v>7.53</v>
      </c>
      <c r="G59" s="109">
        <f t="shared" si="0"/>
        <v>40.549999999999997</v>
      </c>
      <c r="H59" s="117">
        <v>661</v>
      </c>
      <c r="I59" s="109"/>
      <c r="J59" s="4" t="s">
        <v>517</v>
      </c>
      <c r="K59" s="101">
        <f t="shared" si="1"/>
        <v>0.6464363636363637</v>
      </c>
      <c r="L59" s="109">
        <v>35.554000000000002</v>
      </c>
      <c r="M59" s="30">
        <v>1120</v>
      </c>
      <c r="V59" s="4">
        <v>57</v>
      </c>
      <c r="W59" s="4">
        <v>1341</v>
      </c>
      <c r="X59" s="109">
        <v>11.61</v>
      </c>
      <c r="Y59" s="109">
        <v>7</v>
      </c>
      <c r="Z59" s="109">
        <v>12.63</v>
      </c>
      <c r="AA59" s="109">
        <v>3.5</v>
      </c>
      <c r="AB59" s="109">
        <v>7.17</v>
      </c>
      <c r="AC59" s="109">
        <f t="shared" si="4"/>
        <v>41.910000000000004</v>
      </c>
      <c r="AE59" s="4">
        <v>57</v>
      </c>
      <c r="AF59" s="4">
        <v>194</v>
      </c>
      <c r="AG59" s="4">
        <v>34.379999999999995</v>
      </c>
      <c r="AH59" s="109">
        <f t="shared" si="5"/>
        <v>62.509090909090901</v>
      </c>
      <c r="AI59" s="4" t="s">
        <v>293</v>
      </c>
    </row>
    <row r="60" spans="2:35" ht="15.75" customHeight="1" x14ac:dyDescent="0.3">
      <c r="B60" s="115">
        <v>11.81</v>
      </c>
      <c r="C60" s="115">
        <v>4.34</v>
      </c>
      <c r="D60" s="115">
        <v>7.54</v>
      </c>
      <c r="E60" s="115">
        <v>2.9</v>
      </c>
      <c r="F60" s="115">
        <v>4.24</v>
      </c>
      <c r="G60" s="109">
        <f t="shared" si="0"/>
        <v>30.83</v>
      </c>
      <c r="H60" s="117">
        <v>515</v>
      </c>
      <c r="I60" s="109"/>
      <c r="J60" s="4" t="s">
        <v>517</v>
      </c>
      <c r="K60" s="101">
        <f t="shared" si="1"/>
        <v>0.64690909090909099</v>
      </c>
      <c r="L60" s="109">
        <v>35.580000000000005</v>
      </c>
      <c r="M60" s="13">
        <v>1155</v>
      </c>
      <c r="V60" s="4">
        <v>58</v>
      </c>
      <c r="W60" s="4">
        <v>1884</v>
      </c>
      <c r="X60" s="109">
        <v>8.3699999999999992</v>
      </c>
      <c r="Y60" s="109">
        <v>7.68</v>
      </c>
      <c r="Z60" s="109">
        <v>12.05</v>
      </c>
      <c r="AA60" s="109">
        <v>4.25</v>
      </c>
      <c r="AB60" s="109">
        <v>8.5</v>
      </c>
      <c r="AC60" s="109">
        <f t="shared" si="4"/>
        <v>40.849999999999994</v>
      </c>
      <c r="AE60" s="4">
        <v>58</v>
      </c>
      <c r="AF60" s="4">
        <v>190</v>
      </c>
      <c r="AG60" s="4">
        <v>34.730000000000004</v>
      </c>
      <c r="AH60" s="109">
        <f t="shared" si="5"/>
        <v>63.145454545454548</v>
      </c>
      <c r="AI60" s="4" t="s">
        <v>293</v>
      </c>
    </row>
    <row r="61" spans="2:35" ht="15.75" customHeight="1" x14ac:dyDescent="0.3">
      <c r="B61" s="115">
        <v>12.03</v>
      </c>
      <c r="C61" s="115">
        <v>4.24</v>
      </c>
      <c r="D61" s="115">
        <v>6.54</v>
      </c>
      <c r="E61" s="115">
        <v>3.5</v>
      </c>
      <c r="F61" s="115">
        <v>4.76</v>
      </c>
      <c r="G61" s="109">
        <f t="shared" si="0"/>
        <v>31.07</v>
      </c>
      <c r="H61" s="117">
        <v>293</v>
      </c>
      <c r="I61" s="109"/>
      <c r="J61" s="4" t="s">
        <v>517</v>
      </c>
      <c r="K61" s="101">
        <f t="shared" si="1"/>
        <v>0.64981818181818185</v>
      </c>
      <c r="L61" s="109">
        <v>35.74</v>
      </c>
      <c r="M61" s="14">
        <v>551</v>
      </c>
      <c r="V61" s="4">
        <v>59</v>
      </c>
      <c r="W61" s="4">
        <v>1337</v>
      </c>
      <c r="X61" s="109">
        <v>7.49</v>
      </c>
      <c r="Y61" s="109">
        <v>6.78</v>
      </c>
      <c r="Z61" s="109">
        <v>11.57</v>
      </c>
      <c r="AA61" s="109">
        <v>4.18</v>
      </c>
      <c r="AB61" s="109">
        <v>7.15</v>
      </c>
      <c r="AC61" s="109">
        <f t="shared" si="4"/>
        <v>37.17</v>
      </c>
      <c r="AE61" s="4">
        <v>59</v>
      </c>
      <c r="AF61" s="4">
        <v>527</v>
      </c>
      <c r="AG61" s="4">
        <v>34.770000000000003</v>
      </c>
      <c r="AH61" s="109">
        <f t="shared" si="5"/>
        <v>63.218181818181826</v>
      </c>
      <c r="AI61" s="4" t="s">
        <v>293</v>
      </c>
    </row>
    <row r="62" spans="2:35" ht="15.75" customHeight="1" x14ac:dyDescent="0.3">
      <c r="B62" s="115">
        <v>11.79</v>
      </c>
      <c r="C62" s="115">
        <v>3.44</v>
      </c>
      <c r="D62" s="115">
        <v>6.74</v>
      </c>
      <c r="E62" s="115">
        <v>2.7</v>
      </c>
      <c r="F62" s="115">
        <v>3.8</v>
      </c>
      <c r="G62" s="109">
        <f t="shared" si="0"/>
        <v>28.47</v>
      </c>
      <c r="H62" s="117">
        <v>971</v>
      </c>
      <c r="I62" s="109"/>
      <c r="J62" s="4" t="s">
        <v>517</v>
      </c>
      <c r="K62" s="101">
        <f t="shared" si="1"/>
        <v>0.65581818181818186</v>
      </c>
      <c r="L62" s="109">
        <v>36.07</v>
      </c>
      <c r="M62" s="13">
        <v>1151</v>
      </c>
      <c r="V62" s="4">
        <v>60</v>
      </c>
      <c r="W62" s="4">
        <v>1733</v>
      </c>
      <c r="X62" s="109">
        <v>13.37</v>
      </c>
      <c r="Y62" s="109">
        <v>7.21</v>
      </c>
      <c r="Z62" s="109">
        <v>12.51</v>
      </c>
      <c r="AA62" s="109">
        <v>3.5</v>
      </c>
      <c r="AB62" s="109">
        <v>7</v>
      </c>
      <c r="AC62" s="109">
        <f t="shared" si="4"/>
        <v>43.589999999999996</v>
      </c>
      <c r="AE62" s="4">
        <v>60</v>
      </c>
      <c r="AF62" s="4">
        <v>457</v>
      </c>
      <c r="AG62" s="4">
        <v>35.21</v>
      </c>
      <c r="AH62" s="109">
        <f t="shared" si="5"/>
        <v>64.018181818181816</v>
      </c>
      <c r="AI62" s="4" t="s">
        <v>293</v>
      </c>
    </row>
    <row r="63" spans="2:35" ht="15.75" customHeight="1" x14ac:dyDescent="0.3">
      <c r="B63" s="115">
        <v>11.29</v>
      </c>
      <c r="C63" s="115">
        <v>4.74</v>
      </c>
      <c r="D63" s="115">
        <v>8.1</v>
      </c>
      <c r="E63" s="115">
        <v>3.5</v>
      </c>
      <c r="F63" s="115">
        <v>4.4400000000000004</v>
      </c>
      <c r="G63" s="109">
        <f t="shared" si="0"/>
        <v>32.07</v>
      </c>
      <c r="H63" s="117">
        <v>1911</v>
      </c>
      <c r="I63" s="109"/>
      <c r="J63" s="4" t="s">
        <v>517</v>
      </c>
      <c r="K63" s="101">
        <f t="shared" si="1"/>
        <v>0.65690909090909078</v>
      </c>
      <c r="L63" s="109">
        <v>36.129999999999995</v>
      </c>
      <c r="M63" s="29">
        <v>1799</v>
      </c>
      <c r="V63" s="4">
        <v>61</v>
      </c>
      <c r="W63" s="4">
        <v>1347</v>
      </c>
      <c r="X63" s="109">
        <v>11.74</v>
      </c>
      <c r="Y63" s="109">
        <v>7.21</v>
      </c>
      <c r="Z63" s="109">
        <v>12.63</v>
      </c>
      <c r="AA63" s="109">
        <v>3.5</v>
      </c>
      <c r="AB63" s="109">
        <v>7</v>
      </c>
      <c r="AC63" s="109">
        <f t="shared" si="4"/>
        <v>42.08</v>
      </c>
      <c r="AE63" s="4">
        <v>61</v>
      </c>
      <c r="AF63" s="4">
        <v>1155</v>
      </c>
      <c r="AG63" s="4">
        <v>35.480000000000004</v>
      </c>
      <c r="AH63" s="109">
        <f t="shared" si="5"/>
        <v>64.509090909090915</v>
      </c>
      <c r="AI63" s="4" t="s">
        <v>293</v>
      </c>
    </row>
    <row r="64" spans="2:35" ht="15.75" customHeight="1" x14ac:dyDescent="0.3">
      <c r="B64" s="113">
        <v>13.38</v>
      </c>
      <c r="C64" s="113">
        <v>4.8</v>
      </c>
      <c r="D64" s="113">
        <v>8.92</v>
      </c>
      <c r="E64" s="113">
        <v>2.98</v>
      </c>
      <c r="F64" s="113">
        <v>4.3600000000000003</v>
      </c>
      <c r="G64" s="109">
        <f t="shared" si="0"/>
        <v>34.440000000000005</v>
      </c>
      <c r="H64" s="30">
        <v>1055</v>
      </c>
      <c r="I64" s="109"/>
      <c r="J64" s="4" t="s">
        <v>517</v>
      </c>
      <c r="K64" s="101">
        <f t="shared" si="1"/>
        <v>0.65763636363636357</v>
      </c>
      <c r="L64" s="109">
        <v>36.169999999999995</v>
      </c>
      <c r="M64" s="14">
        <v>1292</v>
      </c>
      <c r="V64" s="4">
        <v>62</v>
      </c>
      <c r="W64" s="4">
        <v>1144</v>
      </c>
      <c r="X64" s="109">
        <v>13.3</v>
      </c>
      <c r="Y64" s="109">
        <v>4.04</v>
      </c>
      <c r="Z64" s="109">
        <v>10.220000000000001</v>
      </c>
      <c r="AA64" s="109">
        <v>2.85</v>
      </c>
      <c r="AB64" s="109">
        <v>3.4</v>
      </c>
      <c r="AC64" s="109">
        <f t="shared" si="4"/>
        <v>33.81</v>
      </c>
      <c r="AE64" s="4">
        <v>62</v>
      </c>
      <c r="AF64" s="4">
        <v>369</v>
      </c>
      <c r="AG64" s="4">
        <v>35.53</v>
      </c>
      <c r="AH64" s="109">
        <f t="shared" si="5"/>
        <v>64.600000000000009</v>
      </c>
      <c r="AI64" s="4" t="s">
        <v>293</v>
      </c>
    </row>
    <row r="65" spans="2:35" ht="15.75" customHeight="1" x14ac:dyDescent="0.3">
      <c r="B65" s="107">
        <v>7.39</v>
      </c>
      <c r="C65" s="107">
        <v>7</v>
      </c>
      <c r="D65" s="107">
        <v>11.27</v>
      </c>
      <c r="E65" s="107">
        <v>3.5</v>
      </c>
      <c r="F65" s="107">
        <v>7.54</v>
      </c>
      <c r="G65" s="109">
        <f t="shared" si="0"/>
        <v>36.700000000000003</v>
      </c>
      <c r="H65" s="14">
        <v>2143</v>
      </c>
      <c r="I65" s="109"/>
      <c r="J65" s="4" t="s">
        <v>517</v>
      </c>
      <c r="K65" s="101">
        <f t="shared" si="1"/>
        <v>0.66363636363636369</v>
      </c>
      <c r="L65" s="109">
        <v>36.5</v>
      </c>
      <c r="M65" s="13">
        <v>50</v>
      </c>
      <c r="V65" s="4">
        <v>63</v>
      </c>
      <c r="W65" s="4">
        <v>2522</v>
      </c>
      <c r="X65" s="109">
        <v>12.25</v>
      </c>
      <c r="Y65" s="109">
        <v>4.8</v>
      </c>
      <c r="Z65" s="109">
        <v>8.1</v>
      </c>
      <c r="AA65" s="109">
        <v>3.65</v>
      </c>
      <c r="AB65" s="109">
        <v>4.96</v>
      </c>
      <c r="AC65" s="109">
        <f t="shared" si="4"/>
        <v>33.76</v>
      </c>
      <c r="AE65" s="4">
        <v>63</v>
      </c>
      <c r="AF65" s="4">
        <v>215</v>
      </c>
      <c r="AG65" s="4">
        <v>35.54</v>
      </c>
      <c r="AH65" s="109">
        <f t="shared" si="5"/>
        <v>64.618181818181824</v>
      </c>
      <c r="AI65" s="4" t="s">
        <v>293</v>
      </c>
    </row>
    <row r="66" spans="2:35" ht="15.75" customHeight="1" x14ac:dyDescent="0.3">
      <c r="B66" s="115">
        <v>13.42</v>
      </c>
      <c r="C66" s="115">
        <v>7.6</v>
      </c>
      <c r="D66" s="115">
        <v>11.57</v>
      </c>
      <c r="E66" s="115">
        <v>3.95</v>
      </c>
      <c r="F66" s="115">
        <v>6.8</v>
      </c>
      <c r="G66" s="109">
        <f t="shared" si="0"/>
        <v>43.34</v>
      </c>
      <c r="H66" s="117">
        <v>2721</v>
      </c>
      <c r="I66" s="109"/>
      <c r="J66" s="4" t="s">
        <v>517</v>
      </c>
      <c r="K66" s="101">
        <f t="shared" si="1"/>
        <v>0.66727272727272735</v>
      </c>
      <c r="L66" s="109">
        <v>36.700000000000003</v>
      </c>
      <c r="M66" s="14">
        <v>2143</v>
      </c>
      <c r="V66" s="4">
        <v>64</v>
      </c>
      <c r="W66" s="4">
        <v>1229</v>
      </c>
      <c r="X66" s="109">
        <v>8.98</v>
      </c>
      <c r="Y66" s="109">
        <v>7.21</v>
      </c>
      <c r="Z66" s="109">
        <v>12.63</v>
      </c>
      <c r="AA66" s="109">
        <v>3.5</v>
      </c>
      <c r="AB66" s="109">
        <v>4.43</v>
      </c>
      <c r="AC66" s="109">
        <f t="shared" si="4"/>
        <v>36.75</v>
      </c>
      <c r="AE66" s="4">
        <v>64</v>
      </c>
      <c r="AF66" s="4">
        <v>1120</v>
      </c>
      <c r="AG66" s="4">
        <v>35.549999999999997</v>
      </c>
      <c r="AH66" s="109">
        <f t="shared" si="5"/>
        <v>64.63636363636364</v>
      </c>
      <c r="AI66" s="4" t="s">
        <v>293</v>
      </c>
    </row>
    <row r="67" spans="2:35" ht="15.75" customHeight="1" x14ac:dyDescent="0.3">
      <c r="B67" s="107">
        <v>13.67</v>
      </c>
      <c r="C67" s="107">
        <v>7</v>
      </c>
      <c r="D67" s="107">
        <v>10.5</v>
      </c>
      <c r="E67" s="107">
        <v>3.5</v>
      </c>
      <c r="F67" s="107">
        <v>7</v>
      </c>
      <c r="G67" s="109">
        <f t="shared" si="0"/>
        <v>41.67</v>
      </c>
      <c r="H67" s="14">
        <v>1146</v>
      </c>
      <c r="I67" s="109"/>
      <c r="J67" s="4" t="s">
        <v>517</v>
      </c>
      <c r="K67" s="101">
        <f t="shared" si="1"/>
        <v>0.66818181818181821</v>
      </c>
      <c r="L67" s="109">
        <v>36.75</v>
      </c>
      <c r="M67" s="117">
        <v>1229</v>
      </c>
      <c r="V67" s="4">
        <v>65</v>
      </c>
      <c r="W67" s="4">
        <v>1475</v>
      </c>
      <c r="X67" s="109">
        <v>10.16</v>
      </c>
      <c r="Y67" s="109">
        <v>4.29</v>
      </c>
      <c r="Z67" s="109">
        <v>11.25</v>
      </c>
      <c r="AA67" s="109">
        <v>3.18</v>
      </c>
      <c r="AB67" s="109">
        <v>3</v>
      </c>
      <c r="AC67" s="109">
        <f t="shared" si="4"/>
        <v>31.88</v>
      </c>
      <c r="AE67" s="4">
        <v>65</v>
      </c>
      <c r="AF67" s="4">
        <v>1273</v>
      </c>
      <c r="AG67" s="4">
        <v>35.92</v>
      </c>
      <c r="AH67" s="109">
        <f t="shared" si="5"/>
        <v>65.309090909090912</v>
      </c>
      <c r="AI67" s="4" t="s">
        <v>293</v>
      </c>
    </row>
    <row r="68" spans="2:35" ht="15.75" customHeight="1" x14ac:dyDescent="0.3">
      <c r="B68" s="107">
        <v>11.16</v>
      </c>
      <c r="C68" s="107">
        <v>7</v>
      </c>
      <c r="D68" s="107">
        <v>12.66</v>
      </c>
      <c r="E68" s="107">
        <v>3.8</v>
      </c>
      <c r="F68" s="107">
        <v>7</v>
      </c>
      <c r="G68" s="109">
        <f t="shared" si="0"/>
        <v>41.62</v>
      </c>
      <c r="H68" s="14">
        <v>1144</v>
      </c>
      <c r="I68" s="109"/>
      <c r="J68" s="4" t="s">
        <v>517</v>
      </c>
      <c r="K68" s="101">
        <f t="shared" si="1"/>
        <v>0.67509090909090919</v>
      </c>
      <c r="L68" s="109">
        <v>37.130000000000003</v>
      </c>
      <c r="M68" s="13">
        <v>209</v>
      </c>
      <c r="V68" s="4">
        <v>66</v>
      </c>
      <c r="W68" s="4">
        <v>1292</v>
      </c>
      <c r="X68" s="109">
        <v>13.87</v>
      </c>
      <c r="Y68" s="109">
        <v>8.9</v>
      </c>
      <c r="Z68" s="109">
        <v>11.01</v>
      </c>
      <c r="AA68" s="109">
        <v>3.5</v>
      </c>
      <c r="AB68" s="109">
        <v>6.11</v>
      </c>
      <c r="AC68" s="109">
        <f t="shared" si="4"/>
        <v>43.39</v>
      </c>
      <c r="AE68" s="4">
        <v>66</v>
      </c>
      <c r="AF68" s="4">
        <v>551</v>
      </c>
      <c r="AG68" s="4">
        <v>36.059999999999995</v>
      </c>
      <c r="AH68" s="109">
        <f t="shared" si="5"/>
        <v>65.563636363636363</v>
      </c>
      <c r="AI68" s="4" t="s">
        <v>293</v>
      </c>
    </row>
    <row r="69" spans="2:35" ht="15.75" customHeight="1" x14ac:dyDescent="0.3">
      <c r="B69" s="107">
        <v>11.74</v>
      </c>
      <c r="C69" s="107">
        <v>7.21</v>
      </c>
      <c r="D69" s="107">
        <v>12.63</v>
      </c>
      <c r="E69" s="107">
        <v>3.5</v>
      </c>
      <c r="F69" s="107">
        <v>7</v>
      </c>
      <c r="G69" s="109">
        <f t="shared" si="0"/>
        <v>42.08</v>
      </c>
      <c r="H69" s="14">
        <v>1347</v>
      </c>
      <c r="I69" s="109"/>
      <c r="J69" s="4" t="s">
        <v>517</v>
      </c>
      <c r="K69" s="101">
        <f t="shared" si="1"/>
        <v>0.67581818181818187</v>
      </c>
      <c r="L69" s="109">
        <v>37.17</v>
      </c>
      <c r="M69" s="13">
        <v>1337</v>
      </c>
      <c r="V69" s="4">
        <v>67</v>
      </c>
      <c r="W69" s="4">
        <v>1274</v>
      </c>
      <c r="X69" s="109">
        <v>10.42</v>
      </c>
      <c r="Y69" s="109">
        <v>7</v>
      </c>
      <c r="Z69" s="109">
        <v>10.5</v>
      </c>
      <c r="AA69" s="109">
        <v>3.5</v>
      </c>
      <c r="AB69" s="109">
        <v>7.23</v>
      </c>
      <c r="AC69" s="109">
        <f t="shared" si="4"/>
        <v>38.650000000000006</v>
      </c>
      <c r="AE69" s="4">
        <v>67</v>
      </c>
      <c r="AF69" s="4">
        <v>1799</v>
      </c>
      <c r="AG69" s="4">
        <v>36.289999999999992</v>
      </c>
      <c r="AH69" s="109">
        <f t="shared" si="5"/>
        <v>65.98181818181817</v>
      </c>
      <c r="AI69" s="4" t="s">
        <v>293</v>
      </c>
    </row>
    <row r="70" spans="2:35" ht="15.75" customHeight="1" x14ac:dyDescent="0.3">
      <c r="B70" s="107">
        <v>13.37</v>
      </c>
      <c r="C70" s="107">
        <v>7.21</v>
      </c>
      <c r="D70" s="107">
        <v>12.51</v>
      </c>
      <c r="E70" s="107">
        <v>3.5</v>
      </c>
      <c r="F70" s="107">
        <v>7</v>
      </c>
      <c r="G70" s="109">
        <f t="shared" si="0"/>
        <v>43.589999999999996</v>
      </c>
      <c r="H70" s="14">
        <v>1733</v>
      </c>
      <c r="I70" s="109"/>
      <c r="J70" s="4" t="s">
        <v>517</v>
      </c>
      <c r="K70" s="101">
        <f t="shared" si="1"/>
        <v>0.67909090909090897</v>
      </c>
      <c r="L70" s="109">
        <v>37.349999999999994</v>
      </c>
      <c r="M70" s="14">
        <v>1274</v>
      </c>
      <c r="V70" s="4">
        <v>68</v>
      </c>
      <c r="W70" s="4">
        <v>1779</v>
      </c>
      <c r="X70" s="109">
        <v>9.64</v>
      </c>
      <c r="Y70" s="109">
        <v>7</v>
      </c>
      <c r="Z70" s="109">
        <v>11.31</v>
      </c>
      <c r="AA70" s="109">
        <v>3.5</v>
      </c>
      <c r="AB70" s="109">
        <v>7.23</v>
      </c>
      <c r="AC70" s="109">
        <f t="shared" si="4"/>
        <v>38.680000000000007</v>
      </c>
      <c r="AE70" s="4">
        <v>68</v>
      </c>
      <c r="AF70" s="4">
        <v>696</v>
      </c>
      <c r="AG70" s="4">
        <v>36.409999999999997</v>
      </c>
      <c r="AH70" s="109">
        <f t="shared" si="5"/>
        <v>66.199999999999989</v>
      </c>
      <c r="AI70" s="4" t="s">
        <v>293</v>
      </c>
    </row>
    <row r="71" spans="2:35" ht="15.75" customHeight="1" x14ac:dyDescent="0.3">
      <c r="B71" s="115">
        <v>8.98</v>
      </c>
      <c r="C71" s="115">
        <v>7.21</v>
      </c>
      <c r="D71" s="115">
        <v>12.63</v>
      </c>
      <c r="E71" s="115">
        <v>3.5</v>
      </c>
      <c r="F71" s="115">
        <v>4.43</v>
      </c>
      <c r="G71" s="109">
        <f t="shared" si="0"/>
        <v>36.75</v>
      </c>
      <c r="H71" s="117">
        <v>1229</v>
      </c>
      <c r="I71" s="109"/>
      <c r="J71" s="4" t="s">
        <v>517</v>
      </c>
      <c r="K71" s="101">
        <f t="shared" si="1"/>
        <v>0.68236363636363639</v>
      </c>
      <c r="L71" s="109">
        <v>37.53</v>
      </c>
      <c r="M71" s="13">
        <v>367</v>
      </c>
      <c r="V71" s="4">
        <v>69</v>
      </c>
      <c r="W71" s="4">
        <v>1661</v>
      </c>
      <c r="X71" s="109">
        <v>10</v>
      </c>
      <c r="Y71" s="109">
        <v>7</v>
      </c>
      <c r="Z71" s="109">
        <v>10.5</v>
      </c>
      <c r="AA71" s="109">
        <v>3.5</v>
      </c>
      <c r="AB71" s="109">
        <v>6.4</v>
      </c>
      <c r="AC71" s="109">
        <f t="shared" si="4"/>
        <v>37.4</v>
      </c>
      <c r="AE71" s="4">
        <v>69</v>
      </c>
      <c r="AF71" s="4">
        <v>1727</v>
      </c>
      <c r="AG71" s="4">
        <v>36.5</v>
      </c>
      <c r="AH71" s="109">
        <f t="shared" si="5"/>
        <v>66.363636363636374</v>
      </c>
      <c r="AI71" s="4" t="s">
        <v>293</v>
      </c>
    </row>
    <row r="72" spans="2:35" ht="15.75" customHeight="1" x14ac:dyDescent="0.3">
      <c r="B72" s="107">
        <v>13.87</v>
      </c>
      <c r="C72" s="107">
        <v>5.18</v>
      </c>
      <c r="D72" s="107">
        <v>11.01</v>
      </c>
      <c r="E72" s="107">
        <v>0</v>
      </c>
      <c r="F72" s="107">
        <v>6.11</v>
      </c>
      <c r="G72" s="109">
        <f t="shared" si="0"/>
        <v>36.169999999999995</v>
      </c>
      <c r="H72" s="14">
        <v>1292</v>
      </c>
      <c r="I72" s="109"/>
      <c r="J72" s="4" t="s">
        <v>517</v>
      </c>
      <c r="K72" s="101">
        <f t="shared" si="1"/>
        <v>0.6863636363636364</v>
      </c>
      <c r="L72" s="109">
        <v>37.75</v>
      </c>
      <c r="M72" s="14">
        <v>53</v>
      </c>
      <c r="V72" s="4">
        <v>70</v>
      </c>
      <c r="W72" s="4">
        <v>1044</v>
      </c>
      <c r="X72" s="109">
        <v>10.77</v>
      </c>
      <c r="Y72" s="109">
        <v>8.5</v>
      </c>
      <c r="Z72" s="109">
        <v>12.31</v>
      </c>
      <c r="AA72" s="109">
        <v>4.25</v>
      </c>
      <c r="AB72" s="109">
        <v>7.4</v>
      </c>
      <c r="AC72" s="109">
        <f t="shared" si="4"/>
        <v>43.23</v>
      </c>
      <c r="AE72" s="4">
        <v>70</v>
      </c>
      <c r="AF72" s="4">
        <v>50</v>
      </c>
      <c r="AG72" s="4">
        <v>36.5</v>
      </c>
      <c r="AH72" s="109">
        <f t="shared" si="5"/>
        <v>66.363636363636374</v>
      </c>
      <c r="AI72" s="4" t="s">
        <v>293</v>
      </c>
    </row>
    <row r="73" spans="2:35" ht="15.75" customHeight="1" x14ac:dyDescent="0.3">
      <c r="B73" s="107">
        <v>12.23</v>
      </c>
      <c r="C73" s="107">
        <v>7.21</v>
      </c>
      <c r="D73" s="107">
        <v>12.63</v>
      </c>
      <c r="E73" s="107">
        <v>3.5</v>
      </c>
      <c r="F73" s="107">
        <v>7.76</v>
      </c>
      <c r="G73" s="109">
        <f t="shared" si="0"/>
        <v>43.33</v>
      </c>
      <c r="H73" s="14">
        <v>1475</v>
      </c>
      <c r="I73" s="109"/>
      <c r="J73" s="4" t="s">
        <v>517</v>
      </c>
      <c r="K73" s="101">
        <f t="shared" si="1"/>
        <v>0.68799999999999994</v>
      </c>
      <c r="L73" s="109">
        <v>37.839999999999996</v>
      </c>
      <c r="M73" s="14">
        <v>1661</v>
      </c>
      <c r="V73" s="4">
        <v>71</v>
      </c>
      <c r="W73" s="4">
        <v>1185</v>
      </c>
      <c r="X73" s="109">
        <v>8</v>
      </c>
      <c r="Y73" s="109">
        <v>6</v>
      </c>
      <c r="Z73" s="109">
        <v>8</v>
      </c>
      <c r="AA73" s="109">
        <v>3</v>
      </c>
      <c r="AB73" s="109">
        <v>6</v>
      </c>
      <c r="AC73" s="109">
        <f t="shared" si="4"/>
        <v>31</v>
      </c>
      <c r="AE73" s="4">
        <v>71</v>
      </c>
      <c r="AF73" s="4">
        <v>789</v>
      </c>
      <c r="AG73" s="4">
        <v>36.650000000000006</v>
      </c>
      <c r="AH73" s="109">
        <f t="shared" si="5"/>
        <v>66.636363636363654</v>
      </c>
      <c r="AI73" s="4" t="s">
        <v>293</v>
      </c>
    </row>
    <row r="74" spans="2:35" ht="15.75" customHeight="1" x14ac:dyDescent="0.3">
      <c r="B74" s="115">
        <v>14.44</v>
      </c>
      <c r="C74" s="115">
        <v>7.21</v>
      </c>
      <c r="D74" s="115">
        <v>11.78</v>
      </c>
      <c r="E74" s="115">
        <v>3.5</v>
      </c>
      <c r="F74" s="115">
        <v>7</v>
      </c>
      <c r="G74" s="109">
        <f t="shared" si="0"/>
        <v>43.93</v>
      </c>
      <c r="H74" s="117">
        <v>2522</v>
      </c>
      <c r="I74" s="109"/>
      <c r="J74" s="4" t="s">
        <v>517</v>
      </c>
      <c r="K74" s="101">
        <f t="shared" si="1"/>
        <v>0.68872727272727274</v>
      </c>
      <c r="L74" s="109">
        <v>37.880000000000003</v>
      </c>
      <c r="M74" s="13">
        <v>1126</v>
      </c>
      <c r="V74" s="4">
        <v>72</v>
      </c>
      <c r="W74" s="4">
        <v>1120</v>
      </c>
      <c r="X74" s="109">
        <v>14.29</v>
      </c>
      <c r="Y74" s="109">
        <v>4.21</v>
      </c>
      <c r="Z74" s="109">
        <v>10.47</v>
      </c>
      <c r="AA74" s="109">
        <v>2.1800000000000002</v>
      </c>
      <c r="AB74" s="109">
        <v>4.4000000000000004</v>
      </c>
      <c r="AC74" s="109">
        <f t="shared" si="4"/>
        <v>35.549999999999997</v>
      </c>
      <c r="AE74" s="4">
        <v>72</v>
      </c>
      <c r="AF74" s="4">
        <v>2143</v>
      </c>
      <c r="AG74" s="4">
        <v>36.700000000000003</v>
      </c>
      <c r="AH74" s="109">
        <f t="shared" si="5"/>
        <v>66.727272727272734</v>
      </c>
      <c r="AI74" s="4" t="s">
        <v>293</v>
      </c>
    </row>
    <row r="75" spans="2:35" ht="15.75" customHeight="1" x14ac:dyDescent="0.3">
      <c r="B75" s="107">
        <v>10.77</v>
      </c>
      <c r="C75" s="107">
        <v>8.5</v>
      </c>
      <c r="D75" s="107">
        <v>12.31</v>
      </c>
      <c r="E75" s="107">
        <v>4.25</v>
      </c>
      <c r="F75" s="107">
        <v>7.4</v>
      </c>
      <c r="G75" s="109">
        <f t="shared" si="0"/>
        <v>43.23</v>
      </c>
      <c r="H75" s="14">
        <v>1044</v>
      </c>
      <c r="I75" s="109"/>
      <c r="J75" s="4" t="s">
        <v>517</v>
      </c>
      <c r="K75" s="101">
        <f t="shared" si="1"/>
        <v>0.69127272727272715</v>
      </c>
      <c r="L75" s="109">
        <v>38.019999999999996</v>
      </c>
      <c r="M75" s="13">
        <v>350</v>
      </c>
      <c r="V75" s="4">
        <v>73</v>
      </c>
      <c r="W75" s="4">
        <v>1476</v>
      </c>
      <c r="X75" s="109">
        <v>12.97</v>
      </c>
      <c r="Y75" s="109">
        <v>7.21</v>
      </c>
      <c r="Z75" s="109">
        <v>10.4</v>
      </c>
      <c r="AA75" s="109">
        <v>3.58</v>
      </c>
      <c r="AB75" s="109">
        <v>3</v>
      </c>
      <c r="AC75" s="109">
        <f t="shared" si="4"/>
        <v>37.159999999999997</v>
      </c>
      <c r="AE75" s="4">
        <v>73</v>
      </c>
      <c r="AF75" s="4">
        <v>293</v>
      </c>
      <c r="AG75" s="4">
        <v>36.71</v>
      </c>
      <c r="AH75" s="109">
        <f t="shared" si="5"/>
        <v>66.74545454545455</v>
      </c>
      <c r="AI75" s="4" t="s">
        <v>293</v>
      </c>
    </row>
    <row r="76" spans="2:35" ht="15.75" customHeight="1" x14ac:dyDescent="0.3">
      <c r="B76" s="113">
        <v>14.29</v>
      </c>
      <c r="C76" s="113">
        <v>4.21</v>
      </c>
      <c r="D76" s="113">
        <v>10.474</v>
      </c>
      <c r="E76" s="113">
        <v>2.1800000000000002</v>
      </c>
      <c r="F76" s="113">
        <v>4.4000000000000004</v>
      </c>
      <c r="G76" s="109">
        <f t="shared" si="0"/>
        <v>35.554000000000002</v>
      </c>
      <c r="H76" s="30">
        <v>1120</v>
      </c>
      <c r="I76" s="109"/>
      <c r="J76" s="4" t="s">
        <v>517</v>
      </c>
      <c r="K76" s="101">
        <f t="shared" si="1"/>
        <v>0.69327272727272737</v>
      </c>
      <c r="L76" s="109">
        <v>38.130000000000003</v>
      </c>
      <c r="M76" s="13">
        <v>745</v>
      </c>
      <c r="V76" s="4">
        <v>74</v>
      </c>
      <c r="W76" s="4">
        <v>1054</v>
      </c>
      <c r="X76" s="109">
        <v>6.9</v>
      </c>
      <c r="Y76" s="109">
        <v>6.96</v>
      </c>
      <c r="Z76" s="109">
        <v>9.8000000000000007</v>
      </c>
      <c r="AA76" s="109">
        <v>3.5</v>
      </c>
      <c r="AB76" s="109">
        <v>4.2</v>
      </c>
      <c r="AC76" s="109">
        <f t="shared" si="4"/>
        <v>31.36</v>
      </c>
      <c r="AE76" s="4">
        <v>74</v>
      </c>
      <c r="AF76" s="4">
        <v>1229</v>
      </c>
      <c r="AG76" s="4">
        <v>36.75</v>
      </c>
      <c r="AH76" s="109">
        <f t="shared" si="5"/>
        <v>66.818181818181827</v>
      </c>
      <c r="AI76" s="4" t="s">
        <v>293</v>
      </c>
    </row>
    <row r="77" spans="2:35" ht="15.75" customHeight="1" x14ac:dyDescent="0.3">
      <c r="B77" s="107">
        <v>9.1199999999999992</v>
      </c>
      <c r="C77" s="107">
        <v>7</v>
      </c>
      <c r="D77" s="107">
        <v>10.5</v>
      </c>
      <c r="E77" s="107">
        <v>3.5</v>
      </c>
      <c r="F77" s="107">
        <v>7.23</v>
      </c>
      <c r="G77" s="109">
        <f t="shared" si="0"/>
        <v>37.349999999999994</v>
      </c>
      <c r="H77" s="14">
        <v>1274</v>
      </c>
      <c r="I77" s="109"/>
      <c r="J77" s="4" t="s">
        <v>517</v>
      </c>
      <c r="K77" s="101">
        <f t="shared" si="1"/>
        <v>0.69654545454545458</v>
      </c>
      <c r="L77" s="109">
        <v>38.31</v>
      </c>
      <c r="M77" s="13">
        <v>1372</v>
      </c>
      <c r="V77" s="4">
        <v>75</v>
      </c>
      <c r="W77" s="4">
        <v>1430</v>
      </c>
      <c r="X77" s="109">
        <v>13.74</v>
      </c>
      <c r="Y77" s="109">
        <v>7.29</v>
      </c>
      <c r="Z77" s="109">
        <v>10.09</v>
      </c>
      <c r="AA77" s="109">
        <v>3.1</v>
      </c>
      <c r="AB77" s="109">
        <v>5</v>
      </c>
      <c r="AC77" s="109">
        <f t="shared" si="4"/>
        <v>39.22</v>
      </c>
      <c r="AE77" s="4">
        <v>75</v>
      </c>
      <c r="AF77" s="4">
        <v>1055</v>
      </c>
      <c r="AG77" s="4">
        <v>36.799999999999997</v>
      </c>
      <c r="AH77" s="109">
        <f t="shared" si="5"/>
        <v>66.909090909090907</v>
      </c>
      <c r="AI77" s="4" t="s">
        <v>293</v>
      </c>
    </row>
    <row r="78" spans="2:35" ht="15.75" customHeight="1" x14ac:dyDescent="0.3">
      <c r="B78" s="107">
        <v>10.44</v>
      </c>
      <c r="C78" s="107">
        <v>7</v>
      </c>
      <c r="D78" s="107">
        <v>10.5</v>
      </c>
      <c r="E78" s="107">
        <v>3.5</v>
      </c>
      <c r="F78" s="107">
        <v>6.4</v>
      </c>
      <c r="G78" s="109">
        <f t="shared" si="0"/>
        <v>37.839999999999996</v>
      </c>
      <c r="H78" s="14">
        <v>1661</v>
      </c>
      <c r="I78" s="109"/>
      <c r="J78" s="4" t="s">
        <v>517</v>
      </c>
      <c r="K78" s="101">
        <f t="shared" si="1"/>
        <v>0.69709090909090921</v>
      </c>
      <c r="L78" s="109">
        <v>38.340000000000003</v>
      </c>
      <c r="M78" s="13">
        <v>1094</v>
      </c>
      <c r="V78" s="4">
        <v>76</v>
      </c>
      <c r="W78" s="4">
        <v>1085</v>
      </c>
      <c r="X78" s="109">
        <v>13.95</v>
      </c>
      <c r="Y78" s="109">
        <v>4.3</v>
      </c>
      <c r="Z78" s="109">
        <v>7.58</v>
      </c>
      <c r="AA78" s="109">
        <v>2.78</v>
      </c>
      <c r="AB78" s="109">
        <v>4.5999999999999996</v>
      </c>
      <c r="AC78" s="109">
        <f t="shared" si="4"/>
        <v>33.21</v>
      </c>
      <c r="AE78" s="4">
        <v>76</v>
      </c>
      <c r="AF78" s="4">
        <v>638</v>
      </c>
      <c r="AG78" s="4">
        <v>36.979999999999997</v>
      </c>
      <c r="AH78" s="109">
        <f t="shared" si="5"/>
        <v>67.23636363636362</v>
      </c>
      <c r="AI78" s="4" t="s">
        <v>293</v>
      </c>
    </row>
    <row r="79" spans="2:35" ht="15.75" customHeight="1" x14ac:dyDescent="0.3">
      <c r="B79" s="107">
        <v>9.64</v>
      </c>
      <c r="C79" s="107">
        <v>7</v>
      </c>
      <c r="D79" s="107">
        <v>11.31</v>
      </c>
      <c r="E79" s="107">
        <v>3.5</v>
      </c>
      <c r="F79" s="107">
        <v>7.23</v>
      </c>
      <c r="G79" s="109">
        <f t="shared" si="0"/>
        <v>38.680000000000007</v>
      </c>
      <c r="H79" s="14">
        <v>1779</v>
      </c>
      <c r="I79" s="109"/>
      <c r="J79" s="4" t="s">
        <v>517</v>
      </c>
      <c r="K79" s="101">
        <f t="shared" si="1"/>
        <v>0.69781818181818178</v>
      </c>
      <c r="L79" s="109">
        <v>38.379999999999995</v>
      </c>
      <c r="M79" s="13">
        <v>1246</v>
      </c>
      <c r="V79" s="4">
        <v>77</v>
      </c>
      <c r="W79" s="4">
        <v>1807</v>
      </c>
      <c r="X79" s="109">
        <v>12.64</v>
      </c>
      <c r="Y79" s="109">
        <v>3.94</v>
      </c>
      <c r="Z79" s="109">
        <v>7.46</v>
      </c>
      <c r="AA79" s="109">
        <v>2.78</v>
      </c>
      <c r="AB79" s="109">
        <v>3.4</v>
      </c>
      <c r="AC79" s="109">
        <f t="shared" si="4"/>
        <v>30.220000000000002</v>
      </c>
      <c r="AE79" s="4">
        <v>77</v>
      </c>
      <c r="AF79" s="4">
        <v>209</v>
      </c>
      <c r="AG79" s="4">
        <v>37.130000000000003</v>
      </c>
      <c r="AH79" s="109">
        <f t="shared" si="5"/>
        <v>67.509090909090915</v>
      </c>
      <c r="AI79" s="4" t="s">
        <v>293</v>
      </c>
    </row>
    <row r="80" spans="2:35" ht="15.75" customHeight="1" x14ac:dyDescent="0.3">
      <c r="B80" s="107">
        <v>11.6</v>
      </c>
      <c r="C80" s="107">
        <v>3</v>
      </c>
      <c r="D80" s="107">
        <v>4.5</v>
      </c>
      <c r="E80" s="107">
        <v>1.9</v>
      </c>
      <c r="F80" s="107">
        <v>3</v>
      </c>
      <c r="G80" s="109">
        <f t="shared" si="0"/>
        <v>24</v>
      </c>
      <c r="H80" s="13">
        <v>1232</v>
      </c>
      <c r="I80" s="109"/>
      <c r="J80" s="4" t="s">
        <v>517</v>
      </c>
      <c r="K80" s="101">
        <f t="shared" si="1"/>
        <v>0.70327272727272738</v>
      </c>
      <c r="L80" s="109">
        <v>38.680000000000007</v>
      </c>
      <c r="M80" s="14">
        <v>1779</v>
      </c>
      <c r="V80" s="4">
        <v>78</v>
      </c>
      <c r="W80" s="4">
        <v>1799</v>
      </c>
      <c r="X80" s="109">
        <v>13.02</v>
      </c>
      <c r="Y80" s="109">
        <v>4.68</v>
      </c>
      <c r="Z80" s="109">
        <v>10.78</v>
      </c>
      <c r="AA80" s="109">
        <v>3.65</v>
      </c>
      <c r="AB80" s="109">
        <v>4.16</v>
      </c>
      <c r="AC80" s="109">
        <f t="shared" si="4"/>
        <v>36.289999999999992</v>
      </c>
      <c r="AE80" s="4">
        <v>78</v>
      </c>
      <c r="AF80" s="4">
        <v>1476</v>
      </c>
      <c r="AG80" s="4">
        <v>37.159999999999997</v>
      </c>
      <c r="AH80" s="109">
        <f t="shared" si="5"/>
        <v>67.563636363636363</v>
      </c>
      <c r="AI80" s="4" t="s">
        <v>293</v>
      </c>
    </row>
    <row r="81" spans="2:35" ht="15.75" customHeight="1" x14ac:dyDescent="0.3">
      <c r="B81" s="107">
        <v>11.44</v>
      </c>
      <c r="C81" s="107">
        <v>5.2</v>
      </c>
      <c r="D81" s="107">
        <v>9.8000000000000007</v>
      </c>
      <c r="E81" s="107">
        <v>3.58</v>
      </c>
      <c r="F81" s="107">
        <v>5.56</v>
      </c>
      <c r="G81" s="109">
        <f t="shared" si="0"/>
        <v>35.580000000000005</v>
      </c>
      <c r="H81" s="13">
        <v>1155</v>
      </c>
      <c r="I81" s="109"/>
      <c r="J81" s="4" t="s">
        <v>517</v>
      </c>
      <c r="K81" s="101">
        <f t="shared" si="1"/>
        <v>0.70436363636363641</v>
      </c>
      <c r="L81" s="109">
        <v>38.74</v>
      </c>
      <c r="M81" s="14">
        <v>1378</v>
      </c>
      <c r="V81" s="4">
        <v>79</v>
      </c>
      <c r="W81" s="4">
        <v>2462</v>
      </c>
      <c r="X81" s="109">
        <v>11.15</v>
      </c>
      <c r="Y81" s="109">
        <v>6.5</v>
      </c>
      <c r="Z81" s="109">
        <v>11.2</v>
      </c>
      <c r="AA81" s="109">
        <v>3.5</v>
      </c>
      <c r="AB81" s="109">
        <v>7</v>
      </c>
      <c r="AC81" s="109">
        <f t="shared" si="4"/>
        <v>39.349999999999994</v>
      </c>
      <c r="AE81" s="4">
        <v>79</v>
      </c>
      <c r="AF81" s="4">
        <v>2184</v>
      </c>
      <c r="AG81" s="4">
        <v>37.160000000000004</v>
      </c>
      <c r="AH81" s="109">
        <f t="shared" si="5"/>
        <v>67.563636363636377</v>
      </c>
      <c r="AI81" s="4" t="s">
        <v>293</v>
      </c>
    </row>
    <row r="82" spans="2:35" ht="15.75" customHeight="1" x14ac:dyDescent="0.3">
      <c r="B82" s="107">
        <v>12.15</v>
      </c>
      <c r="C82" s="107">
        <v>7.5</v>
      </c>
      <c r="D82" s="107">
        <v>11.52</v>
      </c>
      <c r="E82" s="107">
        <v>3.8</v>
      </c>
      <c r="F82" s="107">
        <v>6.22</v>
      </c>
      <c r="G82" s="109">
        <f t="shared" si="0"/>
        <v>41.19</v>
      </c>
      <c r="H82" s="13">
        <v>422</v>
      </c>
      <c r="I82" s="109"/>
      <c r="J82" s="4" t="s">
        <v>517</v>
      </c>
      <c r="K82" s="101">
        <f t="shared" si="1"/>
        <v>0.70527272727272727</v>
      </c>
      <c r="L82" s="109">
        <v>38.79</v>
      </c>
      <c r="M82" s="13">
        <v>461</v>
      </c>
      <c r="V82" s="4">
        <v>80</v>
      </c>
      <c r="W82" s="4">
        <v>1424</v>
      </c>
      <c r="X82" s="109">
        <v>12.62</v>
      </c>
      <c r="Y82" s="109">
        <v>4.4000000000000004</v>
      </c>
      <c r="Z82" s="109">
        <v>7.46</v>
      </c>
      <c r="AA82" s="109">
        <v>3.73</v>
      </c>
      <c r="AB82" s="109">
        <v>5.8</v>
      </c>
      <c r="AC82" s="109">
        <f t="shared" si="4"/>
        <v>34.01</v>
      </c>
      <c r="AE82" s="4">
        <v>80</v>
      </c>
      <c r="AF82" s="4">
        <v>1337</v>
      </c>
      <c r="AG82" s="4">
        <v>37.17</v>
      </c>
      <c r="AH82" s="109">
        <f t="shared" si="5"/>
        <v>67.581818181818193</v>
      </c>
      <c r="AI82" s="4" t="s">
        <v>293</v>
      </c>
    </row>
    <row r="83" spans="2:35" ht="15.75" customHeight="1" x14ac:dyDescent="0.3">
      <c r="B83" s="107">
        <v>10.26</v>
      </c>
      <c r="C83" s="107">
        <v>5.6</v>
      </c>
      <c r="D83" s="107">
        <v>9.2200000000000006</v>
      </c>
      <c r="E83" s="107">
        <v>3.5</v>
      </c>
      <c r="F83" s="107">
        <v>5.8</v>
      </c>
      <c r="G83" s="109">
        <f t="shared" si="0"/>
        <v>34.379999999999995</v>
      </c>
      <c r="H83" s="13">
        <v>194</v>
      </c>
      <c r="I83" s="109"/>
      <c r="J83" s="4" t="s">
        <v>517</v>
      </c>
      <c r="K83" s="101">
        <f t="shared" si="1"/>
        <v>0.70527272727272738</v>
      </c>
      <c r="L83" s="109">
        <v>38.790000000000006</v>
      </c>
      <c r="M83" s="13">
        <v>80</v>
      </c>
      <c r="V83" s="4">
        <v>81</v>
      </c>
      <c r="W83" s="4">
        <v>156</v>
      </c>
      <c r="X83" s="109">
        <v>13.36</v>
      </c>
      <c r="Y83" s="109">
        <v>6</v>
      </c>
      <c r="Z83" s="109">
        <v>6.5</v>
      </c>
      <c r="AA83" s="109">
        <v>3.1</v>
      </c>
      <c r="AB83" s="109">
        <v>3</v>
      </c>
      <c r="AC83" s="109">
        <f t="shared" si="4"/>
        <v>31.96</v>
      </c>
      <c r="AE83" s="4">
        <v>81</v>
      </c>
      <c r="AF83" s="4">
        <v>1661</v>
      </c>
      <c r="AG83" s="4">
        <v>37.4</v>
      </c>
      <c r="AH83" s="109">
        <f t="shared" si="5"/>
        <v>68</v>
      </c>
      <c r="AI83" s="4" t="s">
        <v>293</v>
      </c>
    </row>
    <row r="84" spans="2:35" ht="15.75" customHeight="1" x14ac:dyDescent="0.3">
      <c r="B84" s="107">
        <v>12.16</v>
      </c>
      <c r="C84" s="107">
        <v>5.14</v>
      </c>
      <c r="D84" s="107">
        <v>7.1</v>
      </c>
      <c r="E84" s="107">
        <v>3.2</v>
      </c>
      <c r="F84" s="107">
        <v>6.64</v>
      </c>
      <c r="G84" s="109">
        <f t="shared" si="0"/>
        <v>34.239999999999995</v>
      </c>
      <c r="H84" s="13">
        <v>684</v>
      </c>
      <c r="I84" s="109"/>
      <c r="J84" s="4" t="s">
        <v>517</v>
      </c>
      <c r="K84" s="101">
        <f t="shared" si="1"/>
        <v>0.70818181818181825</v>
      </c>
      <c r="L84" s="109">
        <v>38.950000000000003</v>
      </c>
      <c r="M84" s="13">
        <v>1593</v>
      </c>
      <c r="V84" s="4">
        <v>82</v>
      </c>
      <c r="W84" s="4">
        <v>1212</v>
      </c>
      <c r="X84" s="109">
        <v>13.4</v>
      </c>
      <c r="Y84" s="109">
        <v>6</v>
      </c>
      <c r="Z84" s="109">
        <v>6.5</v>
      </c>
      <c r="AA84" s="109">
        <v>2.9</v>
      </c>
      <c r="AB84" s="109">
        <v>3.99</v>
      </c>
      <c r="AC84" s="109">
        <f t="shared" si="4"/>
        <v>32.79</v>
      </c>
      <c r="AE84" s="4">
        <v>82</v>
      </c>
      <c r="AF84" s="4">
        <v>1126</v>
      </c>
      <c r="AG84" s="4">
        <v>37.450000000000003</v>
      </c>
      <c r="AH84" s="109">
        <f t="shared" si="5"/>
        <v>68.090909090909093</v>
      </c>
      <c r="AI84" s="4" t="s">
        <v>293</v>
      </c>
    </row>
    <row r="85" spans="2:35" ht="15.75" customHeight="1" x14ac:dyDescent="0.3">
      <c r="B85" s="107">
        <v>10.18</v>
      </c>
      <c r="C85" s="107">
        <v>7.71</v>
      </c>
      <c r="D85" s="107">
        <v>10.25</v>
      </c>
      <c r="E85" s="107">
        <v>3.5</v>
      </c>
      <c r="F85" s="107">
        <v>7.15</v>
      </c>
      <c r="G85" s="109">
        <f t="shared" si="0"/>
        <v>38.79</v>
      </c>
      <c r="H85" s="13">
        <v>461</v>
      </c>
      <c r="I85" s="109"/>
      <c r="J85" s="4" t="s">
        <v>517</v>
      </c>
      <c r="K85" s="101">
        <f t="shared" si="1"/>
        <v>0.71090909090909093</v>
      </c>
      <c r="L85" s="109">
        <v>39.1</v>
      </c>
      <c r="M85" s="13">
        <v>1045</v>
      </c>
      <c r="V85" s="4">
        <v>83</v>
      </c>
      <c r="W85" s="4">
        <v>20</v>
      </c>
      <c r="X85" s="109">
        <v>13.53</v>
      </c>
      <c r="Y85" s="109">
        <v>6</v>
      </c>
      <c r="Z85" s="109">
        <v>6.5</v>
      </c>
      <c r="AA85" s="109">
        <v>3.1</v>
      </c>
      <c r="AB85" s="109">
        <v>3</v>
      </c>
      <c r="AC85" s="109">
        <f t="shared" si="4"/>
        <v>32.130000000000003</v>
      </c>
      <c r="AE85" s="4">
        <v>83</v>
      </c>
      <c r="AF85" s="4">
        <v>367</v>
      </c>
      <c r="AG85" s="4">
        <v>37.53</v>
      </c>
      <c r="AH85" s="109">
        <f t="shared" si="5"/>
        <v>68.236363636363635</v>
      </c>
      <c r="AI85" s="4" t="s">
        <v>293</v>
      </c>
    </row>
    <row r="86" spans="2:35" ht="15.75" customHeight="1" x14ac:dyDescent="0.3">
      <c r="B86" s="107">
        <v>9.94</v>
      </c>
      <c r="C86" s="107">
        <v>6.8</v>
      </c>
      <c r="D86" s="107">
        <v>11.39</v>
      </c>
      <c r="E86" s="107">
        <v>3.4</v>
      </c>
      <c r="F86" s="107">
        <v>4.97</v>
      </c>
      <c r="G86" s="109">
        <f t="shared" si="0"/>
        <v>36.5</v>
      </c>
      <c r="H86" s="13">
        <v>50</v>
      </c>
      <c r="I86" s="109"/>
      <c r="J86" s="4" t="s">
        <v>517</v>
      </c>
      <c r="K86" s="101">
        <f t="shared" si="1"/>
        <v>0.71236363636363631</v>
      </c>
      <c r="L86" s="109">
        <v>39.18</v>
      </c>
      <c r="M86" s="116">
        <v>319</v>
      </c>
      <c r="V86" s="4">
        <v>84</v>
      </c>
      <c r="W86" s="4">
        <v>527</v>
      </c>
      <c r="X86" s="109">
        <v>12.71</v>
      </c>
      <c r="Y86" s="109">
        <v>4.5999999999999996</v>
      </c>
      <c r="Z86" s="109">
        <v>10.28</v>
      </c>
      <c r="AA86" s="109">
        <v>2.98</v>
      </c>
      <c r="AB86" s="109">
        <v>4.2</v>
      </c>
      <c r="AC86" s="109">
        <f t="shared" si="4"/>
        <v>34.770000000000003</v>
      </c>
      <c r="AE86" s="4">
        <v>84</v>
      </c>
      <c r="AF86" s="4">
        <v>151</v>
      </c>
      <c r="AG86" s="4">
        <v>37.64</v>
      </c>
      <c r="AH86" s="109">
        <f t="shared" si="5"/>
        <v>68.436363636363637</v>
      </c>
      <c r="AI86" s="4" t="s">
        <v>293</v>
      </c>
    </row>
    <row r="87" spans="2:35" ht="15.75" customHeight="1" x14ac:dyDescent="0.3">
      <c r="B87" s="107">
        <v>10.130000000000001</v>
      </c>
      <c r="C87" s="107">
        <v>7.69</v>
      </c>
      <c r="D87" s="107">
        <v>11.18</v>
      </c>
      <c r="E87" s="107">
        <v>3.5</v>
      </c>
      <c r="F87" s="107">
        <v>8.2799999999999994</v>
      </c>
      <c r="G87" s="109">
        <f t="shared" si="0"/>
        <v>40.78</v>
      </c>
      <c r="H87" s="13">
        <v>1554</v>
      </c>
      <c r="I87" s="109"/>
      <c r="J87" s="4" t="s">
        <v>517</v>
      </c>
      <c r="K87" s="101">
        <f t="shared" si="1"/>
        <v>0.71327272727272739</v>
      </c>
      <c r="L87" s="109">
        <v>39.230000000000004</v>
      </c>
      <c r="M87" s="13">
        <v>54</v>
      </c>
      <c r="V87" s="4">
        <v>85</v>
      </c>
      <c r="W87" s="4">
        <v>457</v>
      </c>
      <c r="X87" s="109">
        <v>13.65</v>
      </c>
      <c r="Y87" s="109">
        <v>3.9</v>
      </c>
      <c r="Z87" s="109">
        <v>8.26</v>
      </c>
      <c r="AA87" s="109">
        <v>3.1</v>
      </c>
      <c r="AB87" s="109">
        <v>6.3</v>
      </c>
      <c r="AC87" s="109">
        <f t="shared" si="4"/>
        <v>35.21</v>
      </c>
      <c r="AE87" s="4">
        <v>85</v>
      </c>
      <c r="AF87" s="4">
        <v>53</v>
      </c>
      <c r="AG87" s="4">
        <v>37.75</v>
      </c>
      <c r="AH87" s="109">
        <f t="shared" si="5"/>
        <v>68.63636363636364</v>
      </c>
      <c r="AI87" s="4" t="s">
        <v>293</v>
      </c>
    </row>
    <row r="88" spans="2:35" ht="15.75" customHeight="1" x14ac:dyDescent="0.3">
      <c r="B88" s="107">
        <v>10.16</v>
      </c>
      <c r="C88" s="107">
        <v>5.34</v>
      </c>
      <c r="D88" s="107">
        <v>11.53</v>
      </c>
      <c r="E88" s="107">
        <v>4.0999999999999996</v>
      </c>
      <c r="F88" s="107">
        <v>7</v>
      </c>
      <c r="G88" s="109">
        <f t="shared" si="0"/>
        <v>38.130000000000003</v>
      </c>
      <c r="H88" s="13">
        <v>745</v>
      </c>
      <c r="I88" s="109"/>
      <c r="J88" s="4" t="s">
        <v>517</v>
      </c>
      <c r="K88" s="101">
        <f t="shared" si="1"/>
        <v>0.71836363636363632</v>
      </c>
      <c r="L88" s="109">
        <v>39.51</v>
      </c>
      <c r="M88" s="14">
        <v>45</v>
      </c>
      <c r="V88" s="4">
        <v>86</v>
      </c>
      <c r="W88" s="4">
        <v>107</v>
      </c>
      <c r="X88" s="109">
        <v>13.38</v>
      </c>
      <c r="Y88" s="109">
        <v>6</v>
      </c>
      <c r="Z88" s="109">
        <v>6.5</v>
      </c>
      <c r="AA88" s="109">
        <v>3.1</v>
      </c>
      <c r="AB88" s="109">
        <v>3</v>
      </c>
      <c r="AC88" s="109">
        <f t="shared" si="4"/>
        <v>31.980000000000004</v>
      </c>
      <c r="AE88" s="4">
        <v>86</v>
      </c>
      <c r="AF88" s="4">
        <v>350</v>
      </c>
      <c r="AG88" s="4">
        <v>38.019999999999996</v>
      </c>
      <c r="AH88" s="109">
        <f t="shared" si="5"/>
        <v>69.127272727272711</v>
      </c>
      <c r="AI88" s="4" t="s">
        <v>293</v>
      </c>
    </row>
    <row r="89" spans="2:35" ht="15.75" customHeight="1" x14ac:dyDescent="0.3">
      <c r="B89" s="107">
        <v>13.38</v>
      </c>
      <c r="C89" s="107">
        <v>4.25</v>
      </c>
      <c r="D89" s="107">
        <v>12.11</v>
      </c>
      <c r="E89" s="107">
        <v>4.25</v>
      </c>
      <c r="F89" s="107">
        <v>7.38</v>
      </c>
      <c r="G89" s="109">
        <f t="shared" si="0"/>
        <v>41.370000000000005</v>
      </c>
      <c r="H89" s="13">
        <v>230</v>
      </c>
      <c r="I89" s="109"/>
      <c r="J89" s="4" t="s">
        <v>517</v>
      </c>
      <c r="K89" s="101">
        <f t="shared" si="1"/>
        <v>0.7198181818181818</v>
      </c>
      <c r="L89" s="109">
        <v>39.589999999999996</v>
      </c>
      <c r="M89" s="13">
        <v>1096</v>
      </c>
      <c r="V89" s="4">
        <v>87</v>
      </c>
      <c r="W89" s="4">
        <v>39</v>
      </c>
      <c r="X89" s="109">
        <v>14.35</v>
      </c>
      <c r="Y89" s="109">
        <v>4.5999999999999996</v>
      </c>
      <c r="Z89" s="109">
        <v>7.7</v>
      </c>
      <c r="AA89" s="109">
        <v>3.1</v>
      </c>
      <c r="AB89" s="109">
        <v>3</v>
      </c>
      <c r="AC89" s="109">
        <f t="shared" si="4"/>
        <v>32.75</v>
      </c>
      <c r="AE89" s="4">
        <v>87</v>
      </c>
      <c r="AF89" s="4">
        <v>745</v>
      </c>
      <c r="AG89" s="4">
        <v>38.130000000000003</v>
      </c>
      <c r="AH89" s="109">
        <f t="shared" si="5"/>
        <v>69.327272727272742</v>
      </c>
      <c r="AI89" s="4" t="s">
        <v>293</v>
      </c>
    </row>
    <row r="90" spans="2:35" ht="15.75" customHeight="1" x14ac:dyDescent="0.3">
      <c r="B90" s="107">
        <v>11.4</v>
      </c>
      <c r="C90" s="107">
        <v>7</v>
      </c>
      <c r="D90" s="107">
        <v>12.63</v>
      </c>
      <c r="E90" s="107">
        <v>3.5</v>
      </c>
      <c r="F90" s="107">
        <v>3</v>
      </c>
      <c r="G90" s="109">
        <f t="shared" si="0"/>
        <v>37.53</v>
      </c>
      <c r="H90" s="13">
        <v>367</v>
      </c>
      <c r="I90" s="109"/>
      <c r="J90" s="4" t="s">
        <v>517</v>
      </c>
      <c r="K90" s="101">
        <f t="shared" si="1"/>
        <v>0.7198181818181818</v>
      </c>
      <c r="L90" s="109">
        <v>39.589999999999996</v>
      </c>
      <c r="M90" s="13">
        <v>1787</v>
      </c>
      <c r="V90" s="4">
        <v>88</v>
      </c>
      <c r="W90" s="4">
        <v>282</v>
      </c>
      <c r="X90" s="109">
        <v>13.54</v>
      </c>
      <c r="Y90" s="109">
        <v>3.8</v>
      </c>
      <c r="Z90" s="109">
        <v>9.6999999999999993</v>
      </c>
      <c r="AA90" s="109">
        <v>2.9</v>
      </c>
      <c r="AB90" s="109">
        <v>3</v>
      </c>
      <c r="AC90" s="109">
        <f t="shared" si="4"/>
        <v>32.94</v>
      </c>
      <c r="AE90" s="4">
        <v>88</v>
      </c>
      <c r="AF90" s="4">
        <v>461</v>
      </c>
      <c r="AG90" s="4">
        <v>38.290000000000006</v>
      </c>
      <c r="AH90" s="109">
        <f t="shared" si="5"/>
        <v>69.618181818181839</v>
      </c>
      <c r="AI90" s="4" t="s">
        <v>293</v>
      </c>
    </row>
    <row r="91" spans="2:35" ht="15.75" customHeight="1" x14ac:dyDescent="0.3">
      <c r="B91" s="107">
        <v>5.77</v>
      </c>
      <c r="C91" s="107">
        <v>7</v>
      </c>
      <c r="D91" s="107">
        <v>12.27</v>
      </c>
      <c r="E91" s="107">
        <v>3.5</v>
      </c>
      <c r="F91" s="107">
        <v>7</v>
      </c>
      <c r="G91" s="109">
        <f t="shared" si="0"/>
        <v>35.54</v>
      </c>
      <c r="H91" s="13">
        <v>215</v>
      </c>
      <c r="I91" s="109"/>
      <c r="J91" s="4" t="s">
        <v>517</v>
      </c>
      <c r="K91" s="101">
        <f t="shared" si="1"/>
        <v>0.72290909090909083</v>
      </c>
      <c r="L91" s="109">
        <v>39.76</v>
      </c>
      <c r="M91" s="116">
        <v>1000</v>
      </c>
      <c r="V91" s="4">
        <v>89</v>
      </c>
      <c r="W91" s="4">
        <v>726</v>
      </c>
      <c r="X91" s="109">
        <v>13.27</v>
      </c>
      <c r="Y91" s="109">
        <v>5.9</v>
      </c>
      <c r="Z91" s="109">
        <v>6.5</v>
      </c>
      <c r="AA91" s="109">
        <v>3.1</v>
      </c>
      <c r="AB91" s="109">
        <v>3</v>
      </c>
      <c r="AC91" s="109">
        <f t="shared" si="4"/>
        <v>31.770000000000003</v>
      </c>
      <c r="AE91" s="4">
        <v>89</v>
      </c>
      <c r="AF91" s="4">
        <v>1372</v>
      </c>
      <c r="AG91" s="4">
        <v>38.31</v>
      </c>
      <c r="AH91" s="109">
        <f t="shared" si="5"/>
        <v>69.654545454545456</v>
      </c>
      <c r="AI91" s="4" t="s">
        <v>293</v>
      </c>
    </row>
    <row r="92" spans="2:35" ht="15.75" customHeight="1" x14ac:dyDescent="0.3">
      <c r="B92" s="107">
        <v>11.76</v>
      </c>
      <c r="C92" s="107">
        <v>7</v>
      </c>
      <c r="D92" s="107">
        <v>12.63</v>
      </c>
      <c r="E92" s="107">
        <v>3.5</v>
      </c>
      <c r="F92" s="107">
        <v>7</v>
      </c>
      <c r="G92" s="109">
        <f t="shared" si="0"/>
        <v>41.89</v>
      </c>
      <c r="H92" s="13">
        <v>165</v>
      </c>
      <c r="I92" s="109"/>
      <c r="J92" s="4" t="s">
        <v>517</v>
      </c>
      <c r="K92" s="101">
        <f t="shared" si="1"/>
        <v>0.72309090909090912</v>
      </c>
      <c r="L92" s="109">
        <v>39.770000000000003</v>
      </c>
      <c r="M92" s="116">
        <v>1046</v>
      </c>
      <c r="V92" s="4">
        <v>90</v>
      </c>
      <c r="W92" s="4">
        <v>63</v>
      </c>
      <c r="X92" s="109">
        <v>13.46</v>
      </c>
      <c r="Y92" s="109">
        <v>6</v>
      </c>
      <c r="Z92" s="109">
        <v>6.5</v>
      </c>
      <c r="AA92" s="109">
        <v>3.1</v>
      </c>
      <c r="AB92" s="109">
        <v>3</v>
      </c>
      <c r="AC92" s="109">
        <f t="shared" si="4"/>
        <v>32.06</v>
      </c>
      <c r="AE92" s="4">
        <v>90</v>
      </c>
      <c r="AF92" s="4">
        <v>1074</v>
      </c>
      <c r="AG92" s="4">
        <v>38.42</v>
      </c>
      <c r="AH92" s="109">
        <f t="shared" si="5"/>
        <v>69.854545454545459</v>
      </c>
      <c r="AI92" s="4" t="s">
        <v>293</v>
      </c>
    </row>
    <row r="93" spans="2:35" ht="15.75" customHeight="1" x14ac:dyDescent="0.3">
      <c r="B93" s="107">
        <v>7.1</v>
      </c>
      <c r="C93" s="107">
        <v>5.75</v>
      </c>
      <c r="D93" s="107">
        <v>10.050000000000001</v>
      </c>
      <c r="E93" s="107">
        <v>4.03</v>
      </c>
      <c r="F93" s="107">
        <v>7</v>
      </c>
      <c r="G93" s="109">
        <f t="shared" si="0"/>
        <v>33.93</v>
      </c>
      <c r="H93" s="13">
        <v>629</v>
      </c>
      <c r="I93" s="109"/>
      <c r="J93" s="4" t="s">
        <v>517</v>
      </c>
      <c r="K93" s="101">
        <f t="shared" si="1"/>
        <v>0.72436363636363632</v>
      </c>
      <c r="L93" s="109">
        <v>39.839999999999996</v>
      </c>
      <c r="M93" s="14">
        <v>108</v>
      </c>
      <c r="V93" s="4">
        <v>91</v>
      </c>
      <c r="W93" s="4">
        <v>70</v>
      </c>
      <c r="X93" s="109">
        <v>15</v>
      </c>
      <c r="Y93" s="109">
        <v>5</v>
      </c>
      <c r="Z93" s="109">
        <v>7.14</v>
      </c>
      <c r="AA93" s="109">
        <v>3.1</v>
      </c>
      <c r="AB93" s="109">
        <v>3</v>
      </c>
      <c r="AC93" s="109">
        <f t="shared" si="4"/>
        <v>33.24</v>
      </c>
      <c r="AE93" s="4">
        <v>91</v>
      </c>
      <c r="AF93" s="4">
        <v>1513</v>
      </c>
      <c r="AG93" s="4">
        <v>38.43</v>
      </c>
      <c r="AH93" s="109">
        <f t="shared" si="5"/>
        <v>69.872727272727275</v>
      </c>
      <c r="AI93" s="4" t="s">
        <v>293</v>
      </c>
    </row>
    <row r="94" spans="2:35" ht="15.75" customHeight="1" x14ac:dyDescent="0.3">
      <c r="B94" s="107">
        <v>11.26</v>
      </c>
      <c r="C94" s="107">
        <v>4</v>
      </c>
      <c r="D94" s="107">
        <v>7.3</v>
      </c>
      <c r="E94" s="107">
        <v>3.58</v>
      </c>
      <c r="F94" s="107">
        <v>5.8</v>
      </c>
      <c r="G94" s="109">
        <f t="shared" si="0"/>
        <v>31.94</v>
      </c>
      <c r="H94" s="13">
        <v>2340</v>
      </c>
      <c r="I94" s="109"/>
      <c r="J94" s="4" t="s">
        <v>517</v>
      </c>
      <c r="K94" s="101">
        <f t="shared" si="1"/>
        <v>0.7285454545454545</v>
      </c>
      <c r="L94" s="109">
        <v>40.07</v>
      </c>
      <c r="M94" s="14">
        <v>69</v>
      </c>
      <c r="V94" s="4">
        <v>92</v>
      </c>
      <c r="W94" s="4">
        <v>53</v>
      </c>
      <c r="X94" s="109">
        <v>14.81</v>
      </c>
      <c r="Y94" s="109">
        <v>6.2</v>
      </c>
      <c r="Z94" s="109">
        <v>9.8800000000000008</v>
      </c>
      <c r="AA94" s="109">
        <v>2.7</v>
      </c>
      <c r="AB94" s="109">
        <v>4.16</v>
      </c>
      <c r="AC94" s="109">
        <f t="shared" si="4"/>
        <v>37.75</v>
      </c>
      <c r="AE94" s="4">
        <v>92</v>
      </c>
      <c r="AF94" s="4">
        <v>1274</v>
      </c>
      <c r="AG94" s="4">
        <v>38.650000000000006</v>
      </c>
      <c r="AH94" s="109">
        <f t="shared" si="5"/>
        <v>70.27272727272728</v>
      </c>
      <c r="AI94" s="4" t="s">
        <v>293</v>
      </c>
    </row>
    <row r="95" spans="2:35" ht="15.75" customHeight="1" x14ac:dyDescent="0.3">
      <c r="B95" s="107">
        <v>10.99</v>
      </c>
      <c r="C95" s="107">
        <v>6.82</v>
      </c>
      <c r="D95" s="107">
        <v>12.51</v>
      </c>
      <c r="E95" s="107">
        <v>4.25</v>
      </c>
      <c r="F95" s="107">
        <v>7</v>
      </c>
      <c r="G95" s="109">
        <f t="shared" si="0"/>
        <v>41.57</v>
      </c>
      <c r="H95" s="13">
        <v>789</v>
      </c>
      <c r="I95" s="109"/>
      <c r="J95" s="4" t="s">
        <v>517</v>
      </c>
      <c r="K95" s="101">
        <f t="shared" si="1"/>
        <v>0.7365454545454545</v>
      </c>
      <c r="L95" s="109">
        <v>40.51</v>
      </c>
      <c r="M95" s="14">
        <v>54</v>
      </c>
      <c r="V95" s="4">
        <v>93</v>
      </c>
      <c r="W95" s="4">
        <v>193</v>
      </c>
      <c r="X95" s="109">
        <v>11.04</v>
      </c>
      <c r="Y95" s="109">
        <v>6.95</v>
      </c>
      <c r="Z95" s="109">
        <v>7.86</v>
      </c>
      <c r="AA95" s="109">
        <v>3.45</v>
      </c>
      <c r="AB95" s="109">
        <v>0</v>
      </c>
      <c r="AC95" s="109">
        <f t="shared" si="4"/>
        <v>29.299999999999997</v>
      </c>
      <c r="AE95" s="4">
        <v>93</v>
      </c>
      <c r="AF95" s="4">
        <v>1185</v>
      </c>
      <c r="AG95" s="4">
        <v>38.67</v>
      </c>
      <c r="AH95" s="109">
        <f t="shared" si="5"/>
        <v>70.309090909090912</v>
      </c>
      <c r="AI95" s="4" t="s">
        <v>293</v>
      </c>
    </row>
    <row r="96" spans="2:35" ht="15.75" customHeight="1" x14ac:dyDescent="0.3">
      <c r="B96" s="107">
        <v>11</v>
      </c>
      <c r="C96" s="107">
        <v>7</v>
      </c>
      <c r="D96" s="107">
        <v>12.63</v>
      </c>
      <c r="E96" s="107">
        <v>3.5</v>
      </c>
      <c r="F96" s="107">
        <v>3</v>
      </c>
      <c r="G96" s="109">
        <f t="shared" si="0"/>
        <v>37.130000000000003</v>
      </c>
      <c r="H96" s="13">
        <v>209</v>
      </c>
      <c r="I96" s="109"/>
      <c r="J96" s="4" t="s">
        <v>517</v>
      </c>
      <c r="K96" s="101">
        <f t="shared" si="1"/>
        <v>0.73672727272727279</v>
      </c>
      <c r="L96" s="109">
        <v>40.520000000000003</v>
      </c>
      <c r="M96" s="13">
        <v>695</v>
      </c>
      <c r="V96" s="4">
        <v>94</v>
      </c>
      <c r="W96" s="4">
        <v>455</v>
      </c>
      <c r="X96" s="109">
        <v>11.42</v>
      </c>
      <c r="Y96" s="109">
        <v>4.24</v>
      </c>
      <c r="Z96" s="109">
        <v>6.1</v>
      </c>
      <c r="AA96" s="109">
        <v>3.5</v>
      </c>
      <c r="AB96" s="109">
        <v>0</v>
      </c>
      <c r="AC96" s="109">
        <f t="shared" si="4"/>
        <v>25.259999999999998</v>
      </c>
      <c r="AE96" s="4">
        <v>94</v>
      </c>
      <c r="AF96" s="4">
        <v>1779</v>
      </c>
      <c r="AG96" s="4">
        <v>38.680000000000007</v>
      </c>
      <c r="AH96" s="109">
        <f t="shared" si="5"/>
        <v>70.327272727272742</v>
      </c>
      <c r="AI96" s="4" t="s">
        <v>293</v>
      </c>
    </row>
    <row r="97" spans="2:35" ht="15.75" customHeight="1" x14ac:dyDescent="0.3">
      <c r="B97" s="107">
        <v>14.25</v>
      </c>
      <c r="C97" s="107">
        <v>7.08</v>
      </c>
      <c r="D97" s="107">
        <v>12.63</v>
      </c>
      <c r="E97" s="107">
        <v>3.5</v>
      </c>
      <c r="F97" s="107">
        <v>7</v>
      </c>
      <c r="G97" s="109">
        <f t="shared" si="0"/>
        <v>44.46</v>
      </c>
      <c r="H97" s="13">
        <v>13</v>
      </c>
      <c r="I97" s="109"/>
      <c r="J97" s="4" t="s">
        <v>517</v>
      </c>
      <c r="K97" s="101">
        <f t="shared" si="1"/>
        <v>0.73672727272727279</v>
      </c>
      <c r="L97" s="109">
        <v>40.520000000000003</v>
      </c>
      <c r="M97" s="13">
        <v>463</v>
      </c>
      <c r="V97" s="4">
        <v>95</v>
      </c>
      <c r="W97" s="4">
        <v>16</v>
      </c>
      <c r="X97" s="109">
        <v>13.4</v>
      </c>
      <c r="Y97" s="109">
        <v>6</v>
      </c>
      <c r="Z97" s="109">
        <v>6.9</v>
      </c>
      <c r="AA97" s="109">
        <v>3.1</v>
      </c>
      <c r="AB97" s="109">
        <v>3</v>
      </c>
      <c r="AC97" s="109">
        <f t="shared" si="4"/>
        <v>32.4</v>
      </c>
      <c r="AE97" s="4">
        <v>95</v>
      </c>
      <c r="AF97" s="4">
        <v>1094</v>
      </c>
      <c r="AG97" s="4">
        <v>38.700000000000003</v>
      </c>
      <c r="AH97" s="109">
        <f t="shared" si="5"/>
        <v>70.363636363636374</v>
      </c>
      <c r="AI97" s="4" t="s">
        <v>293</v>
      </c>
    </row>
    <row r="98" spans="2:35" ht="15.75" customHeight="1" x14ac:dyDescent="0.3">
      <c r="B98" s="107">
        <v>13.4</v>
      </c>
      <c r="C98" s="107">
        <v>4.28</v>
      </c>
      <c r="D98" s="107">
        <v>10.3</v>
      </c>
      <c r="E98" s="107">
        <v>4.25</v>
      </c>
      <c r="F98" s="107">
        <v>7</v>
      </c>
      <c r="G98" s="109">
        <f t="shared" si="0"/>
        <v>39.230000000000004</v>
      </c>
      <c r="H98" s="13">
        <v>54</v>
      </c>
      <c r="I98" s="109"/>
      <c r="J98" s="4" t="s">
        <v>517</v>
      </c>
      <c r="K98" s="101">
        <f t="shared" si="1"/>
        <v>0.73727272727272719</v>
      </c>
      <c r="L98" s="109">
        <v>40.549999999999997</v>
      </c>
      <c r="M98" s="117">
        <v>661</v>
      </c>
      <c r="V98" s="4">
        <v>96</v>
      </c>
      <c r="W98" s="4">
        <v>32</v>
      </c>
      <c r="X98" s="109">
        <v>13.5</v>
      </c>
      <c r="Y98" s="109">
        <v>6</v>
      </c>
      <c r="Z98" s="109">
        <v>6.5</v>
      </c>
      <c r="AA98" s="109">
        <v>3.1</v>
      </c>
      <c r="AB98" s="109">
        <v>3</v>
      </c>
      <c r="AC98" s="109">
        <f t="shared" si="4"/>
        <v>32.1</v>
      </c>
      <c r="AE98" s="4">
        <v>96</v>
      </c>
      <c r="AF98" s="4">
        <v>1378</v>
      </c>
      <c r="AG98" s="4">
        <v>38.74</v>
      </c>
      <c r="AH98" s="109">
        <f t="shared" si="5"/>
        <v>70.436363636363637</v>
      </c>
      <c r="AI98" s="4" t="s">
        <v>293</v>
      </c>
    </row>
    <row r="99" spans="2:35" ht="15.75" customHeight="1" x14ac:dyDescent="0.3">
      <c r="B99" s="107">
        <v>13.94</v>
      </c>
      <c r="C99" s="107">
        <v>5.7</v>
      </c>
      <c r="D99" s="107">
        <v>8.8800000000000008</v>
      </c>
      <c r="E99" s="107">
        <v>1.5</v>
      </c>
      <c r="F99" s="107">
        <v>5.08</v>
      </c>
      <c r="G99" s="109">
        <f t="shared" si="0"/>
        <v>35.1</v>
      </c>
      <c r="H99" s="13">
        <v>1332</v>
      </c>
      <c r="I99" s="109"/>
      <c r="J99" s="4" t="s">
        <v>517</v>
      </c>
      <c r="K99" s="101">
        <f t="shared" si="1"/>
        <v>0.74127272727272719</v>
      </c>
      <c r="L99" s="109">
        <v>40.769999999999996</v>
      </c>
      <c r="M99" s="116">
        <v>2056</v>
      </c>
      <c r="V99" s="4">
        <v>97</v>
      </c>
      <c r="W99" s="4">
        <v>46</v>
      </c>
      <c r="X99" s="109">
        <v>15</v>
      </c>
      <c r="Y99" s="109">
        <v>5.9</v>
      </c>
      <c r="Z99" s="109">
        <v>7.3</v>
      </c>
      <c r="AA99" s="109">
        <v>3.1</v>
      </c>
      <c r="AB99" s="109">
        <v>3</v>
      </c>
      <c r="AC99" s="109">
        <f t="shared" si="4"/>
        <v>34.299999999999997</v>
      </c>
      <c r="AE99" s="4">
        <v>97</v>
      </c>
      <c r="AF99" s="4">
        <v>461</v>
      </c>
      <c r="AG99" s="4">
        <v>38.79</v>
      </c>
      <c r="AH99" s="109">
        <f t="shared" si="5"/>
        <v>70.527272727272731</v>
      </c>
      <c r="AI99" s="4" t="s">
        <v>293</v>
      </c>
    </row>
    <row r="100" spans="2:35" ht="15.75" customHeight="1" x14ac:dyDescent="0.3">
      <c r="B100" s="107">
        <v>14.34</v>
      </c>
      <c r="C100" s="107">
        <v>6.48</v>
      </c>
      <c r="D100" s="107">
        <v>10.51</v>
      </c>
      <c r="E100" s="107">
        <v>3.73</v>
      </c>
      <c r="F100" s="107">
        <v>6.2</v>
      </c>
      <c r="G100" s="109">
        <f t="shared" si="0"/>
        <v>41.26</v>
      </c>
      <c r="H100" s="13">
        <v>1058</v>
      </c>
      <c r="I100" s="109"/>
      <c r="J100" s="4" t="s">
        <v>517</v>
      </c>
      <c r="K100" s="101">
        <f t="shared" si="1"/>
        <v>0.74145454545454548</v>
      </c>
      <c r="L100" s="109">
        <v>40.78</v>
      </c>
      <c r="M100" s="13">
        <v>1554</v>
      </c>
      <c r="V100" s="4">
        <v>98</v>
      </c>
      <c r="W100" s="4">
        <v>59</v>
      </c>
      <c r="X100" s="109">
        <v>13.21</v>
      </c>
      <c r="Y100" s="109">
        <v>6</v>
      </c>
      <c r="Z100" s="109">
        <v>6.5</v>
      </c>
      <c r="AA100" s="109">
        <v>3.1</v>
      </c>
      <c r="AB100" s="109">
        <v>3</v>
      </c>
      <c r="AC100" s="109">
        <f t="shared" si="4"/>
        <v>31.810000000000002</v>
      </c>
      <c r="AE100" s="4">
        <v>98</v>
      </c>
      <c r="AF100" s="4">
        <v>1763</v>
      </c>
      <c r="AG100" s="4">
        <v>38.869999999999997</v>
      </c>
      <c r="AH100" s="109">
        <f t="shared" si="5"/>
        <v>70.672727272727258</v>
      </c>
      <c r="AI100" s="4" t="s">
        <v>293</v>
      </c>
    </row>
    <row r="101" spans="2:35" ht="15.75" customHeight="1" x14ac:dyDescent="0.3">
      <c r="B101" s="107">
        <v>13.31</v>
      </c>
      <c r="C101" s="107">
        <v>6</v>
      </c>
      <c r="D101" s="107">
        <v>8.68</v>
      </c>
      <c r="E101" s="107">
        <v>4.03</v>
      </c>
      <c r="F101" s="107">
        <v>7.08</v>
      </c>
      <c r="G101" s="109">
        <f t="shared" si="0"/>
        <v>39.1</v>
      </c>
      <c r="H101" s="13">
        <v>1045</v>
      </c>
      <c r="I101" s="109"/>
      <c r="J101" s="4" t="s">
        <v>517</v>
      </c>
      <c r="K101" s="101">
        <f t="shared" si="1"/>
        <v>0.74181818181818182</v>
      </c>
      <c r="L101" s="109">
        <v>40.799999999999997</v>
      </c>
      <c r="M101" s="116">
        <v>1057</v>
      </c>
      <c r="V101" s="4">
        <v>99</v>
      </c>
      <c r="W101" s="4">
        <v>119</v>
      </c>
      <c r="X101" s="109">
        <v>14.56</v>
      </c>
      <c r="Y101" s="109">
        <v>5.9</v>
      </c>
      <c r="Z101" s="109">
        <v>6.5</v>
      </c>
      <c r="AA101" s="109">
        <v>2.9</v>
      </c>
      <c r="AB101" s="109">
        <v>3</v>
      </c>
      <c r="AC101" s="109">
        <f t="shared" si="4"/>
        <v>32.86</v>
      </c>
      <c r="AE101" s="4">
        <v>99</v>
      </c>
      <c r="AF101" s="4">
        <v>777</v>
      </c>
      <c r="AG101" s="4">
        <v>38.879999999999995</v>
      </c>
      <c r="AH101" s="109">
        <f t="shared" si="5"/>
        <v>70.690909090909088</v>
      </c>
      <c r="AI101" s="4" t="s">
        <v>293</v>
      </c>
    </row>
    <row r="102" spans="2:35" ht="15.75" customHeight="1" x14ac:dyDescent="0.3">
      <c r="B102" s="107">
        <v>11.2</v>
      </c>
      <c r="C102" s="107">
        <v>7.71</v>
      </c>
      <c r="D102" s="107">
        <v>11.75</v>
      </c>
      <c r="E102" s="107">
        <v>3.8</v>
      </c>
      <c r="F102" s="107">
        <v>7.24</v>
      </c>
      <c r="G102" s="109">
        <f t="shared" si="0"/>
        <v>41.7</v>
      </c>
      <c r="H102" s="13">
        <v>1273</v>
      </c>
      <c r="I102" s="109"/>
      <c r="J102" s="4" t="s">
        <v>517</v>
      </c>
      <c r="K102" s="101">
        <f t="shared" si="1"/>
        <v>0.74818181818181817</v>
      </c>
      <c r="L102" s="109">
        <v>41.15</v>
      </c>
      <c r="M102" s="14">
        <v>42</v>
      </c>
      <c r="V102" s="4">
        <v>100</v>
      </c>
      <c r="W102" s="4">
        <v>1926</v>
      </c>
      <c r="X102" s="109">
        <v>11.26</v>
      </c>
      <c r="Y102" s="109">
        <v>4.2</v>
      </c>
      <c r="Z102" s="109">
        <v>7.62</v>
      </c>
      <c r="AA102" s="109">
        <v>3.5</v>
      </c>
      <c r="AB102" s="109">
        <v>4.76</v>
      </c>
      <c r="AC102" s="109">
        <f t="shared" si="4"/>
        <v>31.340000000000003</v>
      </c>
      <c r="AE102" s="4">
        <v>100</v>
      </c>
      <c r="AF102" s="4">
        <v>1593</v>
      </c>
      <c r="AG102" s="4">
        <v>38.950000000000003</v>
      </c>
      <c r="AH102" s="109">
        <f t="shared" si="5"/>
        <v>70.818181818181827</v>
      </c>
      <c r="AI102" s="4" t="s">
        <v>293</v>
      </c>
    </row>
    <row r="103" spans="2:35" ht="15.75" customHeight="1" x14ac:dyDescent="0.3">
      <c r="B103" s="107">
        <v>11.91</v>
      </c>
      <c r="C103" s="107">
        <v>4.46</v>
      </c>
      <c r="D103" s="107">
        <v>8.02</v>
      </c>
      <c r="E103" s="107">
        <v>3.65</v>
      </c>
      <c r="F103" s="107">
        <v>5.56</v>
      </c>
      <c r="G103" s="109">
        <f t="shared" si="0"/>
        <v>33.6</v>
      </c>
      <c r="H103" s="13">
        <v>2433</v>
      </c>
      <c r="I103" s="109"/>
      <c r="J103" s="4" t="s">
        <v>517</v>
      </c>
      <c r="K103" s="101">
        <f t="shared" si="1"/>
        <v>0.74854545454545462</v>
      </c>
      <c r="L103" s="109">
        <v>41.17</v>
      </c>
      <c r="M103" s="14">
        <v>56</v>
      </c>
      <c r="V103" s="4">
        <v>101</v>
      </c>
      <c r="W103" s="4">
        <v>165</v>
      </c>
      <c r="X103" s="109">
        <v>13.86</v>
      </c>
      <c r="Y103" s="109">
        <v>7.15</v>
      </c>
      <c r="Z103" s="109">
        <v>11.1</v>
      </c>
      <c r="AA103" s="109">
        <v>3.65</v>
      </c>
      <c r="AB103" s="109">
        <v>7.75</v>
      </c>
      <c r="AC103" s="109">
        <f t="shared" si="4"/>
        <v>43.51</v>
      </c>
      <c r="AE103" s="4">
        <v>101</v>
      </c>
      <c r="AF103" s="4">
        <v>1449</v>
      </c>
      <c r="AG103" s="4">
        <v>39.1</v>
      </c>
      <c r="AH103" s="109">
        <f t="shared" si="5"/>
        <v>71.090909090909093</v>
      </c>
      <c r="AI103" s="4" t="s">
        <v>293</v>
      </c>
    </row>
    <row r="104" spans="2:35" ht="15.75" customHeight="1" x14ac:dyDescent="0.3">
      <c r="B104" s="107">
        <v>14.91</v>
      </c>
      <c r="C104" s="107">
        <v>8.5</v>
      </c>
      <c r="D104" s="107">
        <v>11.1</v>
      </c>
      <c r="E104" s="107">
        <v>4.25</v>
      </c>
      <c r="F104" s="107">
        <v>6.55</v>
      </c>
      <c r="G104" s="109">
        <f t="shared" si="0"/>
        <v>45.309999999999995</v>
      </c>
      <c r="H104" s="13">
        <v>1403</v>
      </c>
      <c r="I104" s="109"/>
      <c r="J104" s="4" t="s">
        <v>517</v>
      </c>
      <c r="K104" s="101">
        <f t="shared" si="1"/>
        <v>0.74890909090909086</v>
      </c>
      <c r="L104" s="109">
        <v>41.19</v>
      </c>
      <c r="M104" s="13">
        <v>422</v>
      </c>
      <c r="V104" s="4">
        <v>102</v>
      </c>
      <c r="W104" s="4">
        <v>551</v>
      </c>
      <c r="X104" s="109">
        <v>12.53</v>
      </c>
      <c r="Y104" s="109">
        <v>5.09</v>
      </c>
      <c r="Z104" s="109">
        <v>8.9</v>
      </c>
      <c r="AA104" s="109">
        <v>3.58</v>
      </c>
      <c r="AB104" s="109">
        <v>5.96</v>
      </c>
      <c r="AC104" s="109">
        <f t="shared" si="4"/>
        <v>36.059999999999995</v>
      </c>
      <c r="AE104" s="4">
        <v>102</v>
      </c>
      <c r="AF104" s="4">
        <v>1045</v>
      </c>
      <c r="AG104" s="4">
        <v>39.1</v>
      </c>
      <c r="AH104" s="109">
        <f t="shared" si="5"/>
        <v>71.090909090909093</v>
      </c>
      <c r="AI104" s="4" t="s">
        <v>293</v>
      </c>
    </row>
    <row r="105" spans="2:35" ht="15.75" customHeight="1" x14ac:dyDescent="0.3">
      <c r="B105" s="115">
        <v>9.6300000000000008</v>
      </c>
      <c r="C105" s="115">
        <v>7.23</v>
      </c>
      <c r="D105" s="115">
        <v>11.72</v>
      </c>
      <c r="E105" s="115">
        <v>4.18</v>
      </c>
      <c r="F105" s="115">
        <v>7</v>
      </c>
      <c r="G105" s="109">
        <f t="shared" si="0"/>
        <v>39.76</v>
      </c>
      <c r="H105" s="116">
        <v>1000</v>
      </c>
      <c r="I105" s="109"/>
      <c r="J105" s="4" t="s">
        <v>517</v>
      </c>
      <c r="K105" s="101">
        <f t="shared" si="1"/>
        <v>0.74945454545454548</v>
      </c>
      <c r="L105" s="109">
        <v>41.22</v>
      </c>
      <c r="M105" s="14">
        <v>51</v>
      </c>
      <c r="V105" s="4">
        <v>103</v>
      </c>
      <c r="W105" s="4">
        <v>2946</v>
      </c>
      <c r="X105" s="109">
        <v>13.4</v>
      </c>
      <c r="Y105" s="109">
        <v>4.34</v>
      </c>
      <c r="Z105" s="109">
        <v>6.02</v>
      </c>
      <c r="AA105" s="109">
        <v>2.9</v>
      </c>
      <c r="AB105" s="109">
        <v>4.76</v>
      </c>
      <c r="AC105" s="109">
        <f t="shared" si="4"/>
        <v>31.42</v>
      </c>
      <c r="AE105" s="4">
        <v>103</v>
      </c>
      <c r="AF105" s="4">
        <v>1430</v>
      </c>
      <c r="AG105" s="4">
        <v>39.22</v>
      </c>
      <c r="AH105" s="109">
        <f t="shared" si="5"/>
        <v>71.309090909090912</v>
      </c>
      <c r="AI105" s="4" t="s">
        <v>293</v>
      </c>
    </row>
    <row r="106" spans="2:35" ht="15.75" customHeight="1" x14ac:dyDescent="0.3">
      <c r="B106" s="107">
        <v>13</v>
      </c>
      <c r="C106" s="107">
        <v>6.15</v>
      </c>
      <c r="D106" s="107">
        <v>9.64</v>
      </c>
      <c r="E106" s="107">
        <v>3.8</v>
      </c>
      <c r="F106" s="107">
        <v>7</v>
      </c>
      <c r="G106" s="109">
        <f t="shared" si="0"/>
        <v>39.589999999999996</v>
      </c>
      <c r="H106" s="13">
        <v>1096</v>
      </c>
      <c r="I106" s="109"/>
      <c r="J106" s="4" t="s">
        <v>517</v>
      </c>
      <c r="K106" s="101">
        <f t="shared" si="1"/>
        <v>0.75018181818181817</v>
      </c>
      <c r="L106" s="109">
        <v>41.26</v>
      </c>
      <c r="M106" s="13">
        <v>1058</v>
      </c>
      <c r="V106" s="4">
        <v>104</v>
      </c>
      <c r="W106" s="4">
        <v>69</v>
      </c>
      <c r="X106" s="109">
        <v>14.28</v>
      </c>
      <c r="Y106" s="109">
        <v>7</v>
      </c>
      <c r="Z106" s="109">
        <v>10.5</v>
      </c>
      <c r="AA106" s="109">
        <v>4.03</v>
      </c>
      <c r="AB106" s="109">
        <v>4.26</v>
      </c>
      <c r="AC106" s="109">
        <f t="shared" si="4"/>
        <v>40.07</v>
      </c>
      <c r="AE106" s="4">
        <v>104</v>
      </c>
      <c r="AF106" s="4">
        <v>54</v>
      </c>
      <c r="AG106" s="4">
        <v>39.230000000000004</v>
      </c>
      <c r="AH106" s="109">
        <f t="shared" si="5"/>
        <v>71.327272727272742</v>
      </c>
      <c r="AI106" s="4" t="s">
        <v>293</v>
      </c>
    </row>
    <row r="107" spans="2:35" ht="15.75" customHeight="1" x14ac:dyDescent="0.3">
      <c r="B107" s="118">
        <v>13</v>
      </c>
      <c r="C107" s="118">
        <v>6.15</v>
      </c>
      <c r="D107" s="118">
        <v>9.64</v>
      </c>
      <c r="E107" s="118">
        <v>3.8</v>
      </c>
      <c r="F107" s="118">
        <v>7</v>
      </c>
      <c r="G107" s="109">
        <f t="shared" si="0"/>
        <v>39.589999999999996</v>
      </c>
      <c r="H107" s="13">
        <v>1787</v>
      </c>
      <c r="I107" s="109"/>
      <c r="J107" s="4" t="s">
        <v>517</v>
      </c>
      <c r="K107" s="101">
        <f t="shared" si="1"/>
        <v>0.75218181818181828</v>
      </c>
      <c r="L107" s="109">
        <v>41.370000000000005</v>
      </c>
      <c r="M107" s="13">
        <v>230</v>
      </c>
      <c r="V107" s="4">
        <v>105</v>
      </c>
      <c r="W107" s="4">
        <v>54</v>
      </c>
      <c r="X107" s="109">
        <v>13.51</v>
      </c>
      <c r="Y107" s="109">
        <v>6</v>
      </c>
      <c r="Z107" s="109">
        <v>10.5</v>
      </c>
      <c r="AA107" s="109">
        <v>3.5</v>
      </c>
      <c r="AB107" s="109">
        <v>7</v>
      </c>
      <c r="AC107" s="109">
        <f t="shared" si="4"/>
        <v>40.51</v>
      </c>
      <c r="AE107" s="4">
        <v>105</v>
      </c>
      <c r="AF107" s="4">
        <v>2462</v>
      </c>
      <c r="AG107" s="4">
        <v>39.349999999999994</v>
      </c>
      <c r="AH107" s="109">
        <f t="shared" si="5"/>
        <v>71.545454545454533</v>
      </c>
      <c r="AI107" s="4" t="s">
        <v>293</v>
      </c>
    </row>
    <row r="108" spans="2:35" ht="15.75" customHeight="1" x14ac:dyDescent="0.3">
      <c r="B108" s="107">
        <v>15</v>
      </c>
      <c r="C108" s="107">
        <v>7.23</v>
      </c>
      <c r="D108" s="107">
        <v>11.72</v>
      </c>
      <c r="E108" s="107">
        <v>4.18</v>
      </c>
      <c r="F108" s="107">
        <v>7.75</v>
      </c>
      <c r="G108" s="109">
        <f t="shared" si="0"/>
        <v>45.88</v>
      </c>
      <c r="H108" s="13">
        <v>1370</v>
      </c>
      <c r="I108" s="109"/>
      <c r="J108" s="4" t="s">
        <v>517</v>
      </c>
      <c r="K108" s="101">
        <f t="shared" si="1"/>
        <v>0.75490909090909086</v>
      </c>
      <c r="L108" s="109">
        <v>41.519999999999996</v>
      </c>
      <c r="M108" s="14">
        <v>82</v>
      </c>
      <c r="V108" s="4">
        <v>106</v>
      </c>
      <c r="W108" s="4">
        <v>23</v>
      </c>
      <c r="X108" s="109">
        <v>13.53</v>
      </c>
      <c r="Y108" s="109">
        <v>7</v>
      </c>
      <c r="Z108" s="109">
        <v>10.5</v>
      </c>
      <c r="AA108" s="109">
        <v>3.5</v>
      </c>
      <c r="AB108" s="109">
        <v>7</v>
      </c>
      <c r="AC108" s="109">
        <f t="shared" si="4"/>
        <v>41.53</v>
      </c>
      <c r="AE108" s="4">
        <v>106</v>
      </c>
      <c r="AF108" s="4">
        <v>45</v>
      </c>
      <c r="AG108" s="4">
        <v>39.51</v>
      </c>
      <c r="AH108" s="109">
        <f t="shared" si="5"/>
        <v>71.836363636363629</v>
      </c>
      <c r="AI108" s="4" t="s">
        <v>293</v>
      </c>
    </row>
    <row r="109" spans="2:35" ht="15.75" customHeight="1" x14ac:dyDescent="0.3">
      <c r="B109" s="107">
        <v>11.61</v>
      </c>
      <c r="C109" s="107">
        <v>7</v>
      </c>
      <c r="D109" s="107">
        <v>12.63</v>
      </c>
      <c r="E109" s="107">
        <v>3.5</v>
      </c>
      <c r="F109" s="107">
        <v>7.17</v>
      </c>
      <c r="G109" s="109">
        <f t="shared" si="0"/>
        <v>41.910000000000004</v>
      </c>
      <c r="H109" s="13">
        <v>1341</v>
      </c>
      <c r="I109" s="109"/>
      <c r="J109" s="4" t="s">
        <v>517</v>
      </c>
      <c r="K109" s="101">
        <f t="shared" si="1"/>
        <v>0.75509090909090915</v>
      </c>
      <c r="L109" s="109">
        <v>41.53</v>
      </c>
      <c r="M109" s="14">
        <v>23</v>
      </c>
      <c r="V109" s="4">
        <v>107</v>
      </c>
      <c r="W109" s="4">
        <v>42</v>
      </c>
      <c r="X109" s="109">
        <v>13.15</v>
      </c>
      <c r="Y109" s="109">
        <v>7</v>
      </c>
      <c r="Z109" s="109">
        <v>10.5</v>
      </c>
      <c r="AA109" s="109">
        <v>3.5</v>
      </c>
      <c r="AB109" s="109">
        <v>7</v>
      </c>
      <c r="AC109" s="109">
        <f t="shared" si="4"/>
        <v>41.15</v>
      </c>
      <c r="AE109" s="4">
        <v>107</v>
      </c>
      <c r="AF109" s="4">
        <v>1096</v>
      </c>
      <c r="AG109" s="4">
        <v>39.589999999999996</v>
      </c>
      <c r="AH109" s="109">
        <f t="shared" si="5"/>
        <v>71.981818181818184</v>
      </c>
      <c r="AI109" s="4" t="s">
        <v>293</v>
      </c>
    </row>
    <row r="110" spans="2:35" ht="15.75" customHeight="1" x14ac:dyDescent="0.3">
      <c r="B110" s="115">
        <v>9.64</v>
      </c>
      <c r="C110" s="115">
        <v>7</v>
      </c>
      <c r="D110" s="115">
        <v>12.63</v>
      </c>
      <c r="E110" s="115">
        <v>3.5</v>
      </c>
      <c r="F110" s="115">
        <v>7</v>
      </c>
      <c r="G110" s="109">
        <f t="shared" si="0"/>
        <v>39.770000000000003</v>
      </c>
      <c r="H110" s="116">
        <v>1046</v>
      </c>
      <c r="I110" s="109"/>
      <c r="J110" s="4" t="s">
        <v>517</v>
      </c>
      <c r="K110" s="101">
        <f t="shared" si="1"/>
        <v>0.75527272727272721</v>
      </c>
      <c r="L110" s="109">
        <v>41.54</v>
      </c>
      <c r="M110" s="13">
        <v>1884</v>
      </c>
      <c r="V110" s="4">
        <v>108</v>
      </c>
      <c r="W110" s="4">
        <v>51</v>
      </c>
      <c r="X110" s="109">
        <v>13.22</v>
      </c>
      <c r="Y110" s="109">
        <v>7</v>
      </c>
      <c r="Z110" s="109">
        <v>10.5</v>
      </c>
      <c r="AA110" s="109">
        <v>3.5</v>
      </c>
      <c r="AB110" s="109">
        <v>7</v>
      </c>
      <c r="AC110" s="109">
        <f t="shared" si="4"/>
        <v>41.22</v>
      </c>
      <c r="AE110" s="4">
        <v>108</v>
      </c>
      <c r="AF110" s="4">
        <v>1000</v>
      </c>
      <c r="AG110" s="4">
        <v>39.76</v>
      </c>
      <c r="AH110" s="109">
        <f t="shared" si="5"/>
        <v>72.290909090909082</v>
      </c>
      <c r="AI110" s="4" t="s">
        <v>293</v>
      </c>
    </row>
    <row r="111" spans="2:35" ht="15.75" customHeight="1" x14ac:dyDescent="0.3">
      <c r="B111" s="107">
        <v>9.86</v>
      </c>
      <c r="C111" s="107">
        <v>6.8</v>
      </c>
      <c r="D111" s="107">
        <v>12.63</v>
      </c>
      <c r="E111" s="107">
        <v>3.5</v>
      </c>
      <c r="F111" s="107">
        <v>6.16</v>
      </c>
      <c r="G111" s="109">
        <f t="shared" si="0"/>
        <v>38.950000000000003</v>
      </c>
      <c r="H111" s="13">
        <v>1593</v>
      </c>
      <c r="I111" s="109"/>
      <c r="J111" s="4" t="s">
        <v>517</v>
      </c>
      <c r="K111" s="101">
        <f t="shared" si="1"/>
        <v>0.75581818181818183</v>
      </c>
      <c r="L111" s="109">
        <v>41.57</v>
      </c>
      <c r="M111" s="14">
        <v>62</v>
      </c>
      <c r="V111" s="4">
        <v>109</v>
      </c>
      <c r="W111" s="4">
        <v>82</v>
      </c>
      <c r="X111" s="109">
        <v>13.52</v>
      </c>
      <c r="Y111" s="109">
        <v>7</v>
      </c>
      <c r="Z111" s="109">
        <v>10.5</v>
      </c>
      <c r="AA111" s="109">
        <v>3.5</v>
      </c>
      <c r="AB111" s="109">
        <v>7</v>
      </c>
      <c r="AC111" s="109">
        <f t="shared" si="4"/>
        <v>41.519999999999996</v>
      </c>
      <c r="AE111" s="4">
        <v>109</v>
      </c>
      <c r="AF111" s="4">
        <v>1046</v>
      </c>
      <c r="AG111" s="4">
        <v>39.770000000000003</v>
      </c>
      <c r="AH111" s="109">
        <f t="shared" si="5"/>
        <v>72.309090909090912</v>
      </c>
      <c r="AI111" s="4" t="s">
        <v>293</v>
      </c>
    </row>
    <row r="112" spans="2:35" ht="15.75" customHeight="1" x14ac:dyDescent="0.3">
      <c r="B112" s="107">
        <v>13.76</v>
      </c>
      <c r="C112" s="107">
        <v>7</v>
      </c>
      <c r="D112" s="107">
        <v>12.63</v>
      </c>
      <c r="E112" s="107">
        <v>3.5</v>
      </c>
      <c r="F112" s="107">
        <v>7</v>
      </c>
      <c r="G112" s="109">
        <f t="shared" si="0"/>
        <v>43.89</v>
      </c>
      <c r="H112" s="13">
        <v>1921</v>
      </c>
      <c r="I112" s="109"/>
      <c r="J112" s="4" t="s">
        <v>517</v>
      </c>
      <c r="K112" s="101">
        <f t="shared" si="1"/>
        <v>0.75581818181818183</v>
      </c>
      <c r="L112" s="109">
        <v>41.57</v>
      </c>
      <c r="M112" s="13">
        <v>789</v>
      </c>
      <c r="V112" s="4">
        <v>110</v>
      </c>
      <c r="W112" s="4">
        <v>62</v>
      </c>
      <c r="X112" s="109">
        <v>13.57</v>
      </c>
      <c r="Y112" s="109">
        <v>7</v>
      </c>
      <c r="Z112" s="109">
        <v>10.5</v>
      </c>
      <c r="AA112" s="109">
        <v>3.5</v>
      </c>
      <c r="AB112" s="109">
        <v>7</v>
      </c>
      <c r="AC112" s="109">
        <f t="shared" si="4"/>
        <v>41.57</v>
      </c>
      <c r="AE112" s="4">
        <v>110</v>
      </c>
      <c r="AF112" s="4">
        <v>108</v>
      </c>
      <c r="AG112" s="4">
        <v>39.839999999999996</v>
      </c>
      <c r="AH112" s="109">
        <f t="shared" si="5"/>
        <v>72.436363636363637</v>
      </c>
      <c r="AI112" s="4" t="s">
        <v>293</v>
      </c>
    </row>
    <row r="113" spans="2:35" ht="15.75" customHeight="1" x14ac:dyDescent="0.3">
      <c r="B113" s="107">
        <v>11.41</v>
      </c>
      <c r="C113" s="107">
        <v>7</v>
      </c>
      <c r="D113" s="107">
        <v>12.63</v>
      </c>
      <c r="E113" s="107">
        <v>3.5</v>
      </c>
      <c r="F113" s="107">
        <v>7</v>
      </c>
      <c r="G113" s="109">
        <f t="shared" si="0"/>
        <v>41.54</v>
      </c>
      <c r="H113" s="13">
        <v>1884</v>
      </c>
      <c r="I113" s="109"/>
      <c r="J113" s="4" t="s">
        <v>517</v>
      </c>
      <c r="K113" s="101">
        <f t="shared" si="1"/>
        <v>0.75600000000000001</v>
      </c>
      <c r="L113" s="109">
        <v>41.58</v>
      </c>
      <c r="M113" s="14">
        <v>38</v>
      </c>
      <c r="V113" s="4">
        <v>111</v>
      </c>
      <c r="W113" s="4">
        <v>56</v>
      </c>
      <c r="X113" s="109">
        <v>13.17</v>
      </c>
      <c r="Y113" s="109">
        <v>7</v>
      </c>
      <c r="Z113" s="109">
        <v>10.5</v>
      </c>
      <c r="AA113" s="109">
        <v>3.5</v>
      </c>
      <c r="AB113" s="109">
        <v>7</v>
      </c>
      <c r="AC113" s="109">
        <f t="shared" si="4"/>
        <v>41.17</v>
      </c>
      <c r="AE113" s="4">
        <v>111</v>
      </c>
      <c r="AF113" s="4">
        <v>2581</v>
      </c>
      <c r="AG113" s="4">
        <v>39.9</v>
      </c>
      <c r="AH113" s="109">
        <f t="shared" si="5"/>
        <v>72.545454545454547</v>
      </c>
      <c r="AI113" s="4" t="s">
        <v>293</v>
      </c>
    </row>
    <row r="114" spans="2:35" ht="15.75" customHeight="1" x14ac:dyDescent="0.3">
      <c r="B114" s="107">
        <v>7.49</v>
      </c>
      <c r="C114" s="107">
        <v>6.78</v>
      </c>
      <c r="D114" s="107">
        <v>11.57</v>
      </c>
      <c r="E114" s="107">
        <v>4.18</v>
      </c>
      <c r="F114" s="107">
        <v>7.15</v>
      </c>
      <c r="G114" s="109">
        <f t="shared" si="0"/>
        <v>37.17</v>
      </c>
      <c r="H114" s="13">
        <v>1337</v>
      </c>
      <c r="I114" s="109"/>
      <c r="J114" s="4" t="s">
        <v>517</v>
      </c>
      <c r="K114" s="101">
        <f t="shared" si="1"/>
        <v>0.75636363636363635</v>
      </c>
      <c r="L114" s="109">
        <v>41.6</v>
      </c>
      <c r="M114" s="13">
        <v>1447</v>
      </c>
      <c r="V114" s="4">
        <v>112</v>
      </c>
      <c r="W114" s="4">
        <v>38</v>
      </c>
      <c r="X114" s="109">
        <v>13.58</v>
      </c>
      <c r="Y114" s="109">
        <v>7</v>
      </c>
      <c r="Z114" s="109">
        <v>10.5</v>
      </c>
      <c r="AA114" s="109">
        <v>3.5</v>
      </c>
      <c r="AB114" s="109">
        <v>7</v>
      </c>
      <c r="AC114" s="109">
        <f t="shared" si="4"/>
        <v>41.58</v>
      </c>
      <c r="AE114" s="4">
        <v>112</v>
      </c>
      <c r="AF114" s="4">
        <v>69</v>
      </c>
      <c r="AG114" s="4">
        <v>40.07</v>
      </c>
      <c r="AH114" s="109">
        <f t="shared" si="5"/>
        <v>72.854545454545445</v>
      </c>
      <c r="AI114" s="4" t="s">
        <v>293</v>
      </c>
    </row>
    <row r="115" spans="2:35" ht="15.75" customHeight="1" x14ac:dyDescent="0.3">
      <c r="B115" s="107">
        <v>13.16</v>
      </c>
      <c r="C115" s="107">
        <v>5.28</v>
      </c>
      <c r="D115" s="107">
        <v>10.6</v>
      </c>
      <c r="E115" s="107">
        <v>3.58</v>
      </c>
      <c r="F115" s="107">
        <v>5.76</v>
      </c>
      <c r="G115" s="109">
        <f t="shared" si="0"/>
        <v>38.379999999999995</v>
      </c>
      <c r="H115" s="13">
        <v>1246</v>
      </c>
      <c r="I115" s="109"/>
      <c r="J115" s="4" t="s">
        <v>517</v>
      </c>
      <c r="K115" s="101">
        <f t="shared" si="1"/>
        <v>0.75672727272727269</v>
      </c>
      <c r="L115" s="109">
        <v>41.62</v>
      </c>
      <c r="M115" s="14">
        <v>1144</v>
      </c>
      <c r="V115" s="4">
        <v>113</v>
      </c>
      <c r="W115" s="4">
        <v>45</v>
      </c>
      <c r="X115" s="109">
        <v>11.51</v>
      </c>
      <c r="Y115" s="109">
        <v>7</v>
      </c>
      <c r="Z115" s="109">
        <v>10.5</v>
      </c>
      <c r="AA115" s="109">
        <v>3.5</v>
      </c>
      <c r="AB115" s="109">
        <v>7</v>
      </c>
      <c r="AC115" s="109">
        <f t="shared" si="4"/>
        <v>39.51</v>
      </c>
      <c r="AE115" s="4">
        <v>113</v>
      </c>
      <c r="AF115" s="4">
        <v>1246</v>
      </c>
      <c r="AG115" s="4">
        <v>40.1</v>
      </c>
      <c r="AH115" s="109">
        <f t="shared" si="5"/>
        <v>72.909090909090907</v>
      </c>
      <c r="AI115" s="4" t="s">
        <v>293</v>
      </c>
    </row>
    <row r="116" spans="2:35" ht="15.75" customHeight="1" x14ac:dyDescent="0.3">
      <c r="B116" s="107">
        <v>8.18</v>
      </c>
      <c r="C116" s="107">
        <v>7</v>
      </c>
      <c r="D116" s="107">
        <v>12.63</v>
      </c>
      <c r="E116" s="107">
        <v>3.5</v>
      </c>
      <c r="F116" s="107">
        <v>7</v>
      </c>
      <c r="G116" s="109">
        <f t="shared" si="0"/>
        <v>38.31</v>
      </c>
      <c r="H116" s="13">
        <v>1372</v>
      </c>
      <c r="I116" s="109"/>
      <c r="J116" s="4" t="s">
        <v>517</v>
      </c>
      <c r="K116" s="101">
        <f t="shared" si="1"/>
        <v>0.75763636363636366</v>
      </c>
      <c r="L116" s="109">
        <v>41.67</v>
      </c>
      <c r="M116" s="14">
        <v>1146</v>
      </c>
      <c r="V116" s="4">
        <v>114</v>
      </c>
      <c r="W116" s="4">
        <v>461</v>
      </c>
      <c r="X116" s="109">
        <v>9.07</v>
      </c>
      <c r="Y116" s="109">
        <v>7.46</v>
      </c>
      <c r="Z116" s="109">
        <v>11.28</v>
      </c>
      <c r="AA116" s="109">
        <v>3.48</v>
      </c>
      <c r="AB116" s="109">
        <v>7</v>
      </c>
      <c r="AC116" s="109">
        <f t="shared" si="4"/>
        <v>38.290000000000006</v>
      </c>
      <c r="AE116" s="4">
        <v>114</v>
      </c>
      <c r="AF116" s="4">
        <v>62</v>
      </c>
      <c r="AG116" s="4">
        <v>40.1</v>
      </c>
      <c r="AH116" s="109">
        <f t="shared" si="5"/>
        <v>72.909090909090907</v>
      </c>
      <c r="AI116" s="4" t="s">
        <v>293</v>
      </c>
    </row>
    <row r="117" spans="2:35" ht="15.75" customHeight="1" x14ac:dyDescent="0.3">
      <c r="B117" s="107">
        <v>14.96</v>
      </c>
      <c r="C117" s="107">
        <v>6.88</v>
      </c>
      <c r="D117" s="107">
        <v>9.68</v>
      </c>
      <c r="E117" s="107">
        <v>2.9</v>
      </c>
      <c r="F117" s="107">
        <v>6.1</v>
      </c>
      <c r="G117" s="109">
        <f t="shared" si="0"/>
        <v>40.520000000000003</v>
      </c>
      <c r="H117" s="13">
        <v>695</v>
      </c>
      <c r="I117" s="109"/>
      <c r="J117" s="4" t="s">
        <v>517</v>
      </c>
      <c r="K117" s="101">
        <f t="shared" si="1"/>
        <v>0.75818181818181818</v>
      </c>
      <c r="L117" s="109">
        <v>41.7</v>
      </c>
      <c r="M117" s="13">
        <v>1273</v>
      </c>
      <c r="V117" s="4">
        <v>115</v>
      </c>
      <c r="W117" s="4">
        <v>369</v>
      </c>
      <c r="X117" s="109">
        <v>12.7</v>
      </c>
      <c r="Y117" s="109">
        <v>5.54</v>
      </c>
      <c r="Z117" s="109">
        <v>10.15</v>
      </c>
      <c r="AA117" s="109">
        <v>3.18</v>
      </c>
      <c r="AB117" s="109">
        <v>3.96</v>
      </c>
      <c r="AC117" s="109">
        <f t="shared" si="4"/>
        <v>35.53</v>
      </c>
      <c r="AE117" s="4">
        <v>115</v>
      </c>
      <c r="AF117" s="4">
        <v>1523</v>
      </c>
      <c r="AG117" s="4">
        <v>40.209999999999994</v>
      </c>
      <c r="AH117" s="109">
        <f t="shared" si="5"/>
        <v>73.109090909090895</v>
      </c>
      <c r="AI117" s="4" t="s">
        <v>293</v>
      </c>
    </row>
    <row r="118" spans="2:35" ht="15.75" customHeight="1" x14ac:dyDescent="0.3">
      <c r="B118" s="118">
        <v>14.96</v>
      </c>
      <c r="C118" s="118">
        <v>6.88</v>
      </c>
      <c r="D118" s="118">
        <v>9.68</v>
      </c>
      <c r="E118" s="118">
        <v>2.9</v>
      </c>
      <c r="F118" s="118">
        <v>6.1</v>
      </c>
      <c r="G118" s="109">
        <f t="shared" si="0"/>
        <v>40.520000000000003</v>
      </c>
      <c r="H118" s="13">
        <v>463</v>
      </c>
      <c r="I118" s="109"/>
      <c r="J118" s="4" t="s">
        <v>517</v>
      </c>
      <c r="K118" s="101">
        <f t="shared" si="1"/>
        <v>0.76163636363636367</v>
      </c>
      <c r="L118" s="109">
        <v>41.89</v>
      </c>
      <c r="M118" s="13">
        <v>165</v>
      </c>
      <c r="V118" s="4">
        <v>116</v>
      </c>
      <c r="W118" s="4">
        <v>281</v>
      </c>
      <c r="X118" s="109">
        <v>6.68</v>
      </c>
      <c r="Y118" s="109">
        <v>7.52</v>
      </c>
      <c r="Z118" s="109">
        <v>10.029999999999999</v>
      </c>
      <c r="AA118" s="109">
        <v>3.45</v>
      </c>
      <c r="AB118" s="109">
        <v>6.6</v>
      </c>
      <c r="AC118" s="109">
        <f t="shared" si="4"/>
        <v>34.279999999999994</v>
      </c>
      <c r="AE118" s="4">
        <v>116</v>
      </c>
      <c r="AF118" s="4">
        <v>54</v>
      </c>
      <c r="AG118" s="4">
        <v>40.51</v>
      </c>
      <c r="AH118" s="109">
        <f t="shared" si="5"/>
        <v>73.654545454545456</v>
      </c>
      <c r="AI118" s="4" t="s">
        <v>293</v>
      </c>
    </row>
    <row r="119" spans="2:35" ht="15.75" customHeight="1" x14ac:dyDescent="0.3">
      <c r="B119" s="107">
        <v>7.71</v>
      </c>
      <c r="C119" s="107">
        <v>4.33</v>
      </c>
      <c r="D119" s="107">
        <v>8.84</v>
      </c>
      <c r="E119" s="107">
        <v>3.93</v>
      </c>
      <c r="F119" s="107">
        <v>3.2</v>
      </c>
      <c r="G119" s="109">
        <f t="shared" si="0"/>
        <v>28.009999999999998</v>
      </c>
      <c r="H119" s="13">
        <v>296</v>
      </c>
      <c r="I119" s="109"/>
      <c r="J119" s="4" t="s">
        <v>517</v>
      </c>
      <c r="K119" s="101">
        <f t="shared" si="1"/>
        <v>0.76200000000000012</v>
      </c>
      <c r="L119" s="109">
        <v>41.910000000000004</v>
      </c>
      <c r="M119" s="13">
        <v>1341</v>
      </c>
      <c r="V119" s="4">
        <v>117</v>
      </c>
      <c r="W119" s="4">
        <v>332</v>
      </c>
      <c r="X119" s="109">
        <v>14.49</v>
      </c>
      <c r="Y119" s="109">
        <v>7.64</v>
      </c>
      <c r="Z119" s="109">
        <v>11.66</v>
      </c>
      <c r="AA119" s="109">
        <v>3.88</v>
      </c>
      <c r="AB119" s="109">
        <v>7.69</v>
      </c>
      <c r="AC119" s="109">
        <f t="shared" si="4"/>
        <v>45.36</v>
      </c>
      <c r="AE119" s="4">
        <v>117</v>
      </c>
      <c r="AF119" s="4">
        <v>695</v>
      </c>
      <c r="AG119" s="4">
        <v>40.520000000000003</v>
      </c>
      <c r="AH119" s="109">
        <f t="shared" si="5"/>
        <v>73.672727272727272</v>
      </c>
      <c r="AI119" s="4" t="s">
        <v>293</v>
      </c>
    </row>
    <row r="120" spans="2:35" ht="15.75" customHeight="1" x14ac:dyDescent="0.3">
      <c r="B120" s="115">
        <v>11.45</v>
      </c>
      <c r="C120" s="115">
        <v>4</v>
      </c>
      <c r="D120" s="115">
        <v>7.54</v>
      </c>
      <c r="E120" s="115">
        <v>2.7</v>
      </c>
      <c r="F120" s="115">
        <v>4.3600000000000003</v>
      </c>
      <c r="G120" s="109">
        <f t="shared" si="0"/>
        <v>30.049999999999997</v>
      </c>
      <c r="H120" s="116">
        <v>2581</v>
      </c>
      <c r="I120" s="109"/>
      <c r="J120" s="4" t="s">
        <v>517</v>
      </c>
      <c r="K120" s="101">
        <f t="shared" si="1"/>
        <v>0.76509090909090904</v>
      </c>
      <c r="L120" s="109">
        <v>42.08</v>
      </c>
      <c r="M120" s="14">
        <v>1347</v>
      </c>
      <c r="V120" s="4">
        <v>118</v>
      </c>
      <c r="W120" s="4">
        <v>108</v>
      </c>
      <c r="X120" s="109">
        <v>10.52</v>
      </c>
      <c r="Y120" s="109">
        <v>7.37</v>
      </c>
      <c r="Z120" s="109">
        <v>11.15</v>
      </c>
      <c r="AA120" s="109">
        <v>3.8</v>
      </c>
      <c r="AB120" s="109">
        <v>7</v>
      </c>
      <c r="AC120" s="109">
        <f t="shared" si="4"/>
        <v>39.839999999999996</v>
      </c>
      <c r="AE120" s="4">
        <v>118</v>
      </c>
      <c r="AF120" s="4">
        <v>661</v>
      </c>
      <c r="AG120" s="4">
        <v>40.549999999999997</v>
      </c>
      <c r="AH120" s="109">
        <f t="shared" si="5"/>
        <v>73.72727272727272</v>
      </c>
      <c r="AI120" s="4" t="s">
        <v>293</v>
      </c>
    </row>
    <row r="121" spans="2:35" ht="15.75" customHeight="1" x14ac:dyDescent="0.3">
      <c r="B121" s="107">
        <v>13.71</v>
      </c>
      <c r="C121" s="107">
        <v>5.08</v>
      </c>
      <c r="D121" s="107">
        <v>10.6</v>
      </c>
      <c r="E121" s="107">
        <v>3.18</v>
      </c>
      <c r="F121" s="107">
        <v>5.31</v>
      </c>
      <c r="G121" s="109">
        <f t="shared" si="0"/>
        <v>37.880000000000003</v>
      </c>
      <c r="H121" s="13">
        <v>1126</v>
      </c>
      <c r="I121" s="109"/>
      <c r="J121" s="4" t="s">
        <v>517</v>
      </c>
      <c r="K121" s="101">
        <f t="shared" si="1"/>
        <v>0.76563636363636367</v>
      </c>
      <c r="L121" s="109">
        <v>42.11</v>
      </c>
      <c r="M121" s="13">
        <v>1867</v>
      </c>
      <c r="V121" s="4">
        <v>119</v>
      </c>
      <c r="W121" s="4">
        <v>98</v>
      </c>
      <c r="X121" s="109">
        <v>13.96</v>
      </c>
      <c r="Y121" s="109">
        <v>7.62</v>
      </c>
      <c r="Z121" s="109">
        <v>11.06</v>
      </c>
      <c r="AA121" s="109">
        <v>3.8</v>
      </c>
      <c r="AB121" s="109">
        <v>7</v>
      </c>
      <c r="AC121" s="109">
        <f t="shared" si="4"/>
        <v>43.44</v>
      </c>
      <c r="AE121" s="4">
        <v>119</v>
      </c>
      <c r="AF121" s="4">
        <v>319</v>
      </c>
      <c r="AG121" s="4">
        <v>40.620000000000005</v>
      </c>
      <c r="AH121" s="109">
        <f t="shared" si="5"/>
        <v>73.854545454545459</v>
      </c>
      <c r="AI121" s="4" t="s">
        <v>293</v>
      </c>
    </row>
    <row r="122" spans="2:35" ht="15.75" customHeight="1" x14ac:dyDescent="0.3">
      <c r="B122" s="115">
        <v>9.61</v>
      </c>
      <c r="C122" s="115">
        <v>5.58</v>
      </c>
      <c r="D122" s="115">
        <v>9.9499999999999993</v>
      </c>
      <c r="E122" s="115">
        <v>3.8</v>
      </c>
      <c r="F122" s="115">
        <v>6.41</v>
      </c>
      <c r="G122" s="109">
        <f t="shared" si="0"/>
        <v>35.35</v>
      </c>
      <c r="H122" s="116">
        <v>1523</v>
      </c>
      <c r="I122" s="109"/>
      <c r="J122" s="4" t="s">
        <v>517</v>
      </c>
      <c r="K122" s="101">
        <f t="shared" si="1"/>
        <v>0.76890909090909099</v>
      </c>
      <c r="L122" s="109">
        <v>42.290000000000006</v>
      </c>
      <c r="M122" s="14">
        <v>288</v>
      </c>
      <c r="V122" s="4">
        <v>120</v>
      </c>
      <c r="W122" s="4">
        <v>245</v>
      </c>
      <c r="X122" s="109">
        <v>14.04</v>
      </c>
      <c r="Y122" s="109">
        <v>7.44</v>
      </c>
      <c r="Z122" s="109">
        <v>11.1</v>
      </c>
      <c r="AA122" s="109">
        <v>3.88</v>
      </c>
      <c r="AB122" s="109">
        <v>7</v>
      </c>
      <c r="AC122" s="109">
        <f t="shared" si="4"/>
        <v>43.46</v>
      </c>
      <c r="AE122" s="4">
        <v>120</v>
      </c>
      <c r="AF122" s="4">
        <v>1211</v>
      </c>
      <c r="AG122" s="4">
        <v>40.65</v>
      </c>
      <c r="AH122" s="109">
        <f t="shared" si="5"/>
        <v>73.909090909090907</v>
      </c>
      <c r="AI122" s="4" t="s">
        <v>293</v>
      </c>
    </row>
    <row r="123" spans="2:35" ht="15.75" customHeight="1" x14ac:dyDescent="0.3">
      <c r="B123" s="107">
        <v>11.87</v>
      </c>
      <c r="C123" s="107">
        <v>4.54</v>
      </c>
      <c r="D123" s="107">
        <v>7.66</v>
      </c>
      <c r="E123" s="107">
        <v>2.2999999999999998</v>
      </c>
      <c r="F123" s="107">
        <v>5.16</v>
      </c>
      <c r="G123" s="109">
        <f t="shared" si="0"/>
        <v>31.53</v>
      </c>
      <c r="H123" s="13">
        <v>1744</v>
      </c>
      <c r="I123" s="109"/>
      <c r="J123" s="4" t="s">
        <v>517</v>
      </c>
      <c r="K123" s="101">
        <f t="shared" si="1"/>
        <v>0.77599999999999991</v>
      </c>
      <c r="L123" s="109">
        <v>42.679999999999993</v>
      </c>
      <c r="M123" s="13">
        <v>2323</v>
      </c>
      <c r="V123" s="4">
        <v>121</v>
      </c>
      <c r="W123" s="4">
        <v>113</v>
      </c>
      <c r="X123" s="109">
        <v>14.63</v>
      </c>
      <c r="Y123" s="109">
        <v>7.77</v>
      </c>
      <c r="Z123" s="109">
        <v>10.76</v>
      </c>
      <c r="AA123" s="109">
        <v>3.73</v>
      </c>
      <c r="AB123" s="109">
        <v>7</v>
      </c>
      <c r="AC123" s="109">
        <f t="shared" si="4"/>
        <v>43.889999999999993</v>
      </c>
      <c r="AE123" s="4">
        <v>121</v>
      </c>
      <c r="AF123" s="4">
        <v>2056</v>
      </c>
      <c r="AG123" s="4">
        <v>40.769999999999996</v>
      </c>
      <c r="AH123" s="109">
        <f t="shared" si="5"/>
        <v>74.127272727272725</v>
      </c>
      <c r="AI123" s="4" t="s">
        <v>293</v>
      </c>
    </row>
    <row r="124" spans="2:35" ht="15.75" customHeight="1" x14ac:dyDescent="0.3">
      <c r="B124" s="115">
        <v>11.03</v>
      </c>
      <c r="C124" s="115">
        <v>4.3600000000000003</v>
      </c>
      <c r="D124" s="115">
        <v>8.58</v>
      </c>
      <c r="E124" s="115">
        <v>3.1</v>
      </c>
      <c r="F124" s="115">
        <v>4.04</v>
      </c>
      <c r="G124" s="109">
        <f t="shared" si="0"/>
        <v>31.11</v>
      </c>
      <c r="H124" s="116">
        <v>1909</v>
      </c>
      <c r="I124" s="109"/>
      <c r="J124" s="4" t="s">
        <v>517</v>
      </c>
      <c r="K124" s="101">
        <f t="shared" si="1"/>
        <v>0.77600000000000013</v>
      </c>
      <c r="L124" s="109">
        <v>42.680000000000007</v>
      </c>
      <c r="M124" s="29">
        <v>1074</v>
      </c>
      <c r="V124" s="4">
        <v>122</v>
      </c>
      <c r="W124" s="4">
        <v>69</v>
      </c>
      <c r="X124" s="109">
        <v>13.47</v>
      </c>
      <c r="Y124" s="109">
        <v>7.59</v>
      </c>
      <c r="Z124" s="109">
        <v>11.34</v>
      </c>
      <c r="AA124" s="109">
        <v>3.8</v>
      </c>
      <c r="AB124" s="109">
        <v>7.45</v>
      </c>
      <c r="AC124" s="109">
        <f t="shared" si="4"/>
        <v>43.650000000000006</v>
      </c>
      <c r="AE124" s="4">
        <v>122</v>
      </c>
      <c r="AF124" s="4">
        <v>1554</v>
      </c>
      <c r="AG124" s="4">
        <v>40.78</v>
      </c>
      <c r="AH124" s="109">
        <f t="shared" si="5"/>
        <v>74.145454545454541</v>
      </c>
      <c r="AI124" s="4" t="s">
        <v>293</v>
      </c>
    </row>
    <row r="125" spans="2:35" ht="15.75" customHeight="1" x14ac:dyDescent="0.3">
      <c r="B125" s="107">
        <v>11.9</v>
      </c>
      <c r="C125" s="107">
        <v>4.5999999999999996</v>
      </c>
      <c r="D125" s="107">
        <v>7.54</v>
      </c>
      <c r="E125" s="107">
        <v>3.18</v>
      </c>
      <c r="F125" s="107">
        <v>5</v>
      </c>
      <c r="G125" s="109">
        <f t="shared" si="0"/>
        <v>32.22</v>
      </c>
      <c r="H125" s="13">
        <v>1008</v>
      </c>
      <c r="I125" s="109"/>
      <c r="J125" s="4" t="s">
        <v>517</v>
      </c>
      <c r="K125" s="101">
        <f t="shared" si="1"/>
        <v>0.78163636363636368</v>
      </c>
      <c r="L125" s="109">
        <v>42.99</v>
      </c>
      <c r="M125" s="14">
        <v>1637</v>
      </c>
      <c r="V125" s="4">
        <v>123</v>
      </c>
      <c r="W125" s="4">
        <v>38</v>
      </c>
      <c r="X125" s="109">
        <v>13.36</v>
      </c>
      <c r="Y125" s="109">
        <v>7.54</v>
      </c>
      <c r="Z125" s="109">
        <v>11.4</v>
      </c>
      <c r="AA125" s="109">
        <v>3.88</v>
      </c>
      <c r="AB125" s="109">
        <v>7.6</v>
      </c>
      <c r="AC125" s="109">
        <f t="shared" si="4"/>
        <v>43.78</v>
      </c>
      <c r="AE125" s="4">
        <v>123</v>
      </c>
      <c r="AF125" s="4">
        <v>1057</v>
      </c>
      <c r="AG125" s="4">
        <v>40.799999999999997</v>
      </c>
      <c r="AH125" s="109">
        <f t="shared" si="5"/>
        <v>74.181818181818187</v>
      </c>
      <c r="AI125" s="4" t="s">
        <v>293</v>
      </c>
    </row>
    <row r="126" spans="2:35" ht="15.75" customHeight="1" x14ac:dyDescent="0.3">
      <c r="B126" s="107">
        <v>12.51</v>
      </c>
      <c r="C126" s="107">
        <v>3.94</v>
      </c>
      <c r="D126" s="107">
        <v>7.3</v>
      </c>
      <c r="E126" s="107">
        <v>3.18</v>
      </c>
      <c r="F126" s="107">
        <v>5</v>
      </c>
      <c r="G126" s="109">
        <f t="shared" si="0"/>
        <v>31.93</v>
      </c>
      <c r="H126" s="13">
        <v>1090</v>
      </c>
      <c r="I126" s="109"/>
      <c r="J126" s="4" t="s">
        <v>517</v>
      </c>
      <c r="K126" s="101">
        <f t="shared" si="1"/>
        <v>0.78490909090909089</v>
      </c>
      <c r="L126" s="109">
        <v>43.17</v>
      </c>
      <c r="M126" s="13">
        <v>1920</v>
      </c>
      <c r="V126" s="4">
        <v>124</v>
      </c>
      <c r="W126" s="4">
        <v>445</v>
      </c>
      <c r="X126" s="109">
        <v>13.22</v>
      </c>
      <c r="Y126" s="109">
        <v>7.81</v>
      </c>
      <c r="Z126" s="109">
        <v>11.64</v>
      </c>
      <c r="AA126" s="109">
        <v>3.8</v>
      </c>
      <c r="AB126" s="109">
        <v>7</v>
      </c>
      <c r="AC126" s="109">
        <f t="shared" si="4"/>
        <v>43.47</v>
      </c>
      <c r="AE126" s="4">
        <v>124</v>
      </c>
      <c r="AF126" s="4">
        <v>1884</v>
      </c>
      <c r="AG126" s="4">
        <v>40.849999999999994</v>
      </c>
      <c r="AH126" s="109">
        <f t="shared" si="5"/>
        <v>74.272727272727252</v>
      </c>
      <c r="AI126" s="4" t="s">
        <v>293</v>
      </c>
    </row>
    <row r="127" spans="2:35" ht="15.75" customHeight="1" x14ac:dyDescent="0.3">
      <c r="B127" s="115">
        <v>12.75</v>
      </c>
      <c r="C127" s="115">
        <v>4.8</v>
      </c>
      <c r="D127" s="115">
        <v>8.1</v>
      </c>
      <c r="E127" s="115">
        <v>3.5</v>
      </c>
      <c r="F127" s="115">
        <v>5.8</v>
      </c>
      <c r="G127" s="109">
        <f t="shared" si="0"/>
        <v>34.949999999999996</v>
      </c>
      <c r="H127" s="116">
        <v>1449</v>
      </c>
      <c r="I127" s="109"/>
      <c r="J127" s="4" t="s">
        <v>517</v>
      </c>
      <c r="K127" s="101">
        <f t="shared" si="1"/>
        <v>0.78599999999999992</v>
      </c>
      <c r="L127" s="109">
        <v>43.23</v>
      </c>
      <c r="M127" s="14">
        <v>1044</v>
      </c>
      <c r="V127" s="4">
        <v>125</v>
      </c>
      <c r="W127" s="4">
        <v>62</v>
      </c>
      <c r="X127" s="109">
        <v>12.8</v>
      </c>
      <c r="Y127" s="109">
        <v>7.65</v>
      </c>
      <c r="Z127" s="109">
        <v>11.4</v>
      </c>
      <c r="AA127" s="109">
        <v>3.88</v>
      </c>
      <c r="AB127" s="109">
        <v>7.68</v>
      </c>
      <c r="AC127" s="109">
        <f t="shared" si="4"/>
        <v>43.410000000000004</v>
      </c>
      <c r="AE127" s="4">
        <v>125</v>
      </c>
      <c r="AF127" s="4">
        <v>1332</v>
      </c>
      <c r="AG127" s="4">
        <v>40.94</v>
      </c>
      <c r="AH127" s="109">
        <f t="shared" si="5"/>
        <v>74.436363636363637</v>
      </c>
      <c r="AI127" s="4" t="s">
        <v>293</v>
      </c>
    </row>
    <row r="128" spans="2:35" ht="15.75" customHeight="1" x14ac:dyDescent="0.3">
      <c r="B128" s="115">
        <v>12.03</v>
      </c>
      <c r="C128" s="115">
        <v>4.5999999999999996</v>
      </c>
      <c r="D128" s="115">
        <v>8.18</v>
      </c>
      <c r="E128" s="115">
        <v>3.5</v>
      </c>
      <c r="F128" s="115">
        <v>5.64</v>
      </c>
      <c r="G128" s="109">
        <f t="shared" si="0"/>
        <v>33.949999999999996</v>
      </c>
      <c r="H128" s="116">
        <v>1843</v>
      </c>
      <c r="I128" s="109"/>
      <c r="J128" s="4" t="s">
        <v>517</v>
      </c>
      <c r="K128" s="101">
        <f t="shared" si="1"/>
        <v>0.78781818181818175</v>
      </c>
      <c r="L128" s="109">
        <v>43.33</v>
      </c>
      <c r="M128" s="14">
        <v>1475</v>
      </c>
      <c r="V128" s="4">
        <v>126</v>
      </c>
      <c r="W128" s="4">
        <v>288</v>
      </c>
      <c r="X128" s="109">
        <v>11.75</v>
      </c>
      <c r="Y128" s="109">
        <v>7.71</v>
      </c>
      <c r="Z128" s="109">
        <v>11.64</v>
      </c>
      <c r="AA128" s="109">
        <v>3.95</v>
      </c>
      <c r="AB128" s="109">
        <v>7.24</v>
      </c>
      <c r="AC128" s="109">
        <f t="shared" si="4"/>
        <v>42.290000000000006</v>
      </c>
      <c r="AE128" s="4">
        <v>126</v>
      </c>
      <c r="AF128" s="4">
        <v>42</v>
      </c>
      <c r="AG128" s="4">
        <v>41.15</v>
      </c>
      <c r="AH128" s="109">
        <f t="shared" si="5"/>
        <v>74.818181818181813</v>
      </c>
      <c r="AI128" s="4" t="s">
        <v>293</v>
      </c>
    </row>
    <row r="129" spans="2:35" ht="15.75" customHeight="1" x14ac:dyDescent="0.3">
      <c r="B129" s="115">
        <v>13.64</v>
      </c>
      <c r="C129" s="115">
        <v>6.48</v>
      </c>
      <c r="D129" s="115">
        <v>8.5299999999999994</v>
      </c>
      <c r="E129" s="115">
        <v>4.25</v>
      </c>
      <c r="F129" s="115">
        <v>7.9</v>
      </c>
      <c r="G129" s="109">
        <f t="shared" si="0"/>
        <v>40.799999999999997</v>
      </c>
      <c r="H129" s="116">
        <v>1057</v>
      </c>
      <c r="I129" s="109"/>
      <c r="J129" s="4" t="s">
        <v>517</v>
      </c>
      <c r="K129" s="101">
        <f t="shared" si="1"/>
        <v>0.78800000000000003</v>
      </c>
      <c r="L129" s="109">
        <v>43.34</v>
      </c>
      <c r="M129" s="117">
        <v>2721</v>
      </c>
      <c r="V129" s="4">
        <v>127</v>
      </c>
      <c r="W129" s="4">
        <v>69</v>
      </c>
      <c r="X129" s="109">
        <v>13.72</v>
      </c>
      <c r="Y129" s="109">
        <v>7.48</v>
      </c>
      <c r="Z129" s="109">
        <v>11.22</v>
      </c>
      <c r="AA129" s="109">
        <v>3.8</v>
      </c>
      <c r="AB129" s="109">
        <v>7.23</v>
      </c>
      <c r="AC129" s="109">
        <f t="shared" si="4"/>
        <v>43.45</v>
      </c>
      <c r="AE129" s="4">
        <v>127</v>
      </c>
      <c r="AF129" s="4">
        <v>56</v>
      </c>
      <c r="AG129" s="4">
        <v>41.17</v>
      </c>
      <c r="AH129" s="109">
        <f t="shared" si="5"/>
        <v>74.854545454545459</v>
      </c>
      <c r="AI129" s="4" t="s">
        <v>293</v>
      </c>
    </row>
    <row r="130" spans="2:35" ht="15.75" customHeight="1" x14ac:dyDescent="0.3">
      <c r="B130" s="115">
        <v>14.2</v>
      </c>
      <c r="C130" s="115">
        <v>8.15</v>
      </c>
      <c r="D130" s="115">
        <v>11.51</v>
      </c>
      <c r="E130" s="115">
        <v>3.88</v>
      </c>
      <c r="F130" s="115">
        <v>7.23</v>
      </c>
      <c r="G130" s="109">
        <f t="shared" si="0"/>
        <v>44.97</v>
      </c>
      <c r="H130" s="116">
        <v>1393</v>
      </c>
      <c r="I130" s="109"/>
      <c r="J130" s="4" t="s">
        <v>517</v>
      </c>
      <c r="K130" s="101">
        <f t="shared" si="1"/>
        <v>0.78818181818181821</v>
      </c>
      <c r="L130" s="109">
        <v>43.35</v>
      </c>
      <c r="M130" s="116">
        <v>2188</v>
      </c>
      <c r="V130" s="4">
        <v>128</v>
      </c>
      <c r="W130" s="4">
        <v>661</v>
      </c>
      <c r="X130" s="109">
        <v>10.27</v>
      </c>
      <c r="Y130" s="109">
        <v>7.75</v>
      </c>
      <c r="Z130" s="109">
        <v>11.27</v>
      </c>
      <c r="AA130" s="109">
        <v>3.73</v>
      </c>
      <c r="AB130" s="109">
        <v>7.53</v>
      </c>
      <c r="AC130" s="109">
        <f t="shared" si="4"/>
        <v>40.549999999999997</v>
      </c>
      <c r="AE130" s="4">
        <v>128</v>
      </c>
      <c r="AF130" s="4">
        <v>51</v>
      </c>
      <c r="AG130" s="4">
        <v>41.22</v>
      </c>
      <c r="AH130" s="109">
        <f t="shared" si="5"/>
        <v>74.945454545454552</v>
      </c>
      <c r="AI130" s="4" t="s">
        <v>293</v>
      </c>
    </row>
    <row r="131" spans="2:35" ht="15.75" customHeight="1" x14ac:dyDescent="0.3">
      <c r="B131" s="107">
        <v>11.53</v>
      </c>
      <c r="C131" s="107">
        <v>7.56</v>
      </c>
      <c r="D131" s="107">
        <v>11.25</v>
      </c>
      <c r="E131" s="107">
        <v>3.73</v>
      </c>
      <c r="F131" s="107">
        <v>7.53</v>
      </c>
      <c r="G131" s="109">
        <f t="shared" si="0"/>
        <v>41.6</v>
      </c>
      <c r="H131" s="13">
        <v>1447</v>
      </c>
      <c r="I131" s="109"/>
      <c r="J131" s="4" t="s">
        <v>517</v>
      </c>
      <c r="K131" s="101">
        <f t="shared" si="1"/>
        <v>0.78927272727272735</v>
      </c>
      <c r="L131" s="109">
        <v>43.410000000000004</v>
      </c>
      <c r="M131" s="14">
        <v>62</v>
      </c>
      <c r="V131" s="4">
        <v>129</v>
      </c>
      <c r="W131" s="4">
        <v>515</v>
      </c>
      <c r="X131" s="109">
        <v>8.2899999999999991</v>
      </c>
      <c r="Y131" s="109">
        <v>6.15</v>
      </c>
      <c r="Z131" s="109">
        <v>7.78</v>
      </c>
      <c r="AA131" s="109">
        <v>2.9</v>
      </c>
      <c r="AB131" s="109">
        <v>4.24</v>
      </c>
      <c r="AC131" s="109">
        <f t="shared" si="4"/>
        <v>29.36</v>
      </c>
      <c r="AE131" s="4">
        <v>129</v>
      </c>
      <c r="AF131" s="4">
        <v>1058</v>
      </c>
      <c r="AG131" s="4">
        <v>41.26</v>
      </c>
      <c r="AH131" s="109">
        <f t="shared" si="5"/>
        <v>75.018181818181816</v>
      </c>
      <c r="AI131" s="4" t="s">
        <v>293</v>
      </c>
    </row>
    <row r="132" spans="2:35" ht="15.75" customHeight="1" x14ac:dyDescent="0.3">
      <c r="B132" s="115">
        <v>14.53</v>
      </c>
      <c r="C132" s="115">
        <v>8.0299999999999994</v>
      </c>
      <c r="D132" s="115">
        <v>11.9</v>
      </c>
      <c r="E132" s="115">
        <v>3.88</v>
      </c>
      <c r="F132" s="115">
        <v>7.06</v>
      </c>
      <c r="G132" s="109">
        <f t="shared" si="0"/>
        <v>45.400000000000006</v>
      </c>
      <c r="H132" s="116">
        <v>1239</v>
      </c>
      <c r="I132" s="109"/>
      <c r="J132" s="4" t="s">
        <v>517</v>
      </c>
      <c r="K132" s="101">
        <f t="shared" si="1"/>
        <v>0.78981818181818175</v>
      </c>
      <c r="L132" s="109">
        <v>43.44</v>
      </c>
      <c r="M132" s="14">
        <v>98</v>
      </c>
      <c r="V132" s="4">
        <v>130</v>
      </c>
      <c r="W132" s="4">
        <v>293</v>
      </c>
      <c r="X132" s="109">
        <v>13.45</v>
      </c>
      <c r="Y132" s="109">
        <v>5.7</v>
      </c>
      <c r="Z132" s="109">
        <v>8.5500000000000007</v>
      </c>
      <c r="AA132" s="109">
        <v>3.88</v>
      </c>
      <c r="AB132" s="109">
        <v>5.13</v>
      </c>
      <c r="AC132" s="109">
        <f t="shared" si="4"/>
        <v>36.71</v>
      </c>
      <c r="AE132" s="4">
        <v>130</v>
      </c>
      <c r="AF132" s="4">
        <v>230</v>
      </c>
      <c r="AG132" s="4">
        <v>41.370000000000005</v>
      </c>
      <c r="AH132" s="109">
        <f t="shared" si="5"/>
        <v>75.218181818181833</v>
      </c>
      <c r="AI132" s="4" t="s">
        <v>293</v>
      </c>
    </row>
    <row r="133" spans="2:35" ht="15.75" customHeight="1" x14ac:dyDescent="0.3">
      <c r="B133" s="115">
        <v>14.66</v>
      </c>
      <c r="C133" s="115">
        <v>7.88</v>
      </c>
      <c r="D133" s="115">
        <v>11.58</v>
      </c>
      <c r="E133" s="115">
        <v>4.0599999999999996</v>
      </c>
      <c r="F133" s="115">
        <v>7.53</v>
      </c>
      <c r="G133" s="109">
        <f t="shared" si="0"/>
        <v>45.71</v>
      </c>
      <c r="H133" s="116">
        <v>1244</v>
      </c>
      <c r="I133" s="109"/>
      <c r="J133" s="4" t="s">
        <v>517</v>
      </c>
      <c r="K133" s="101">
        <f t="shared" si="1"/>
        <v>0.79</v>
      </c>
      <c r="L133" s="109">
        <v>43.45</v>
      </c>
      <c r="M133" s="14">
        <v>69</v>
      </c>
      <c r="V133" s="4">
        <v>131</v>
      </c>
      <c r="W133" s="4">
        <v>971</v>
      </c>
      <c r="X133" s="109">
        <v>11.79</v>
      </c>
      <c r="Y133" s="109">
        <v>3.44</v>
      </c>
      <c r="Z133" s="109">
        <v>6.74</v>
      </c>
      <c r="AA133" s="109">
        <v>2.7</v>
      </c>
      <c r="AB133" s="109">
        <v>3.8</v>
      </c>
      <c r="AC133" s="109">
        <f t="shared" si="4"/>
        <v>28.47</v>
      </c>
      <c r="AE133" s="4">
        <v>131</v>
      </c>
      <c r="AF133" s="4">
        <v>82</v>
      </c>
      <c r="AG133" s="4">
        <v>41.519999999999996</v>
      </c>
      <c r="AH133" s="109">
        <f t="shared" si="5"/>
        <v>75.490909090909085</v>
      </c>
      <c r="AI133" s="4" t="s">
        <v>293</v>
      </c>
    </row>
    <row r="134" spans="2:35" ht="15.75" customHeight="1" x14ac:dyDescent="0.3">
      <c r="B134" s="107">
        <v>11.42</v>
      </c>
      <c r="C134" s="107">
        <v>7</v>
      </c>
      <c r="D134" s="107">
        <v>10.5</v>
      </c>
      <c r="E134" s="107">
        <v>3.5</v>
      </c>
      <c r="F134" s="107">
        <v>3</v>
      </c>
      <c r="G134" s="109">
        <f t="shared" si="0"/>
        <v>35.42</v>
      </c>
      <c r="H134" s="13">
        <v>1879</v>
      </c>
      <c r="I134" s="109"/>
      <c r="J134" s="4" t="s">
        <v>517</v>
      </c>
      <c r="K134" s="101">
        <f t="shared" si="1"/>
        <v>0.79018181818181821</v>
      </c>
      <c r="L134" s="109">
        <v>43.46</v>
      </c>
      <c r="M134" s="14">
        <v>245</v>
      </c>
      <c r="V134" s="4">
        <v>132</v>
      </c>
      <c r="W134" s="4">
        <v>638</v>
      </c>
      <c r="X134" s="109">
        <v>12.8</v>
      </c>
      <c r="Y134" s="109">
        <v>7</v>
      </c>
      <c r="Z134" s="109">
        <v>11.2</v>
      </c>
      <c r="AA134" s="109">
        <v>2.98</v>
      </c>
      <c r="AB134" s="109">
        <v>3</v>
      </c>
      <c r="AC134" s="109">
        <f t="shared" si="4"/>
        <v>36.979999999999997</v>
      </c>
      <c r="AE134" s="4">
        <v>132</v>
      </c>
      <c r="AF134" s="4">
        <v>23</v>
      </c>
      <c r="AG134" s="4">
        <v>41.53</v>
      </c>
      <c r="AH134" s="109">
        <f t="shared" si="5"/>
        <v>75.509090909090915</v>
      </c>
      <c r="AI134" s="4" t="s">
        <v>293</v>
      </c>
    </row>
    <row r="135" spans="2:35" ht="15.75" customHeight="1" x14ac:dyDescent="0.3">
      <c r="B135" s="115">
        <v>13.02</v>
      </c>
      <c r="C135" s="115">
        <v>7.77</v>
      </c>
      <c r="D135" s="115">
        <v>11.61</v>
      </c>
      <c r="E135" s="115">
        <v>3.95</v>
      </c>
      <c r="F135" s="115">
        <v>7</v>
      </c>
      <c r="G135" s="109">
        <f t="shared" si="0"/>
        <v>43.35</v>
      </c>
      <c r="H135" s="116">
        <v>2188</v>
      </c>
      <c r="I135" s="109"/>
      <c r="J135" s="4" t="s">
        <v>517</v>
      </c>
      <c r="K135" s="101">
        <f t="shared" si="1"/>
        <v>0.79036363636363638</v>
      </c>
      <c r="L135" s="109">
        <v>43.47</v>
      </c>
      <c r="M135" s="14">
        <v>445</v>
      </c>
      <c r="V135" s="4">
        <v>133</v>
      </c>
      <c r="W135" s="4">
        <v>1911</v>
      </c>
      <c r="X135" s="109">
        <v>12.5</v>
      </c>
      <c r="Y135" s="109">
        <v>4.74</v>
      </c>
      <c r="Z135" s="109">
        <v>8.1</v>
      </c>
      <c r="AA135" s="109">
        <v>3.5</v>
      </c>
      <c r="AB135" s="109">
        <v>4.4400000000000004</v>
      </c>
      <c r="AC135" s="109">
        <f t="shared" si="4"/>
        <v>33.28</v>
      </c>
      <c r="AE135" s="4">
        <v>133</v>
      </c>
      <c r="AF135" s="4">
        <v>62</v>
      </c>
      <c r="AG135" s="4">
        <v>41.57</v>
      </c>
      <c r="AH135" s="109">
        <f t="shared" si="5"/>
        <v>75.581818181818178</v>
      </c>
      <c r="AI135" s="4" t="s">
        <v>293</v>
      </c>
    </row>
    <row r="136" spans="2:35" ht="15.75" customHeight="1" x14ac:dyDescent="0.3">
      <c r="B136" s="115">
        <v>10.56</v>
      </c>
      <c r="C136" s="115">
        <v>7.8</v>
      </c>
      <c r="D136" s="115">
        <v>11.61</v>
      </c>
      <c r="E136" s="115">
        <v>3.8</v>
      </c>
      <c r="F136" s="115">
        <v>7</v>
      </c>
      <c r="G136" s="109">
        <f t="shared" si="0"/>
        <v>40.769999999999996</v>
      </c>
      <c r="H136" s="116">
        <v>2056</v>
      </c>
      <c r="I136" s="109"/>
      <c r="J136" s="4" t="s">
        <v>517</v>
      </c>
      <c r="K136" s="101">
        <f t="shared" si="1"/>
        <v>0.79109090909090907</v>
      </c>
      <c r="L136" s="109">
        <v>43.51</v>
      </c>
      <c r="M136" s="14">
        <v>165</v>
      </c>
      <c r="V136" s="4">
        <v>134</v>
      </c>
      <c r="W136" s="4">
        <v>1232</v>
      </c>
      <c r="X136" s="109">
        <v>11.6</v>
      </c>
      <c r="Y136" s="109">
        <v>3</v>
      </c>
      <c r="Z136" s="109">
        <v>4.5</v>
      </c>
      <c r="AA136" s="109">
        <v>1.9</v>
      </c>
      <c r="AB136" s="109">
        <v>3</v>
      </c>
      <c r="AC136" s="109">
        <f t="shared" si="4"/>
        <v>24</v>
      </c>
      <c r="AE136" s="4">
        <v>134</v>
      </c>
      <c r="AF136" s="4">
        <v>38</v>
      </c>
      <c r="AG136" s="4">
        <v>41.58</v>
      </c>
      <c r="AH136" s="109">
        <f t="shared" si="5"/>
        <v>75.599999999999994</v>
      </c>
      <c r="AI136" s="4" t="s">
        <v>293</v>
      </c>
    </row>
    <row r="137" spans="2:35" ht="15.75" customHeight="1" x14ac:dyDescent="0.3">
      <c r="B137" s="107">
        <v>12.05</v>
      </c>
      <c r="C137" s="107">
        <v>7.56</v>
      </c>
      <c r="D137" s="107">
        <v>11.37</v>
      </c>
      <c r="E137" s="107">
        <v>3.65</v>
      </c>
      <c r="F137" s="107">
        <v>8.0500000000000007</v>
      </c>
      <c r="G137" s="109">
        <f t="shared" si="0"/>
        <v>42.679999999999993</v>
      </c>
      <c r="H137" s="13">
        <v>2323</v>
      </c>
      <c r="I137" s="109"/>
      <c r="J137" s="4" t="s">
        <v>517</v>
      </c>
      <c r="K137" s="101">
        <f t="shared" si="1"/>
        <v>0.79254545454545444</v>
      </c>
      <c r="L137" s="109">
        <v>43.589999999999996</v>
      </c>
      <c r="M137" s="14">
        <v>1733</v>
      </c>
      <c r="V137" s="4">
        <v>135</v>
      </c>
      <c r="W137" s="4">
        <v>50</v>
      </c>
      <c r="X137" s="109">
        <v>9.94</v>
      </c>
      <c r="Y137" s="109">
        <v>6.8</v>
      </c>
      <c r="Z137" s="109">
        <v>11.39</v>
      </c>
      <c r="AA137" s="109">
        <v>3.4</v>
      </c>
      <c r="AB137" s="109">
        <v>4.97</v>
      </c>
      <c r="AC137" s="109">
        <f t="shared" si="4"/>
        <v>36.5</v>
      </c>
      <c r="AE137" s="4">
        <v>135</v>
      </c>
      <c r="AF137" s="4">
        <v>1447</v>
      </c>
      <c r="AG137" s="4">
        <v>41.6</v>
      </c>
      <c r="AH137" s="109">
        <f t="shared" si="5"/>
        <v>75.63636363636364</v>
      </c>
      <c r="AI137" s="4" t="s">
        <v>293</v>
      </c>
    </row>
    <row r="138" spans="2:35" ht="15.75" customHeight="1" x14ac:dyDescent="0.3">
      <c r="B138" s="107">
        <v>13</v>
      </c>
      <c r="C138" s="107">
        <v>7.86</v>
      </c>
      <c r="D138" s="107">
        <v>11.36</v>
      </c>
      <c r="E138" s="107">
        <v>3.95</v>
      </c>
      <c r="F138" s="107">
        <v>7</v>
      </c>
      <c r="G138" s="109">
        <f t="shared" si="0"/>
        <v>43.17</v>
      </c>
      <c r="H138" s="13">
        <v>1920</v>
      </c>
      <c r="I138" s="109"/>
      <c r="J138" s="4" t="s">
        <v>517</v>
      </c>
      <c r="K138" s="101">
        <f t="shared" si="1"/>
        <v>0.7936363636363637</v>
      </c>
      <c r="L138" s="109">
        <v>43.650000000000006</v>
      </c>
      <c r="M138" s="14">
        <v>69</v>
      </c>
      <c r="V138" s="4">
        <v>136</v>
      </c>
      <c r="W138" s="4">
        <v>1155</v>
      </c>
      <c r="X138" s="109">
        <v>11.34</v>
      </c>
      <c r="Y138" s="109">
        <v>5.2</v>
      </c>
      <c r="Z138" s="109">
        <v>9.8000000000000007</v>
      </c>
      <c r="AA138" s="109">
        <v>3.58</v>
      </c>
      <c r="AB138" s="109">
        <v>5.56</v>
      </c>
      <c r="AC138" s="109">
        <f t="shared" si="4"/>
        <v>35.480000000000004</v>
      </c>
      <c r="AE138" s="4">
        <v>136</v>
      </c>
      <c r="AF138" s="4">
        <v>1146</v>
      </c>
      <c r="AG138" s="4">
        <v>41.67</v>
      </c>
      <c r="AH138" s="109">
        <f t="shared" si="5"/>
        <v>75.763636363636365</v>
      </c>
      <c r="AI138" s="4" t="s">
        <v>293</v>
      </c>
    </row>
    <row r="139" spans="2:35" ht="15.75" customHeight="1" x14ac:dyDescent="0.3">
      <c r="B139" s="107">
        <v>12.23</v>
      </c>
      <c r="C139" s="107">
        <v>7.83</v>
      </c>
      <c r="D139" s="107">
        <v>11.25</v>
      </c>
      <c r="E139" s="107">
        <v>3.8</v>
      </c>
      <c r="F139" s="107">
        <v>7</v>
      </c>
      <c r="G139" s="109">
        <f t="shared" si="0"/>
        <v>42.11</v>
      </c>
      <c r="H139" s="13">
        <v>1867</v>
      </c>
      <c r="I139" s="109"/>
      <c r="J139" s="4" t="s">
        <v>517</v>
      </c>
      <c r="K139" s="101">
        <f t="shared" si="1"/>
        <v>0.79381818181818176</v>
      </c>
      <c r="L139" s="109">
        <v>43.66</v>
      </c>
      <c r="M139" s="14">
        <v>281</v>
      </c>
      <c r="V139" s="4">
        <v>137</v>
      </c>
      <c r="W139" s="4">
        <v>422</v>
      </c>
      <c r="X139" s="109">
        <v>6.58</v>
      </c>
      <c r="Y139" s="109">
        <v>5.08</v>
      </c>
      <c r="Z139" s="109">
        <v>9.08</v>
      </c>
      <c r="AA139" s="109">
        <v>3.65</v>
      </c>
      <c r="AB139" s="109">
        <v>7.6</v>
      </c>
      <c r="AC139" s="109">
        <f t="shared" si="4"/>
        <v>31.990000000000002</v>
      </c>
      <c r="AE139" s="4">
        <v>137</v>
      </c>
      <c r="AF139" s="4">
        <v>165</v>
      </c>
      <c r="AG139" s="4">
        <v>41.89</v>
      </c>
      <c r="AH139" s="109">
        <f t="shared" si="5"/>
        <v>76.163636363636371</v>
      </c>
      <c r="AI139" s="4" t="s">
        <v>293</v>
      </c>
    </row>
    <row r="140" spans="2:35" ht="15.75" customHeight="1" x14ac:dyDescent="0.3">
      <c r="B140" s="107">
        <v>13.36</v>
      </c>
      <c r="C140" s="107">
        <v>7.88</v>
      </c>
      <c r="D140" s="107">
        <v>12.03</v>
      </c>
      <c r="E140" s="107">
        <v>4.03</v>
      </c>
      <c r="F140" s="107">
        <v>7.62</v>
      </c>
      <c r="G140" s="109">
        <f t="shared" si="0"/>
        <v>44.919999999999995</v>
      </c>
      <c r="H140" s="13">
        <v>1262</v>
      </c>
      <c r="I140" s="109"/>
      <c r="J140" s="4" t="s">
        <v>517</v>
      </c>
      <c r="K140" s="127">
        <f t="shared" si="1"/>
        <v>0.79600000000000004</v>
      </c>
      <c r="L140" s="109">
        <v>43.78</v>
      </c>
      <c r="M140" s="14">
        <v>38</v>
      </c>
      <c r="V140" s="4">
        <v>138</v>
      </c>
      <c r="W140" s="4">
        <v>194</v>
      </c>
      <c r="X140" s="109">
        <v>10.26</v>
      </c>
      <c r="Y140" s="109">
        <v>5.6</v>
      </c>
      <c r="Z140" s="109">
        <v>9.2200000000000006</v>
      </c>
      <c r="AA140" s="109">
        <v>3.5</v>
      </c>
      <c r="AB140" s="109">
        <v>5.8</v>
      </c>
      <c r="AC140" s="109">
        <f t="shared" si="4"/>
        <v>34.379999999999995</v>
      </c>
      <c r="AE140" s="4">
        <v>138</v>
      </c>
      <c r="AF140" s="4">
        <v>1341</v>
      </c>
      <c r="AG140" s="4">
        <v>41.910000000000004</v>
      </c>
      <c r="AH140" s="109">
        <f t="shared" si="5"/>
        <v>76.200000000000017</v>
      </c>
      <c r="AI140" s="4" t="s">
        <v>293</v>
      </c>
    </row>
    <row r="141" spans="2:35" ht="15.75" customHeight="1" x14ac:dyDescent="0.3">
      <c r="B141" s="107">
        <v>10.34</v>
      </c>
      <c r="C141" s="107">
        <v>7</v>
      </c>
      <c r="D141" s="107">
        <v>10.5</v>
      </c>
      <c r="E141" s="107">
        <v>3.5</v>
      </c>
      <c r="F141" s="107">
        <v>7</v>
      </c>
      <c r="G141" s="109">
        <f t="shared" si="0"/>
        <v>38.340000000000003</v>
      </c>
      <c r="H141" s="13">
        <v>1094</v>
      </c>
      <c r="I141" s="109"/>
      <c r="J141" s="4" t="s">
        <v>517</v>
      </c>
      <c r="K141" s="127">
        <f t="shared" si="1"/>
        <v>0.79672727272727273</v>
      </c>
      <c r="L141" s="109">
        <v>43.82</v>
      </c>
      <c r="M141" s="117">
        <v>1086</v>
      </c>
      <c r="V141" s="4">
        <v>139</v>
      </c>
      <c r="W141" s="4">
        <v>684</v>
      </c>
      <c r="X141" s="109">
        <v>12.16</v>
      </c>
      <c r="Y141" s="109">
        <v>5.14</v>
      </c>
      <c r="Z141" s="109">
        <v>7.1</v>
      </c>
      <c r="AA141" s="109">
        <v>3.2</v>
      </c>
      <c r="AB141" s="109">
        <v>6.64</v>
      </c>
      <c r="AC141" s="109">
        <f t="shared" si="4"/>
        <v>34.239999999999995</v>
      </c>
      <c r="AE141" s="4">
        <v>139</v>
      </c>
      <c r="AF141" s="4">
        <v>1347</v>
      </c>
      <c r="AG141" s="4">
        <v>42.08</v>
      </c>
      <c r="AH141" s="109">
        <f t="shared" si="5"/>
        <v>76.509090909090901</v>
      </c>
      <c r="AI141" s="4" t="s">
        <v>293</v>
      </c>
    </row>
    <row r="142" spans="2:35" ht="15.75" customHeight="1" x14ac:dyDescent="0.3">
      <c r="B142" s="107">
        <v>14.86</v>
      </c>
      <c r="C142" s="107">
        <v>7.98</v>
      </c>
      <c r="D142" s="107">
        <v>11.5</v>
      </c>
      <c r="E142" s="107">
        <v>3.18</v>
      </c>
      <c r="F142" s="107">
        <v>7.6</v>
      </c>
      <c r="G142" s="109">
        <f t="shared" si="0"/>
        <v>45.120000000000005</v>
      </c>
      <c r="H142" s="13">
        <v>1088</v>
      </c>
      <c r="I142" s="109"/>
      <c r="J142" s="4" t="s">
        <v>517</v>
      </c>
      <c r="K142" s="127">
        <f t="shared" si="1"/>
        <v>0.79799999999999993</v>
      </c>
      <c r="L142" s="109">
        <v>43.889999999999993</v>
      </c>
      <c r="M142" s="14">
        <v>113</v>
      </c>
      <c r="V142" s="4">
        <v>140</v>
      </c>
      <c r="W142" s="4">
        <v>461</v>
      </c>
      <c r="X142" s="109">
        <v>10.18</v>
      </c>
      <c r="Y142" s="109">
        <v>7.71</v>
      </c>
      <c r="Z142" s="109">
        <v>10.25</v>
      </c>
      <c r="AA142" s="109">
        <v>3.5</v>
      </c>
      <c r="AB142" s="109">
        <v>7.15</v>
      </c>
      <c r="AC142" s="109">
        <f t="shared" si="4"/>
        <v>38.79</v>
      </c>
      <c r="AE142" s="4">
        <v>140</v>
      </c>
      <c r="AF142" s="4">
        <v>288</v>
      </c>
      <c r="AG142" s="4">
        <v>42.290000000000006</v>
      </c>
      <c r="AH142" s="109">
        <f t="shared" si="5"/>
        <v>76.890909090909105</v>
      </c>
      <c r="AI142" s="4" t="s">
        <v>293</v>
      </c>
    </row>
    <row r="143" spans="2:35" ht="15.75" customHeight="1" x14ac:dyDescent="0.3">
      <c r="B143" s="107">
        <v>13.55</v>
      </c>
      <c r="C143" s="107">
        <v>3.76</v>
      </c>
      <c r="D143" s="107">
        <v>9.6999999999999993</v>
      </c>
      <c r="E143" s="107">
        <v>3.5</v>
      </c>
      <c r="F143" s="107">
        <v>5.56</v>
      </c>
      <c r="G143" s="109">
        <f t="shared" si="0"/>
        <v>36.07</v>
      </c>
      <c r="H143" s="13">
        <v>1151</v>
      </c>
      <c r="I143" s="109"/>
      <c r="J143" s="4" t="s">
        <v>517</v>
      </c>
      <c r="K143" s="127">
        <f t="shared" si="1"/>
        <v>0.79800000000000004</v>
      </c>
      <c r="L143" s="109">
        <v>43.89</v>
      </c>
      <c r="M143" s="13">
        <v>1921</v>
      </c>
      <c r="V143" s="4">
        <v>141</v>
      </c>
      <c r="W143" s="4">
        <v>1554</v>
      </c>
      <c r="X143" s="109">
        <v>10.130000000000001</v>
      </c>
      <c r="Y143" s="109">
        <v>7.69</v>
      </c>
      <c r="Z143" s="109">
        <v>11.18</v>
      </c>
      <c r="AA143" s="109">
        <v>3.5</v>
      </c>
      <c r="AB143" s="109">
        <v>8.2799999999999994</v>
      </c>
      <c r="AC143" s="109">
        <f t="shared" si="4"/>
        <v>40.78</v>
      </c>
      <c r="AE143" s="4">
        <v>141</v>
      </c>
      <c r="AF143" s="4">
        <v>2323</v>
      </c>
      <c r="AG143" s="4">
        <v>42.679999999999993</v>
      </c>
      <c r="AH143" s="109">
        <f t="shared" si="5"/>
        <v>77.599999999999994</v>
      </c>
      <c r="AI143" s="4" t="s">
        <v>293</v>
      </c>
    </row>
    <row r="144" spans="2:35" ht="15.75" customHeight="1" x14ac:dyDescent="0.3">
      <c r="B144" s="115">
        <v>11.96</v>
      </c>
      <c r="C144" s="115">
        <v>5.0599999999999996</v>
      </c>
      <c r="D144" s="115">
        <v>10.71</v>
      </c>
      <c r="E144" s="115">
        <v>3.5</v>
      </c>
      <c r="F144" s="115">
        <v>7.95</v>
      </c>
      <c r="G144" s="109">
        <f t="shared" si="0"/>
        <v>39.18</v>
      </c>
      <c r="H144" s="116">
        <v>319</v>
      </c>
      <c r="I144" s="109"/>
      <c r="J144" s="4" t="s">
        <v>517</v>
      </c>
      <c r="K144" s="127">
        <f t="shared" si="1"/>
        <v>0.79872727272727273</v>
      </c>
      <c r="L144" s="109">
        <v>43.93</v>
      </c>
      <c r="M144" s="117">
        <v>2522</v>
      </c>
      <c r="V144" s="4">
        <v>142</v>
      </c>
      <c r="W144" s="4">
        <v>745</v>
      </c>
      <c r="X144" s="109">
        <v>10.16</v>
      </c>
      <c r="Y144" s="109">
        <v>5.34</v>
      </c>
      <c r="Z144" s="109">
        <v>11.53</v>
      </c>
      <c r="AA144" s="109">
        <v>4.0999999999999996</v>
      </c>
      <c r="AB144" s="109">
        <v>7</v>
      </c>
      <c r="AC144" s="109">
        <f t="shared" si="4"/>
        <v>38.130000000000003</v>
      </c>
      <c r="AE144" s="4">
        <v>142</v>
      </c>
      <c r="AF144" s="4">
        <v>1637</v>
      </c>
      <c r="AG144" s="4">
        <v>42.99</v>
      </c>
      <c r="AH144" s="109">
        <f t="shared" si="5"/>
        <v>78.163636363636371</v>
      </c>
      <c r="AI144" s="4" t="s">
        <v>293</v>
      </c>
    </row>
    <row r="145" spans="2:35" ht="15.75" customHeight="1" x14ac:dyDescent="0.3">
      <c r="B145" s="107">
        <v>14.97</v>
      </c>
      <c r="C145" s="107">
        <v>6.31</v>
      </c>
      <c r="D145" s="107">
        <v>13.15</v>
      </c>
      <c r="E145" s="107">
        <v>4.25</v>
      </c>
      <c r="F145" s="107">
        <v>7.46</v>
      </c>
      <c r="G145" s="109">
        <f t="shared" si="0"/>
        <v>46.14</v>
      </c>
      <c r="H145" s="13">
        <v>309</v>
      </c>
      <c r="I145" s="109"/>
      <c r="J145" s="4" t="s">
        <v>517</v>
      </c>
      <c r="K145" s="127">
        <f t="shared" si="1"/>
        <v>0.8</v>
      </c>
      <c r="L145" s="109">
        <v>44</v>
      </c>
      <c r="M145" s="14">
        <v>1182</v>
      </c>
      <c r="V145" s="4">
        <v>143</v>
      </c>
      <c r="W145" s="4">
        <v>230</v>
      </c>
      <c r="X145" s="109">
        <v>13.38</v>
      </c>
      <c r="Y145" s="109">
        <v>4.25</v>
      </c>
      <c r="Z145" s="109">
        <v>12.11</v>
      </c>
      <c r="AA145" s="109">
        <v>4.25</v>
      </c>
      <c r="AB145" s="109">
        <v>7.38</v>
      </c>
      <c r="AC145" s="109">
        <f t="shared" si="4"/>
        <v>41.370000000000005</v>
      </c>
      <c r="AE145" s="4">
        <v>143</v>
      </c>
      <c r="AF145" s="4">
        <v>1920</v>
      </c>
      <c r="AG145" s="4">
        <v>43.17</v>
      </c>
      <c r="AH145" s="109">
        <f t="shared" si="5"/>
        <v>78.490909090909085</v>
      </c>
      <c r="AI145" s="4" t="s">
        <v>293</v>
      </c>
    </row>
    <row r="146" spans="2:35" ht="15.75" customHeight="1" x14ac:dyDescent="0.3">
      <c r="B146" s="107">
        <v>4.95</v>
      </c>
      <c r="C146" s="107">
        <v>7.66</v>
      </c>
      <c r="D146" s="107">
        <v>12.75</v>
      </c>
      <c r="E146" s="107">
        <v>4.25</v>
      </c>
      <c r="F146" s="107">
        <v>8.41</v>
      </c>
      <c r="G146" s="109">
        <f t="shared" si="0"/>
        <v>38.019999999999996</v>
      </c>
      <c r="H146" s="13">
        <v>350</v>
      </c>
      <c r="I146" s="109"/>
      <c r="J146" s="4" t="s">
        <v>270</v>
      </c>
      <c r="K146" s="127">
        <f t="shared" si="1"/>
        <v>0.80381818181818165</v>
      </c>
      <c r="L146" s="109">
        <v>44.209999999999994</v>
      </c>
      <c r="M146" s="14">
        <v>369</v>
      </c>
      <c r="V146" s="4">
        <v>144</v>
      </c>
      <c r="W146" s="4">
        <v>215</v>
      </c>
      <c r="X146" s="109">
        <v>5.77</v>
      </c>
      <c r="Y146" s="109">
        <v>7</v>
      </c>
      <c r="Z146" s="109">
        <v>12.27</v>
      </c>
      <c r="AA146" s="109">
        <v>3.5</v>
      </c>
      <c r="AB146" s="109">
        <v>7</v>
      </c>
      <c r="AC146" s="109">
        <f t="shared" si="4"/>
        <v>35.54</v>
      </c>
      <c r="AE146" s="4">
        <v>144</v>
      </c>
      <c r="AF146" s="4">
        <v>1044</v>
      </c>
      <c r="AG146" s="4">
        <v>43.23</v>
      </c>
      <c r="AH146" s="109">
        <f t="shared" si="5"/>
        <v>78.599999999999994</v>
      </c>
      <c r="AI146" s="4" t="s">
        <v>293</v>
      </c>
    </row>
    <row r="147" spans="2:35" ht="15.75" customHeight="1" x14ac:dyDescent="0.3">
      <c r="B147" s="107">
        <v>14.94</v>
      </c>
      <c r="C147" s="107">
        <v>8.6999999999999993</v>
      </c>
      <c r="D147" s="107">
        <v>12.75</v>
      </c>
      <c r="E147" s="107">
        <v>4.75</v>
      </c>
      <c r="F147" s="107">
        <v>7.7</v>
      </c>
      <c r="G147" s="109">
        <f t="shared" si="0"/>
        <v>48.84</v>
      </c>
      <c r="H147" s="13">
        <v>63</v>
      </c>
      <c r="I147" s="109"/>
      <c r="J147" s="4" t="s">
        <v>270</v>
      </c>
      <c r="K147" s="101">
        <f t="shared" si="1"/>
        <v>0.80763636363636371</v>
      </c>
      <c r="L147" s="109">
        <v>44.42</v>
      </c>
      <c r="M147" s="14">
        <v>1812</v>
      </c>
      <c r="V147" s="4">
        <v>145</v>
      </c>
      <c r="W147" s="4">
        <v>165</v>
      </c>
      <c r="X147" s="109">
        <v>11.76</v>
      </c>
      <c r="Y147" s="109">
        <v>7</v>
      </c>
      <c r="Z147" s="109">
        <v>12.63</v>
      </c>
      <c r="AA147" s="109">
        <v>3.5</v>
      </c>
      <c r="AB147" s="109">
        <v>7</v>
      </c>
      <c r="AC147" s="109">
        <f t="shared" si="4"/>
        <v>41.89</v>
      </c>
      <c r="AE147" s="4">
        <v>145</v>
      </c>
      <c r="AF147" s="4">
        <v>2721</v>
      </c>
      <c r="AG147" s="4">
        <v>43.34</v>
      </c>
      <c r="AH147" s="109">
        <f t="shared" si="5"/>
        <v>78.8</v>
      </c>
      <c r="AI147" s="4" t="s">
        <v>293</v>
      </c>
    </row>
    <row r="148" spans="2:35" ht="15.75" customHeight="1" x14ac:dyDescent="0.3">
      <c r="B148" s="128">
        <v>14.64</v>
      </c>
      <c r="C148" s="113">
        <v>5.75</v>
      </c>
      <c r="D148" s="113">
        <v>12.75</v>
      </c>
      <c r="E148" s="113">
        <v>4.25</v>
      </c>
      <c r="F148" s="113">
        <v>7.74</v>
      </c>
      <c r="G148" s="109">
        <f t="shared" si="0"/>
        <v>45.13</v>
      </c>
      <c r="H148" s="29">
        <v>777</v>
      </c>
      <c r="I148" s="109"/>
      <c r="J148" s="4" t="s">
        <v>270</v>
      </c>
      <c r="K148" s="101">
        <f t="shared" si="1"/>
        <v>0.8083636363636364</v>
      </c>
      <c r="L148" s="109">
        <v>44.46</v>
      </c>
      <c r="M148" s="13">
        <v>13</v>
      </c>
      <c r="V148" s="4">
        <v>146</v>
      </c>
      <c r="W148" s="4">
        <v>629</v>
      </c>
      <c r="X148" s="109">
        <v>7.1</v>
      </c>
      <c r="Y148" s="109">
        <v>5.75</v>
      </c>
      <c r="Z148" s="109">
        <v>10.050000000000001</v>
      </c>
      <c r="AA148" s="109">
        <v>4.03</v>
      </c>
      <c r="AB148" s="109">
        <v>7</v>
      </c>
      <c r="AC148" s="109">
        <f t="shared" si="4"/>
        <v>33.93</v>
      </c>
      <c r="AE148" s="4">
        <v>146</v>
      </c>
      <c r="AF148" s="4">
        <v>2188</v>
      </c>
      <c r="AG148" s="4">
        <v>43.35</v>
      </c>
      <c r="AH148" s="109">
        <f t="shared" si="5"/>
        <v>78.818181818181827</v>
      </c>
      <c r="AI148" s="4" t="s">
        <v>293</v>
      </c>
    </row>
    <row r="149" spans="2:35" ht="15.75" customHeight="1" x14ac:dyDescent="0.3">
      <c r="B149" s="118">
        <v>11.29</v>
      </c>
      <c r="C149" s="107">
        <v>3.8</v>
      </c>
      <c r="D149" s="107">
        <v>12.75</v>
      </c>
      <c r="E149" s="107">
        <v>4.25</v>
      </c>
      <c r="F149" s="107">
        <v>6.7</v>
      </c>
      <c r="G149" s="109">
        <f t="shared" si="0"/>
        <v>38.790000000000006</v>
      </c>
      <c r="H149" s="13">
        <v>80</v>
      </c>
      <c r="I149" s="109"/>
      <c r="J149" s="4" t="s">
        <v>270</v>
      </c>
      <c r="K149" s="101">
        <f t="shared" si="1"/>
        <v>0.8123636363636364</v>
      </c>
      <c r="L149" s="109">
        <v>44.68</v>
      </c>
      <c r="M149" s="14">
        <v>332</v>
      </c>
      <c r="V149" s="4">
        <v>147</v>
      </c>
      <c r="W149" s="4">
        <v>2340</v>
      </c>
      <c r="X149" s="109">
        <v>11.7</v>
      </c>
      <c r="Y149" s="109">
        <v>4</v>
      </c>
      <c r="Z149" s="109">
        <v>7.3</v>
      </c>
      <c r="AA149" s="109">
        <v>3.58</v>
      </c>
      <c r="AB149" s="109">
        <v>5.8</v>
      </c>
      <c r="AC149" s="109">
        <f t="shared" si="4"/>
        <v>32.379999999999995</v>
      </c>
      <c r="AE149" s="4">
        <v>147</v>
      </c>
      <c r="AF149" s="4">
        <v>1292</v>
      </c>
      <c r="AG149" s="4">
        <v>43.39</v>
      </c>
      <c r="AH149" s="109">
        <f t="shared" si="5"/>
        <v>78.890909090909091</v>
      </c>
      <c r="AI149" s="4" t="s">
        <v>293</v>
      </c>
    </row>
    <row r="150" spans="2:35" ht="15.75" customHeight="1" x14ac:dyDescent="0.3">
      <c r="B150" s="107">
        <v>10.16</v>
      </c>
      <c r="C150" s="107">
        <v>5</v>
      </c>
      <c r="D150" s="107">
        <v>9.8000000000000007</v>
      </c>
      <c r="E150" s="107">
        <v>3.38</v>
      </c>
      <c r="F150" s="107">
        <v>5.16</v>
      </c>
      <c r="G150" s="109">
        <f t="shared" si="0"/>
        <v>33.5</v>
      </c>
      <c r="H150" s="13">
        <v>1074</v>
      </c>
      <c r="I150" s="109"/>
      <c r="J150" s="4" t="s">
        <v>270</v>
      </c>
      <c r="K150" s="101">
        <f t="shared" si="1"/>
        <v>0.81672727272727264</v>
      </c>
      <c r="L150" s="109">
        <v>44.919999999999995</v>
      </c>
      <c r="M150" s="13">
        <v>1262</v>
      </c>
      <c r="V150" s="4">
        <v>148</v>
      </c>
      <c r="W150" s="4">
        <v>789</v>
      </c>
      <c r="X150" s="109">
        <v>7.99</v>
      </c>
      <c r="Y150" s="109">
        <v>6.93</v>
      </c>
      <c r="Z150" s="109">
        <v>10.79</v>
      </c>
      <c r="AA150" s="109">
        <v>4.0999999999999996</v>
      </c>
      <c r="AB150" s="109">
        <v>6.84</v>
      </c>
      <c r="AC150" s="109">
        <f t="shared" si="4"/>
        <v>36.650000000000006</v>
      </c>
      <c r="AE150" s="4">
        <v>148</v>
      </c>
      <c r="AF150" s="4">
        <v>62</v>
      </c>
      <c r="AG150" s="4">
        <v>43.410000000000004</v>
      </c>
      <c r="AH150" s="109">
        <f t="shared" si="5"/>
        <v>78.927272727272737</v>
      </c>
      <c r="AI150" s="4" t="s">
        <v>293</v>
      </c>
    </row>
    <row r="151" spans="2:35" ht="15.75" customHeight="1" x14ac:dyDescent="0.3">
      <c r="B151" s="107">
        <v>15</v>
      </c>
      <c r="C151" s="107">
        <v>7.14</v>
      </c>
      <c r="D151" s="107">
        <v>11.57</v>
      </c>
      <c r="E151" s="107">
        <v>4.25</v>
      </c>
      <c r="F151" s="107">
        <v>8.11</v>
      </c>
      <c r="G151" s="109">
        <f t="shared" si="0"/>
        <v>46.07</v>
      </c>
      <c r="H151" s="13">
        <v>1499</v>
      </c>
      <c r="I151" s="109"/>
      <c r="J151" s="4" t="s">
        <v>270</v>
      </c>
      <c r="K151" s="101">
        <f t="shared" si="1"/>
        <v>0.81763636363636361</v>
      </c>
      <c r="L151" s="109">
        <v>44.97</v>
      </c>
      <c r="M151" s="116">
        <v>1393</v>
      </c>
      <c r="V151" s="4">
        <v>149</v>
      </c>
      <c r="W151" s="4">
        <v>209</v>
      </c>
      <c r="X151" s="109">
        <v>11</v>
      </c>
      <c r="Y151" s="109">
        <v>7</v>
      </c>
      <c r="Z151" s="109">
        <v>12.63</v>
      </c>
      <c r="AA151" s="109">
        <v>3.5</v>
      </c>
      <c r="AB151" s="109">
        <v>3</v>
      </c>
      <c r="AC151" s="109">
        <f t="shared" si="4"/>
        <v>37.130000000000003</v>
      </c>
      <c r="AE151" s="4">
        <v>149</v>
      </c>
      <c r="AF151" s="4">
        <v>98</v>
      </c>
      <c r="AG151" s="4">
        <v>43.44</v>
      </c>
      <c r="AH151" s="109">
        <f t="shared" si="5"/>
        <v>78.98181818181817</v>
      </c>
      <c r="AI151" s="4" t="s">
        <v>293</v>
      </c>
    </row>
    <row r="152" spans="2:35" ht="15.75" customHeight="1" x14ac:dyDescent="0.3">
      <c r="B152" s="115">
        <v>12.67</v>
      </c>
      <c r="C152" s="115">
        <v>4.4000000000000004</v>
      </c>
      <c r="D152" s="115">
        <v>7.62</v>
      </c>
      <c r="E152" s="115">
        <v>3.1</v>
      </c>
      <c r="F152" s="115">
        <v>5.56</v>
      </c>
      <c r="G152" s="109">
        <f t="shared" si="0"/>
        <v>33.35</v>
      </c>
      <c r="H152" s="116">
        <v>2184</v>
      </c>
      <c r="I152" s="109"/>
      <c r="J152" s="4" t="s">
        <v>270</v>
      </c>
      <c r="K152" s="101">
        <f t="shared" si="1"/>
        <v>0.82036363636363641</v>
      </c>
      <c r="L152" s="109">
        <v>45.120000000000005</v>
      </c>
      <c r="M152" s="13">
        <v>1088</v>
      </c>
      <c r="V152" s="4">
        <v>150</v>
      </c>
      <c r="W152" s="4">
        <v>13</v>
      </c>
      <c r="X152" s="109">
        <v>14.25</v>
      </c>
      <c r="Y152" s="109">
        <v>7.08</v>
      </c>
      <c r="Z152" s="109">
        <v>12.63</v>
      </c>
      <c r="AA152" s="109">
        <v>3.5</v>
      </c>
      <c r="AB152" s="109">
        <v>7</v>
      </c>
      <c r="AC152" s="109">
        <f t="shared" si="4"/>
        <v>44.46</v>
      </c>
      <c r="AE152" s="4">
        <v>150</v>
      </c>
      <c r="AF152" s="4">
        <v>69</v>
      </c>
      <c r="AG152" s="4">
        <v>43.45</v>
      </c>
      <c r="AH152" s="109">
        <f t="shared" si="5"/>
        <v>79</v>
      </c>
      <c r="AI152" s="4" t="s">
        <v>293</v>
      </c>
    </row>
    <row r="153" spans="2:35" ht="15.75" customHeight="1" x14ac:dyDescent="0.3">
      <c r="B153" s="115">
        <v>11.81</v>
      </c>
      <c r="C153" s="115">
        <v>4.2</v>
      </c>
      <c r="D153" s="115">
        <v>7.3</v>
      </c>
      <c r="E153" s="115">
        <v>3.58</v>
      </c>
      <c r="F153" s="115">
        <v>4.16</v>
      </c>
      <c r="G153" s="109">
        <f t="shared" si="0"/>
        <v>31.05</v>
      </c>
      <c r="H153" s="116">
        <v>1736</v>
      </c>
      <c r="I153" s="109"/>
      <c r="J153" s="4" t="s">
        <v>270</v>
      </c>
      <c r="K153" s="101">
        <f t="shared" si="1"/>
        <v>0.82054545454545458</v>
      </c>
      <c r="L153" s="109">
        <v>45.13</v>
      </c>
      <c r="M153" s="29">
        <v>777</v>
      </c>
      <c r="V153" s="4">
        <v>151</v>
      </c>
      <c r="W153" s="4">
        <v>20</v>
      </c>
      <c r="X153" s="109">
        <v>10</v>
      </c>
      <c r="Y153" s="109">
        <v>4</v>
      </c>
      <c r="Z153" s="109">
        <v>7.5</v>
      </c>
      <c r="AA153" s="109">
        <v>2.5</v>
      </c>
      <c r="AB153" s="109">
        <v>5</v>
      </c>
      <c r="AC153" s="109">
        <f t="shared" si="4"/>
        <v>29</v>
      </c>
      <c r="AE153" s="4">
        <v>151</v>
      </c>
      <c r="AF153" s="4">
        <v>245</v>
      </c>
      <c r="AG153" s="4">
        <v>43.46</v>
      </c>
      <c r="AH153" s="109">
        <f t="shared" si="5"/>
        <v>79.018181818181816</v>
      </c>
      <c r="AI153" s="4" t="s">
        <v>293</v>
      </c>
    </row>
    <row r="154" spans="2:35" ht="15.75" customHeight="1" x14ac:dyDescent="0.3">
      <c r="B154" s="113">
        <v>13.99</v>
      </c>
      <c r="C154" s="113">
        <v>6.63</v>
      </c>
      <c r="D154" s="113">
        <v>11.4</v>
      </c>
      <c r="E154" s="113">
        <v>3.63</v>
      </c>
      <c r="F154" s="113">
        <v>7.03</v>
      </c>
      <c r="G154" s="109">
        <f t="shared" si="0"/>
        <v>42.680000000000007</v>
      </c>
      <c r="H154" s="29">
        <v>1074</v>
      </c>
      <c r="I154" s="109"/>
      <c r="J154" s="4" t="s">
        <v>270</v>
      </c>
      <c r="K154" s="101">
        <f t="shared" si="1"/>
        <v>0.82381818181818178</v>
      </c>
      <c r="L154" s="109">
        <v>45.309999999999995</v>
      </c>
      <c r="M154" s="13">
        <v>1403</v>
      </c>
      <c r="V154" s="4">
        <v>152</v>
      </c>
      <c r="W154" s="4">
        <v>54</v>
      </c>
      <c r="X154" s="109">
        <v>13.4</v>
      </c>
      <c r="Y154" s="109">
        <v>4.28</v>
      </c>
      <c r="Z154" s="109">
        <v>10.3</v>
      </c>
      <c r="AA154" s="109">
        <v>4.25</v>
      </c>
      <c r="AB154" s="109">
        <v>7</v>
      </c>
      <c r="AC154" s="109">
        <f t="shared" si="4"/>
        <v>39.230000000000004</v>
      </c>
      <c r="AE154" s="4">
        <v>152</v>
      </c>
      <c r="AF154" s="4">
        <v>445</v>
      </c>
      <c r="AG154" s="4">
        <v>43.47</v>
      </c>
      <c r="AH154" s="109">
        <f t="shared" si="5"/>
        <v>79.036363636363632</v>
      </c>
      <c r="AI154" s="4" t="s">
        <v>293</v>
      </c>
    </row>
    <row r="155" spans="2:35" ht="15.75" customHeight="1" x14ac:dyDescent="0.3">
      <c r="B155" s="115">
        <v>5.47</v>
      </c>
      <c r="C155" s="115">
        <v>4.24</v>
      </c>
      <c r="D155" s="115">
        <v>8.58</v>
      </c>
      <c r="E155" s="115">
        <v>3.5</v>
      </c>
      <c r="F155" s="115">
        <v>5.8</v>
      </c>
      <c r="G155" s="109">
        <f t="shared" si="0"/>
        <v>27.59</v>
      </c>
      <c r="H155" s="116">
        <v>1523</v>
      </c>
      <c r="I155" s="109"/>
      <c r="J155" s="4" t="s">
        <v>270</v>
      </c>
      <c r="K155" s="101">
        <f t="shared" si="1"/>
        <v>0.82545454545454555</v>
      </c>
      <c r="L155" s="109">
        <v>45.400000000000006</v>
      </c>
      <c r="M155" s="116">
        <v>1239</v>
      </c>
      <c r="V155" s="4">
        <v>153</v>
      </c>
      <c r="W155" s="4">
        <v>2143</v>
      </c>
      <c r="X155" s="109">
        <v>7.39</v>
      </c>
      <c r="Y155" s="109">
        <v>7</v>
      </c>
      <c r="Z155" s="109">
        <v>11.27</v>
      </c>
      <c r="AA155" s="109">
        <v>3.5</v>
      </c>
      <c r="AB155" s="109">
        <v>7.54</v>
      </c>
      <c r="AC155" s="109">
        <f t="shared" si="4"/>
        <v>36.700000000000003</v>
      </c>
      <c r="AE155" s="4">
        <v>153</v>
      </c>
      <c r="AF155" s="4">
        <v>165</v>
      </c>
      <c r="AG155" s="4">
        <v>43.51</v>
      </c>
      <c r="AH155" s="109">
        <f t="shared" si="5"/>
        <v>79.109090909090909</v>
      </c>
      <c r="AI155" s="4" t="s">
        <v>293</v>
      </c>
    </row>
    <row r="156" spans="2:35" ht="15.75" customHeight="1" x14ac:dyDescent="0.3">
      <c r="B156" s="115">
        <v>12.21</v>
      </c>
      <c r="C156" s="115">
        <v>4.2</v>
      </c>
      <c r="D156" s="115">
        <v>8.18</v>
      </c>
      <c r="E156" s="115">
        <v>2.93</v>
      </c>
      <c r="F156" s="115">
        <v>4.84</v>
      </c>
      <c r="G156" s="109">
        <f t="shared" si="0"/>
        <v>32.36</v>
      </c>
      <c r="H156" s="116">
        <v>1085</v>
      </c>
      <c r="I156" s="109"/>
      <c r="J156" s="4" t="s">
        <v>270</v>
      </c>
      <c r="K156" s="101">
        <f t="shared" si="1"/>
        <v>0.8310909090909091</v>
      </c>
      <c r="L156" s="109">
        <v>45.71</v>
      </c>
      <c r="M156" s="116">
        <v>1244</v>
      </c>
      <c r="V156" s="4">
        <v>154</v>
      </c>
      <c r="W156" s="4">
        <v>2721</v>
      </c>
      <c r="X156" s="109">
        <v>13.42</v>
      </c>
      <c r="Y156" s="109">
        <v>7.6</v>
      </c>
      <c r="Z156" s="109">
        <v>11.57</v>
      </c>
      <c r="AA156" s="109">
        <v>3.95</v>
      </c>
      <c r="AB156" s="109">
        <v>6.8</v>
      </c>
      <c r="AC156" s="109">
        <f t="shared" si="4"/>
        <v>43.34</v>
      </c>
      <c r="AE156" s="4">
        <v>154</v>
      </c>
      <c r="AF156" s="4">
        <v>1733</v>
      </c>
      <c r="AG156" s="4">
        <v>43.589999999999996</v>
      </c>
      <c r="AH156" s="109">
        <f t="shared" si="5"/>
        <v>79.25454545454545</v>
      </c>
      <c r="AI156" s="4" t="s">
        <v>293</v>
      </c>
    </row>
    <row r="157" spans="2:35" ht="15.75" customHeight="1" x14ac:dyDescent="0.3">
      <c r="B157" s="107">
        <v>12.34</v>
      </c>
      <c r="C157" s="107">
        <v>3.94</v>
      </c>
      <c r="D157" s="107">
        <v>7.46</v>
      </c>
      <c r="E157" s="107">
        <v>2.78</v>
      </c>
      <c r="F157" s="107">
        <v>3.4</v>
      </c>
      <c r="G157" s="109">
        <f t="shared" si="0"/>
        <v>29.92</v>
      </c>
      <c r="H157" s="13">
        <v>1807</v>
      </c>
      <c r="I157" s="109"/>
      <c r="J157" s="4" t="s">
        <v>270</v>
      </c>
      <c r="K157" s="101">
        <f t="shared" si="1"/>
        <v>0.83418181818181825</v>
      </c>
      <c r="L157" s="109">
        <v>45.88</v>
      </c>
      <c r="M157" s="13">
        <v>1370</v>
      </c>
      <c r="V157" s="4">
        <v>155</v>
      </c>
      <c r="W157" s="4">
        <v>1146</v>
      </c>
      <c r="X157" s="109">
        <v>13.67</v>
      </c>
      <c r="Y157" s="109">
        <v>7</v>
      </c>
      <c r="Z157" s="109">
        <v>10.5</v>
      </c>
      <c r="AA157" s="109">
        <v>3.5</v>
      </c>
      <c r="AB157" s="109">
        <v>7</v>
      </c>
      <c r="AC157" s="109">
        <f t="shared" si="4"/>
        <v>41.67</v>
      </c>
      <c r="AE157" s="4">
        <v>155</v>
      </c>
      <c r="AF157" s="4">
        <v>69</v>
      </c>
      <c r="AG157" s="4">
        <v>43.650000000000006</v>
      </c>
      <c r="AH157" s="109">
        <f t="shared" si="5"/>
        <v>79.363636363636374</v>
      </c>
      <c r="AI157" s="4" t="s">
        <v>293</v>
      </c>
    </row>
    <row r="158" spans="2:35" ht="15.75" customHeight="1" x14ac:dyDescent="0.3">
      <c r="B158" s="113">
        <v>12.86</v>
      </c>
      <c r="C158" s="113">
        <v>4.68</v>
      </c>
      <c r="D158" s="113">
        <v>10.78</v>
      </c>
      <c r="E158" s="113">
        <v>3.65</v>
      </c>
      <c r="F158" s="113">
        <v>4.16</v>
      </c>
      <c r="G158" s="109">
        <f t="shared" si="0"/>
        <v>36.129999999999995</v>
      </c>
      <c r="H158" s="29">
        <v>1799</v>
      </c>
      <c r="I158" s="109"/>
      <c r="J158" s="4" t="s">
        <v>270</v>
      </c>
      <c r="K158" s="101">
        <f t="shared" si="1"/>
        <v>0.83763636363636362</v>
      </c>
      <c r="L158" s="109">
        <v>46.07</v>
      </c>
      <c r="M158" s="13">
        <v>1499</v>
      </c>
      <c r="V158" s="4">
        <v>156</v>
      </c>
      <c r="W158" s="4">
        <v>1151</v>
      </c>
      <c r="X158" s="109">
        <v>9.35</v>
      </c>
      <c r="Y158" s="109">
        <v>8.4499999999999993</v>
      </c>
      <c r="Z158" s="109">
        <v>13.21</v>
      </c>
      <c r="AA158" s="109">
        <v>4.75</v>
      </c>
      <c r="AB158" s="109">
        <v>8.5</v>
      </c>
      <c r="AC158" s="109">
        <f t="shared" si="4"/>
        <v>44.26</v>
      </c>
      <c r="AE158" s="4">
        <v>156</v>
      </c>
      <c r="AF158" s="4">
        <v>38</v>
      </c>
      <c r="AG158" s="4">
        <v>43.78</v>
      </c>
      <c r="AH158" s="109">
        <f t="shared" si="5"/>
        <v>79.600000000000009</v>
      </c>
      <c r="AI158" s="4" t="s">
        <v>293</v>
      </c>
    </row>
    <row r="159" spans="2:35" ht="15.75" customHeight="1" x14ac:dyDescent="0.3">
      <c r="B159" s="115">
        <v>11.15</v>
      </c>
      <c r="C159" s="115">
        <v>3.3</v>
      </c>
      <c r="D159" s="115">
        <v>7.06</v>
      </c>
      <c r="E159" s="115">
        <v>2.2999999999999998</v>
      </c>
      <c r="F159" s="115">
        <v>4.76</v>
      </c>
      <c r="G159" s="109">
        <f t="shared" si="0"/>
        <v>28.57</v>
      </c>
      <c r="H159" s="116">
        <v>2462</v>
      </c>
      <c r="I159" s="109"/>
      <c r="J159" s="4" t="s">
        <v>270</v>
      </c>
      <c r="K159" s="101">
        <f t="shared" si="1"/>
        <v>0.83890909090909094</v>
      </c>
      <c r="L159" s="109">
        <v>46.14</v>
      </c>
      <c r="M159" s="13">
        <v>309</v>
      </c>
      <c r="V159" s="4">
        <v>157</v>
      </c>
      <c r="W159" s="4">
        <v>319</v>
      </c>
      <c r="X159" s="109">
        <v>13.4</v>
      </c>
      <c r="Y159" s="109">
        <v>5.0599999999999996</v>
      </c>
      <c r="Z159" s="109">
        <v>10.71</v>
      </c>
      <c r="AA159" s="109">
        <v>3.5</v>
      </c>
      <c r="AB159" s="109">
        <v>7.95</v>
      </c>
      <c r="AC159" s="109">
        <f t="shared" si="4"/>
        <v>40.620000000000005</v>
      </c>
      <c r="AE159" s="4">
        <v>157</v>
      </c>
      <c r="AF159" s="4">
        <v>1086</v>
      </c>
      <c r="AG159" s="4">
        <v>43.82</v>
      </c>
      <c r="AH159" s="109">
        <f t="shared" si="5"/>
        <v>79.672727272727272</v>
      </c>
      <c r="AI159" s="4" t="s">
        <v>293</v>
      </c>
    </row>
    <row r="160" spans="2:35" ht="15.75" customHeight="1" x14ac:dyDescent="0.3">
      <c r="B160" s="129">
        <v>12.38</v>
      </c>
      <c r="C160" s="129">
        <v>4.4000000000000004</v>
      </c>
      <c r="D160" s="129">
        <v>7.46</v>
      </c>
      <c r="E160" s="129">
        <v>3.73</v>
      </c>
      <c r="F160" s="129">
        <v>5.8</v>
      </c>
      <c r="G160" s="109">
        <f t="shared" si="0"/>
        <v>33.770000000000003</v>
      </c>
      <c r="H160" s="97">
        <v>1424</v>
      </c>
      <c r="I160" s="109"/>
      <c r="J160" s="4" t="s">
        <v>270</v>
      </c>
      <c r="K160" s="101">
        <f t="shared" si="1"/>
        <v>0.88800000000000001</v>
      </c>
      <c r="L160" s="109">
        <v>48.84</v>
      </c>
      <c r="M160" s="97">
        <v>63</v>
      </c>
      <c r="V160" s="4">
        <v>158</v>
      </c>
      <c r="W160" s="4">
        <v>309</v>
      </c>
      <c r="X160" s="109">
        <v>14.97</v>
      </c>
      <c r="Y160" s="109">
        <v>6.31</v>
      </c>
      <c r="Z160" s="109">
        <v>13.15</v>
      </c>
      <c r="AA160" s="109">
        <v>4.25</v>
      </c>
      <c r="AB160" s="109">
        <v>7.46</v>
      </c>
      <c r="AC160" s="109">
        <f t="shared" si="4"/>
        <v>46.14</v>
      </c>
      <c r="AE160" s="4">
        <v>158</v>
      </c>
      <c r="AF160" s="4">
        <v>113</v>
      </c>
      <c r="AG160" s="4">
        <v>43.889999999999993</v>
      </c>
      <c r="AH160" s="109">
        <f t="shared" si="5"/>
        <v>79.8</v>
      </c>
      <c r="AI160" s="4" t="s">
        <v>293</v>
      </c>
    </row>
    <row r="161" spans="22:35" ht="15.75" customHeight="1" x14ac:dyDescent="0.3">
      <c r="V161" s="4">
        <v>159</v>
      </c>
      <c r="W161" s="4">
        <v>350</v>
      </c>
      <c r="X161" s="109">
        <v>4.95</v>
      </c>
      <c r="Y161" s="109">
        <v>7.66</v>
      </c>
      <c r="Z161" s="109">
        <v>12.75</v>
      </c>
      <c r="AA161" s="109">
        <v>4.25</v>
      </c>
      <c r="AB161" s="109">
        <v>8.41</v>
      </c>
      <c r="AC161" s="109">
        <f t="shared" si="4"/>
        <v>38.019999999999996</v>
      </c>
      <c r="AE161" s="4">
        <v>159</v>
      </c>
      <c r="AF161" s="4">
        <v>1921</v>
      </c>
      <c r="AG161" s="4">
        <v>43.89</v>
      </c>
      <c r="AH161" s="109">
        <f t="shared" si="5"/>
        <v>79.800000000000011</v>
      </c>
      <c r="AI161" s="4" t="s">
        <v>293</v>
      </c>
    </row>
    <row r="162" spans="22:35" ht="15.75" customHeight="1" x14ac:dyDescent="0.3">
      <c r="V162" s="4">
        <v>160</v>
      </c>
      <c r="W162" s="4">
        <v>63</v>
      </c>
      <c r="X162" s="109">
        <v>14.94</v>
      </c>
      <c r="Y162" s="109">
        <v>8.6999999999999993</v>
      </c>
      <c r="Z162" s="109">
        <v>12.75</v>
      </c>
      <c r="AA162" s="109">
        <v>4.75</v>
      </c>
      <c r="AB162" s="109">
        <v>7.7</v>
      </c>
      <c r="AC162" s="109">
        <f t="shared" si="4"/>
        <v>48.84</v>
      </c>
      <c r="AE162" s="4">
        <v>160</v>
      </c>
      <c r="AF162" s="4">
        <v>1182</v>
      </c>
      <c r="AG162" s="4">
        <v>44</v>
      </c>
      <c r="AH162" s="109">
        <f t="shared" si="5"/>
        <v>80</v>
      </c>
      <c r="AI162" s="4" t="s">
        <v>270</v>
      </c>
    </row>
    <row r="163" spans="22:35" ht="15.75" customHeight="1" x14ac:dyDescent="0.3">
      <c r="V163" s="4">
        <v>161</v>
      </c>
      <c r="W163" s="4">
        <v>777</v>
      </c>
      <c r="X163" s="109">
        <v>11.01</v>
      </c>
      <c r="Y163" s="109">
        <v>6</v>
      </c>
      <c r="Z163" s="109">
        <v>12.12</v>
      </c>
      <c r="AA163" s="109">
        <v>3.4</v>
      </c>
      <c r="AB163" s="109">
        <v>6.35</v>
      </c>
      <c r="AC163" s="109">
        <f t="shared" si="4"/>
        <v>38.879999999999995</v>
      </c>
      <c r="AE163" s="4">
        <v>161</v>
      </c>
      <c r="AF163" s="4">
        <v>1151</v>
      </c>
      <c r="AG163" s="4">
        <v>44.26</v>
      </c>
      <c r="AH163" s="109">
        <f t="shared" si="5"/>
        <v>80.472727272727269</v>
      </c>
      <c r="AI163" s="4" t="s">
        <v>270</v>
      </c>
    </row>
    <row r="164" spans="22:35" ht="15.75" customHeight="1" x14ac:dyDescent="0.3">
      <c r="V164" s="4">
        <v>162</v>
      </c>
      <c r="W164" s="4">
        <v>80</v>
      </c>
      <c r="X164" s="109">
        <v>5.29</v>
      </c>
      <c r="Y164" s="109">
        <v>3.8</v>
      </c>
      <c r="Z164" s="109">
        <v>12.75</v>
      </c>
      <c r="AA164" s="109">
        <v>4.25</v>
      </c>
      <c r="AB164" s="109">
        <v>6.7</v>
      </c>
      <c r="AC164" s="109">
        <f t="shared" si="4"/>
        <v>32.79</v>
      </c>
      <c r="AE164" s="4">
        <v>162</v>
      </c>
      <c r="AF164" s="4">
        <v>1812</v>
      </c>
      <c r="AG164" s="4">
        <v>44.42</v>
      </c>
      <c r="AH164" s="109">
        <f t="shared" si="5"/>
        <v>80.763636363636365</v>
      </c>
      <c r="AI164" s="4" t="s">
        <v>270</v>
      </c>
    </row>
    <row r="165" spans="22:35" ht="15.75" customHeight="1" x14ac:dyDescent="0.3">
      <c r="V165" s="4">
        <v>163</v>
      </c>
      <c r="W165" s="4">
        <v>190</v>
      </c>
      <c r="X165" s="109">
        <v>14.63</v>
      </c>
      <c r="Y165" s="109">
        <v>4.3</v>
      </c>
      <c r="Z165" s="109">
        <v>9.3000000000000007</v>
      </c>
      <c r="AA165" s="109">
        <v>3.5</v>
      </c>
      <c r="AB165" s="109">
        <v>3</v>
      </c>
      <c r="AC165" s="109">
        <f t="shared" si="4"/>
        <v>34.730000000000004</v>
      </c>
      <c r="AE165" s="4">
        <v>163</v>
      </c>
      <c r="AF165" s="4">
        <v>13</v>
      </c>
      <c r="AG165" s="4">
        <v>44.46</v>
      </c>
      <c r="AH165" s="109">
        <f t="shared" si="5"/>
        <v>80.836363636363643</v>
      </c>
      <c r="AI165" s="4" t="s">
        <v>270</v>
      </c>
    </row>
    <row r="166" spans="22:35" ht="15.75" customHeight="1" x14ac:dyDescent="0.3">
      <c r="V166" s="4">
        <v>164</v>
      </c>
      <c r="W166" s="4">
        <v>151</v>
      </c>
      <c r="X166" s="109">
        <v>13.64</v>
      </c>
      <c r="Y166" s="109">
        <v>7</v>
      </c>
      <c r="Z166" s="109">
        <v>10.5</v>
      </c>
      <c r="AA166" s="109">
        <v>3.5</v>
      </c>
      <c r="AB166" s="109">
        <v>3</v>
      </c>
      <c r="AC166" s="109">
        <f t="shared" si="4"/>
        <v>37.64</v>
      </c>
      <c r="AE166" s="4">
        <v>164</v>
      </c>
      <c r="AF166" s="4">
        <v>1262</v>
      </c>
      <c r="AG166" s="4">
        <v>44.919999999999995</v>
      </c>
      <c r="AH166" s="109">
        <f t="shared" si="5"/>
        <v>81.672727272727258</v>
      </c>
      <c r="AI166" s="4" t="s">
        <v>270</v>
      </c>
    </row>
    <row r="167" spans="22:35" ht="15.75" customHeight="1" x14ac:dyDescent="0.3">
      <c r="V167" s="4">
        <v>165</v>
      </c>
      <c r="W167" s="4">
        <v>62</v>
      </c>
      <c r="X167" s="109">
        <v>12.99</v>
      </c>
      <c r="Y167" s="109">
        <v>7.41</v>
      </c>
      <c r="Z167" s="109">
        <v>12.75</v>
      </c>
      <c r="AA167" s="109">
        <v>3.95</v>
      </c>
      <c r="AB167" s="109">
        <v>3</v>
      </c>
      <c r="AC167" s="109">
        <f t="shared" si="4"/>
        <v>40.1</v>
      </c>
      <c r="AE167" s="4">
        <v>165</v>
      </c>
      <c r="AF167" s="4">
        <v>1393</v>
      </c>
      <c r="AG167" s="4">
        <v>44.97</v>
      </c>
      <c r="AH167" s="109">
        <f t="shared" si="5"/>
        <v>81.763636363636365</v>
      </c>
      <c r="AI167" s="4" t="s">
        <v>270</v>
      </c>
    </row>
    <row r="168" spans="22:35" ht="15.75" customHeight="1" x14ac:dyDescent="0.3">
      <c r="V168" s="4">
        <v>166</v>
      </c>
      <c r="W168" s="4">
        <v>696</v>
      </c>
      <c r="X168" s="109">
        <v>14.5</v>
      </c>
      <c r="Y168" s="109">
        <v>7.41</v>
      </c>
      <c r="Z168" s="109">
        <v>4.5</v>
      </c>
      <c r="AA168" s="109">
        <v>1.5</v>
      </c>
      <c r="AB168" s="109">
        <v>8.5</v>
      </c>
      <c r="AC168" s="109">
        <f t="shared" si="4"/>
        <v>36.409999999999997</v>
      </c>
      <c r="AE168" s="4">
        <v>166</v>
      </c>
      <c r="AF168" s="4">
        <v>1403</v>
      </c>
      <c r="AG168" s="4">
        <v>45.309999999999995</v>
      </c>
      <c r="AH168" s="109">
        <f t="shared" si="5"/>
        <v>82.381818181818176</v>
      </c>
      <c r="AI168" s="4" t="s">
        <v>270</v>
      </c>
    </row>
    <row r="169" spans="22:35" ht="15.75" customHeight="1" x14ac:dyDescent="0.3">
      <c r="V169" s="4">
        <v>167</v>
      </c>
      <c r="W169" s="4">
        <v>598</v>
      </c>
      <c r="X169" s="109">
        <v>14.38</v>
      </c>
      <c r="Y169" s="109">
        <v>7.41</v>
      </c>
      <c r="Z169" s="109">
        <v>12.75</v>
      </c>
      <c r="AA169" s="109">
        <v>4.25</v>
      </c>
      <c r="AB169" s="109">
        <v>8.5</v>
      </c>
      <c r="AC169" s="109">
        <f t="shared" si="4"/>
        <v>47.29</v>
      </c>
      <c r="AE169" s="4">
        <v>167</v>
      </c>
      <c r="AF169" s="4">
        <v>332</v>
      </c>
      <c r="AG169" s="4">
        <v>45.36</v>
      </c>
      <c r="AH169" s="109">
        <f t="shared" si="5"/>
        <v>82.472727272727269</v>
      </c>
      <c r="AI169" s="4" t="s">
        <v>270</v>
      </c>
    </row>
    <row r="170" spans="22:35" ht="15.75" customHeight="1" x14ac:dyDescent="0.3">
      <c r="V170" s="4">
        <v>168</v>
      </c>
      <c r="W170" s="4">
        <v>445</v>
      </c>
      <c r="X170" s="109">
        <v>14.63</v>
      </c>
      <c r="Y170" s="109">
        <v>7.41</v>
      </c>
      <c r="Z170" s="109">
        <v>12.45</v>
      </c>
      <c r="AA170" s="109">
        <v>3.5</v>
      </c>
      <c r="AB170" s="109">
        <v>8.5</v>
      </c>
      <c r="AC170" s="109">
        <f t="shared" si="4"/>
        <v>46.489999999999995</v>
      </c>
      <c r="AE170" s="4">
        <v>168</v>
      </c>
      <c r="AF170" s="4">
        <v>1239</v>
      </c>
      <c r="AG170" s="4">
        <v>45.42</v>
      </c>
      <c r="AH170" s="109">
        <f t="shared" si="5"/>
        <v>82.581818181818193</v>
      </c>
      <c r="AI170" s="4" t="s">
        <v>270</v>
      </c>
    </row>
    <row r="171" spans="22:35" ht="15.75" customHeight="1" x14ac:dyDescent="0.3">
      <c r="V171" s="4">
        <v>169</v>
      </c>
      <c r="W171" s="4">
        <v>64</v>
      </c>
      <c r="X171" s="109">
        <v>14.1</v>
      </c>
      <c r="Y171" s="109">
        <v>4.0999999999999996</v>
      </c>
      <c r="Z171" s="109">
        <v>4.5</v>
      </c>
      <c r="AA171" s="109">
        <v>2.7</v>
      </c>
      <c r="AB171" s="109">
        <v>3</v>
      </c>
      <c r="AC171" s="109">
        <f t="shared" si="4"/>
        <v>28.4</v>
      </c>
      <c r="AE171" s="4">
        <v>169</v>
      </c>
      <c r="AF171" s="4">
        <v>1088</v>
      </c>
      <c r="AG171" s="4">
        <v>45.46</v>
      </c>
      <c r="AH171" s="109">
        <f t="shared" si="5"/>
        <v>82.654545454545456</v>
      </c>
      <c r="AI171" s="4" t="s">
        <v>270</v>
      </c>
    </row>
    <row r="172" spans="22:35" ht="15.75" customHeight="1" x14ac:dyDescent="0.3">
      <c r="V172" s="4">
        <v>170</v>
      </c>
      <c r="W172" s="4">
        <v>695</v>
      </c>
      <c r="X172" s="109">
        <v>14.96</v>
      </c>
      <c r="Y172" s="109">
        <v>6.88</v>
      </c>
      <c r="Z172" s="109">
        <v>9.68</v>
      </c>
      <c r="AA172" s="109">
        <v>2.9</v>
      </c>
      <c r="AB172" s="109">
        <v>6.1</v>
      </c>
      <c r="AC172" s="109">
        <f t="shared" si="4"/>
        <v>40.520000000000003</v>
      </c>
      <c r="AE172" s="4">
        <v>170</v>
      </c>
      <c r="AF172" s="4">
        <v>1867</v>
      </c>
      <c r="AG172" s="4">
        <v>45.6</v>
      </c>
      <c r="AH172" s="109">
        <f t="shared" si="5"/>
        <v>82.909090909090907</v>
      </c>
      <c r="AI172" s="4" t="s">
        <v>270</v>
      </c>
    </row>
    <row r="173" spans="22:35" ht="15.75" customHeight="1" x14ac:dyDescent="0.3">
      <c r="V173" s="4">
        <v>171</v>
      </c>
      <c r="W173" s="4">
        <v>463</v>
      </c>
      <c r="X173" s="109">
        <v>5.15</v>
      </c>
      <c r="Y173" s="109">
        <v>5.36</v>
      </c>
      <c r="Z173" s="109">
        <v>8.5299999999999994</v>
      </c>
      <c r="AA173" s="109">
        <v>3.35</v>
      </c>
      <c r="AB173" s="109">
        <v>7.9</v>
      </c>
      <c r="AC173" s="109">
        <f t="shared" si="4"/>
        <v>30.29</v>
      </c>
      <c r="AE173" s="4">
        <v>171</v>
      </c>
      <c r="AF173" s="4">
        <v>1244</v>
      </c>
      <c r="AG173" s="4">
        <v>45.68</v>
      </c>
      <c r="AH173" s="109">
        <f t="shared" si="5"/>
        <v>83.054545454545462</v>
      </c>
      <c r="AI173" s="4" t="s">
        <v>270</v>
      </c>
    </row>
    <row r="174" spans="22:35" ht="15.75" customHeight="1" x14ac:dyDescent="0.3">
      <c r="V174" s="4">
        <v>172</v>
      </c>
      <c r="W174" s="4">
        <v>296</v>
      </c>
      <c r="X174" s="109">
        <v>7.71</v>
      </c>
      <c r="Y174" s="109">
        <v>4.33</v>
      </c>
      <c r="Z174" s="109">
        <v>8.84</v>
      </c>
      <c r="AA174" s="109">
        <v>3.93</v>
      </c>
      <c r="AB174" s="109">
        <v>3.2</v>
      </c>
      <c r="AC174" s="109">
        <f t="shared" si="4"/>
        <v>28.009999999999998</v>
      </c>
      <c r="AE174" s="4">
        <v>172</v>
      </c>
      <c r="AF174" s="4">
        <v>1370</v>
      </c>
      <c r="AG174" s="4">
        <v>45.88</v>
      </c>
      <c r="AH174" s="109">
        <f t="shared" si="5"/>
        <v>83.418181818181822</v>
      </c>
      <c r="AI174" s="4" t="s">
        <v>270</v>
      </c>
    </row>
    <row r="175" spans="22:35" ht="15.75" customHeight="1" x14ac:dyDescent="0.3">
      <c r="V175" s="4">
        <v>173</v>
      </c>
      <c r="W175" s="4">
        <v>2581</v>
      </c>
      <c r="X175" s="109">
        <v>13.4</v>
      </c>
      <c r="Y175" s="109">
        <v>7</v>
      </c>
      <c r="Z175" s="109">
        <v>9</v>
      </c>
      <c r="AA175" s="109">
        <v>3.5</v>
      </c>
      <c r="AB175" s="109">
        <v>7</v>
      </c>
      <c r="AC175" s="109">
        <f t="shared" si="4"/>
        <v>39.9</v>
      </c>
      <c r="AE175" s="4">
        <v>173</v>
      </c>
      <c r="AF175" s="4">
        <v>1499</v>
      </c>
      <c r="AG175" s="4">
        <v>46.07</v>
      </c>
      <c r="AH175" s="109">
        <f t="shared" si="5"/>
        <v>83.763636363636365</v>
      </c>
      <c r="AI175" s="4" t="s">
        <v>270</v>
      </c>
    </row>
    <row r="176" spans="22:35" ht="15.75" customHeight="1" x14ac:dyDescent="0.3">
      <c r="V176" s="4">
        <v>174</v>
      </c>
      <c r="W176" s="4">
        <v>876</v>
      </c>
      <c r="X176" s="4">
        <v>12.13</v>
      </c>
      <c r="Y176" s="4">
        <v>3</v>
      </c>
      <c r="Z176" s="4">
        <v>6.5</v>
      </c>
      <c r="AA176" s="4">
        <v>1.5</v>
      </c>
      <c r="AB176" s="4">
        <v>3</v>
      </c>
      <c r="AC176" s="109">
        <f t="shared" si="4"/>
        <v>26.130000000000003</v>
      </c>
      <c r="AE176" s="4">
        <v>174</v>
      </c>
      <c r="AF176" s="4">
        <v>309</v>
      </c>
      <c r="AG176" s="4">
        <v>46.14</v>
      </c>
      <c r="AH176" s="109">
        <f t="shared" si="5"/>
        <v>83.890909090909091</v>
      </c>
      <c r="AI176" s="4" t="s">
        <v>270</v>
      </c>
    </row>
    <row r="177" spans="22:35" ht="15.75" customHeight="1" x14ac:dyDescent="0.3">
      <c r="V177" s="4">
        <v>175</v>
      </c>
      <c r="W177" s="4">
        <v>148</v>
      </c>
      <c r="X177" s="4">
        <v>13.38</v>
      </c>
      <c r="Y177" s="4">
        <v>6</v>
      </c>
      <c r="Z177" s="4">
        <v>6.5</v>
      </c>
      <c r="AA177" s="4">
        <v>3.1</v>
      </c>
      <c r="AB177" s="4">
        <v>3.4</v>
      </c>
      <c r="AC177" s="109">
        <f t="shared" si="4"/>
        <v>32.380000000000003</v>
      </c>
      <c r="AE177" s="4">
        <v>175</v>
      </c>
      <c r="AF177" s="4">
        <v>445</v>
      </c>
      <c r="AG177" s="4">
        <v>46.489999999999995</v>
      </c>
      <c r="AH177" s="109">
        <f t="shared" si="5"/>
        <v>84.527272727272717</v>
      </c>
      <c r="AI177" s="4" t="s">
        <v>270</v>
      </c>
    </row>
    <row r="178" spans="22:35" ht="15.75" customHeight="1" x14ac:dyDescent="0.3">
      <c r="V178" s="4">
        <v>176</v>
      </c>
      <c r="W178" s="4">
        <v>1046</v>
      </c>
      <c r="X178" s="4">
        <v>9.64</v>
      </c>
      <c r="Y178" s="4">
        <v>7</v>
      </c>
      <c r="Z178" s="4">
        <v>12.63</v>
      </c>
      <c r="AA178" s="4">
        <v>3.5</v>
      </c>
      <c r="AB178" s="4">
        <v>7</v>
      </c>
      <c r="AC178" s="109">
        <f t="shared" si="4"/>
        <v>39.770000000000003</v>
      </c>
      <c r="AE178" s="4">
        <v>176</v>
      </c>
      <c r="AF178" s="4">
        <v>1879</v>
      </c>
      <c r="AG178" s="4">
        <v>46.76</v>
      </c>
      <c r="AH178" s="109">
        <f t="shared" si="5"/>
        <v>85.018181818181816</v>
      </c>
      <c r="AI178" s="4" t="s">
        <v>270</v>
      </c>
    </row>
    <row r="179" spans="22:35" ht="15.75" customHeight="1" x14ac:dyDescent="0.3">
      <c r="V179" s="4">
        <v>177</v>
      </c>
      <c r="W179" s="4">
        <v>367</v>
      </c>
      <c r="X179" s="4">
        <v>11.4</v>
      </c>
      <c r="Y179" s="4">
        <v>7</v>
      </c>
      <c r="Z179" s="4">
        <v>12.63</v>
      </c>
      <c r="AA179" s="4">
        <v>3.5</v>
      </c>
      <c r="AB179" s="4">
        <v>3</v>
      </c>
      <c r="AC179" s="109">
        <f t="shared" si="4"/>
        <v>37.53</v>
      </c>
      <c r="AE179" s="4">
        <v>177</v>
      </c>
      <c r="AF179" s="4">
        <v>598</v>
      </c>
      <c r="AG179" s="4">
        <v>47.29</v>
      </c>
      <c r="AH179" s="109">
        <f t="shared" si="5"/>
        <v>85.981818181818184</v>
      </c>
      <c r="AI179" s="4" t="s">
        <v>270</v>
      </c>
    </row>
    <row r="180" spans="22:35" ht="15.75" customHeight="1" x14ac:dyDescent="0.3">
      <c r="V180" s="4">
        <v>178</v>
      </c>
      <c r="W180" s="4">
        <v>1372</v>
      </c>
      <c r="X180" s="4">
        <v>8.18</v>
      </c>
      <c r="Y180" s="4">
        <v>7</v>
      </c>
      <c r="Z180" s="4">
        <v>12.63</v>
      </c>
      <c r="AA180" s="4">
        <v>3.5</v>
      </c>
      <c r="AB180" s="4">
        <v>7</v>
      </c>
      <c r="AC180" s="109">
        <f t="shared" si="4"/>
        <v>38.31</v>
      </c>
      <c r="AE180" s="4">
        <v>178</v>
      </c>
      <c r="AF180" s="4">
        <v>63</v>
      </c>
      <c r="AG180" s="4">
        <v>48.84</v>
      </c>
      <c r="AH180" s="109">
        <f t="shared" si="5"/>
        <v>88.8</v>
      </c>
      <c r="AI180" s="4" t="s">
        <v>270</v>
      </c>
    </row>
    <row r="181" spans="22:35" ht="15.75" customHeight="1" x14ac:dyDescent="0.3"/>
    <row r="182" spans="22:35" ht="15.75" customHeight="1" x14ac:dyDescent="0.3"/>
    <row r="183" spans="22:35" ht="15.75" customHeight="1" x14ac:dyDescent="0.3"/>
    <row r="184" spans="22:35" ht="15.75" customHeight="1" x14ac:dyDescent="0.3"/>
    <row r="185" spans="22:35" ht="15.75" customHeight="1" x14ac:dyDescent="0.3"/>
    <row r="186" spans="22:35" ht="15.75" customHeight="1" x14ac:dyDescent="0.3"/>
    <row r="187" spans="22:35" ht="15.75" customHeight="1" x14ac:dyDescent="0.3"/>
    <row r="188" spans="22:35" ht="15.75" customHeight="1" x14ac:dyDescent="0.3"/>
    <row r="189" spans="22:35" ht="15.75" customHeight="1" x14ac:dyDescent="0.3"/>
    <row r="190" spans="22:35" ht="15.75" customHeight="1" x14ac:dyDescent="0.3"/>
    <row r="191" spans="22:35" ht="15.75" customHeight="1" x14ac:dyDescent="0.3"/>
    <row r="192" spans="22:35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R1000"/>
  <sheetViews>
    <sheetView workbookViewId="0"/>
  </sheetViews>
  <sheetFormatPr defaultColWidth="14.44140625" defaultRowHeight="15" customHeight="1" x14ac:dyDescent="0.3"/>
  <cols>
    <col min="1" max="1" width="10.109375" customWidth="1"/>
    <col min="2" max="5" width="8.6640625" customWidth="1"/>
    <col min="6" max="7" width="10.109375" customWidth="1"/>
    <col min="8" max="28" width="8.6640625" customWidth="1"/>
    <col min="29" max="29" width="5.5546875" customWidth="1"/>
    <col min="30" max="30" width="36.88671875" customWidth="1"/>
    <col min="31" max="32" width="8.6640625" customWidth="1"/>
    <col min="33" max="33" width="11.5546875" customWidth="1"/>
    <col min="34" max="40" width="8.6640625" customWidth="1"/>
    <col min="41" max="41" width="36.88671875" customWidth="1"/>
    <col min="42" max="44" width="8.6640625" customWidth="1"/>
  </cols>
  <sheetData>
    <row r="1" spans="1:44" ht="14.4" x14ac:dyDescent="0.3">
      <c r="A1" s="4" t="s">
        <v>259</v>
      </c>
      <c r="B1" s="3" t="s">
        <v>262</v>
      </c>
      <c r="C1" s="3" t="s">
        <v>518</v>
      </c>
      <c r="F1" s="3" t="s">
        <v>259</v>
      </c>
      <c r="G1" s="3" t="s">
        <v>260</v>
      </c>
      <c r="H1" s="3" t="s">
        <v>260</v>
      </c>
      <c r="K1" s="3" t="s">
        <v>259</v>
      </c>
      <c r="L1" s="3" t="s">
        <v>261</v>
      </c>
      <c r="M1" s="3" t="s">
        <v>261</v>
      </c>
    </row>
    <row r="2" spans="1:44" ht="14.4" x14ac:dyDescent="0.3">
      <c r="A2" s="4" t="s">
        <v>271</v>
      </c>
      <c r="B2" s="30">
        <v>1120</v>
      </c>
      <c r="C2" s="4">
        <v>47.994</v>
      </c>
      <c r="F2" s="4" t="s">
        <v>271</v>
      </c>
      <c r="G2" s="101">
        <f t="shared" ref="G2:G4" si="0">+H2/$H$6</f>
        <v>0.12359550561797752</v>
      </c>
      <c r="H2" s="4">
        <f>+COUNT(AQ3:AQ24)</f>
        <v>22</v>
      </c>
      <c r="K2" s="4" t="s">
        <v>271</v>
      </c>
      <c r="L2" s="101">
        <v>0.14000000000000001</v>
      </c>
      <c r="M2" s="100">
        <f>+SUM(AP3:AP24)</f>
        <v>16165</v>
      </c>
      <c r="AC2" s="4" t="s">
        <v>519</v>
      </c>
      <c r="AD2" s="4" t="s">
        <v>520</v>
      </c>
      <c r="AE2" s="4" t="s">
        <v>262</v>
      </c>
      <c r="AF2" s="4" t="s">
        <v>521</v>
      </c>
      <c r="AG2" s="109" t="str">
        <f>+'Non fisik'!X2</f>
        <v>Produktivitas</v>
      </c>
      <c r="AH2" s="109" t="str">
        <f>+'Non fisik'!Y2</f>
        <v>Sarana Penujang</v>
      </c>
      <c r="AI2" s="109" t="str">
        <f>+'Non fisik'!Z2</f>
        <v>Organisasi Personalia</v>
      </c>
      <c r="AJ2" s="109" t="str">
        <f>+'Non fisik'!AA2</f>
        <v>Dokumentasi</v>
      </c>
      <c r="AK2" s="109" t="str">
        <f>+'Non fisik'!AB2</f>
        <v>P3A/GP3A/IP3A</v>
      </c>
      <c r="AL2" s="4" t="s">
        <v>518</v>
      </c>
      <c r="AN2" s="4" t="s">
        <v>519</v>
      </c>
      <c r="AO2" s="4" t="s">
        <v>520</v>
      </c>
      <c r="AP2" s="4" t="s">
        <v>258</v>
      </c>
      <c r="AQ2" s="4" t="s">
        <v>518</v>
      </c>
    </row>
    <row r="3" spans="1:44" ht="14.4" x14ac:dyDescent="0.3">
      <c r="A3" s="4" t="s">
        <v>271</v>
      </c>
      <c r="B3" s="13">
        <v>50</v>
      </c>
      <c r="C3" s="4">
        <v>48.529999999999994</v>
      </c>
      <c r="F3" s="4" t="s">
        <v>516</v>
      </c>
      <c r="G3" s="101">
        <f t="shared" si="0"/>
        <v>0.6629213483146067</v>
      </c>
      <c r="H3" s="4">
        <f>+COUNT(AQ25:AQ142)</f>
        <v>118</v>
      </c>
      <c r="K3" s="4" t="s">
        <v>516</v>
      </c>
      <c r="L3" s="101">
        <v>0.72</v>
      </c>
      <c r="M3" s="100">
        <f>+SUM(AP25:AP142)</f>
        <v>102710</v>
      </c>
      <c r="AC3" s="4">
        <v>1</v>
      </c>
      <c r="AD3" s="4" t="s">
        <v>273</v>
      </c>
      <c r="AE3" s="4">
        <v>1000</v>
      </c>
      <c r="AF3" s="4">
        <v>30</v>
      </c>
      <c r="AG3" s="4">
        <v>9.6300000000000008</v>
      </c>
      <c r="AH3" s="4">
        <v>7.23</v>
      </c>
      <c r="AI3" s="4">
        <v>11.72</v>
      </c>
      <c r="AJ3" s="4">
        <v>4.18</v>
      </c>
      <c r="AK3" s="4">
        <v>7</v>
      </c>
      <c r="AL3" s="4">
        <f t="shared" ref="AL3:AL180" si="1">+SUM(AF3:AK3)</f>
        <v>69.759999999999991</v>
      </c>
      <c r="AN3" s="4">
        <v>1</v>
      </c>
      <c r="AO3" s="4" t="s">
        <v>323</v>
      </c>
      <c r="AP3" s="4">
        <v>1085</v>
      </c>
      <c r="AQ3" s="4">
        <v>39.17</v>
      </c>
      <c r="AR3" s="4" t="s">
        <v>271</v>
      </c>
    </row>
    <row r="4" spans="1:44" ht="14.4" x14ac:dyDescent="0.3">
      <c r="A4" s="4" t="s">
        <v>271</v>
      </c>
      <c r="B4" s="13">
        <v>1008</v>
      </c>
      <c r="C4" s="4">
        <v>51.07</v>
      </c>
      <c r="F4" s="4" t="s">
        <v>270</v>
      </c>
      <c r="G4" s="101">
        <f t="shared" si="0"/>
        <v>0.21348314606741572</v>
      </c>
      <c r="H4" s="4">
        <f>+COUNT(AQ143:AQ180)</f>
        <v>38</v>
      </c>
      <c r="K4" s="4" t="s">
        <v>270</v>
      </c>
      <c r="L4" s="101">
        <v>0.11</v>
      </c>
      <c r="M4" s="100">
        <f>+SUM(AP143:AP180)</f>
        <v>48253</v>
      </c>
      <c r="AC4" s="4">
        <v>2</v>
      </c>
      <c r="AD4" s="4" t="s">
        <v>277</v>
      </c>
      <c r="AE4" s="4">
        <v>1403</v>
      </c>
      <c r="AF4" s="4">
        <v>21.53</v>
      </c>
      <c r="AG4" s="4">
        <v>14.91</v>
      </c>
      <c r="AH4" s="4">
        <v>8.5</v>
      </c>
      <c r="AI4" s="4">
        <v>11.1</v>
      </c>
      <c r="AJ4" s="4">
        <v>4.25</v>
      </c>
      <c r="AK4" s="4">
        <v>6.55</v>
      </c>
      <c r="AL4" s="4">
        <f t="shared" si="1"/>
        <v>66.84</v>
      </c>
      <c r="AN4" s="4">
        <v>2</v>
      </c>
      <c r="AO4" s="4" t="s">
        <v>288</v>
      </c>
      <c r="AP4" s="4">
        <v>1054</v>
      </c>
      <c r="AQ4" s="4">
        <v>44.400000000000006</v>
      </c>
      <c r="AR4" s="4" t="s">
        <v>271</v>
      </c>
    </row>
    <row r="5" spans="1:44" ht="14.4" x14ac:dyDescent="0.3">
      <c r="A5" s="4" t="s">
        <v>271</v>
      </c>
      <c r="B5" s="13">
        <v>2340</v>
      </c>
      <c r="C5" s="4">
        <v>51.189999999999991</v>
      </c>
      <c r="G5" s="101"/>
      <c r="L5" s="101"/>
      <c r="M5" s="100"/>
      <c r="AC5" s="4">
        <v>3</v>
      </c>
      <c r="AD5" s="4" t="s">
        <v>280</v>
      </c>
      <c r="AE5" s="4">
        <v>1370</v>
      </c>
      <c r="AF5" s="4">
        <v>30.94</v>
      </c>
      <c r="AG5" s="4">
        <v>15</v>
      </c>
      <c r="AH5" s="4">
        <v>7.23</v>
      </c>
      <c r="AI5" s="4">
        <v>11.72</v>
      </c>
      <c r="AJ5" s="4">
        <v>4.18</v>
      </c>
      <c r="AK5" s="4">
        <v>7.75</v>
      </c>
      <c r="AL5" s="4">
        <f t="shared" si="1"/>
        <v>76.819999999999993</v>
      </c>
      <c r="AN5" s="4">
        <v>3</v>
      </c>
      <c r="AO5" s="4" t="s">
        <v>274</v>
      </c>
      <c r="AP5" s="4">
        <v>45</v>
      </c>
      <c r="AQ5" s="4">
        <v>44.81</v>
      </c>
      <c r="AR5" s="4" t="s">
        <v>271</v>
      </c>
    </row>
    <row r="6" spans="1:44" ht="14.4" x14ac:dyDescent="0.3">
      <c r="A6" s="4" t="s">
        <v>271</v>
      </c>
      <c r="B6" s="13">
        <v>194</v>
      </c>
      <c r="C6" s="4">
        <v>51.4</v>
      </c>
      <c r="G6" s="101">
        <f t="shared" ref="G6:H6" si="2">SUM(G2:G5)</f>
        <v>0.99999999999999989</v>
      </c>
      <c r="H6" s="4">
        <f t="shared" si="2"/>
        <v>178</v>
      </c>
      <c r="L6" s="101">
        <f t="shared" ref="L6:M6" si="3">SUM(L2:L5)</f>
        <v>0.97</v>
      </c>
      <c r="M6" s="100">
        <f t="shared" si="3"/>
        <v>167128</v>
      </c>
      <c r="AC6" s="4">
        <v>4</v>
      </c>
      <c r="AD6" s="4" t="s">
        <v>282</v>
      </c>
      <c r="AE6" s="4">
        <v>1787</v>
      </c>
      <c r="AF6" s="4">
        <v>27.97</v>
      </c>
      <c r="AG6" s="4">
        <v>12.78</v>
      </c>
      <c r="AH6" s="4">
        <v>4.1399999999999997</v>
      </c>
      <c r="AI6" s="4">
        <v>7.22</v>
      </c>
      <c r="AJ6" s="4">
        <v>2.9</v>
      </c>
      <c r="AK6" s="4">
        <v>4.96</v>
      </c>
      <c r="AL6" s="4">
        <f t="shared" si="1"/>
        <v>59.97</v>
      </c>
      <c r="AN6" s="4">
        <v>4</v>
      </c>
      <c r="AO6" s="4" t="s">
        <v>366</v>
      </c>
      <c r="AP6" s="4">
        <v>1132</v>
      </c>
      <c r="AQ6" s="4">
        <v>45.2</v>
      </c>
      <c r="AR6" s="4" t="s">
        <v>271</v>
      </c>
    </row>
    <row r="7" spans="1:44" ht="14.4" x14ac:dyDescent="0.3">
      <c r="A7" s="4" t="s">
        <v>271</v>
      </c>
      <c r="B7" s="13">
        <v>1232</v>
      </c>
      <c r="C7" s="4">
        <v>51.629999999999995</v>
      </c>
      <c r="AC7" s="4">
        <v>5</v>
      </c>
      <c r="AD7" s="4" t="s">
        <v>285</v>
      </c>
      <c r="AE7" s="4">
        <v>1096</v>
      </c>
      <c r="AF7" s="4">
        <v>25.69</v>
      </c>
      <c r="AG7" s="4">
        <v>13</v>
      </c>
      <c r="AH7" s="4">
        <v>6.15</v>
      </c>
      <c r="AI7" s="4">
        <v>9.64</v>
      </c>
      <c r="AJ7" s="4">
        <v>3.8</v>
      </c>
      <c r="AK7" s="4">
        <v>7</v>
      </c>
      <c r="AL7" s="4">
        <f t="shared" si="1"/>
        <v>65.28</v>
      </c>
      <c r="AN7" s="4">
        <v>5</v>
      </c>
      <c r="AO7" s="4" t="s">
        <v>286</v>
      </c>
      <c r="AP7" s="4">
        <v>1120</v>
      </c>
      <c r="AQ7" s="4">
        <v>47.989999999999995</v>
      </c>
      <c r="AR7" s="4" t="s">
        <v>271</v>
      </c>
    </row>
    <row r="8" spans="1:44" ht="14.4" x14ac:dyDescent="0.3">
      <c r="A8" s="4" t="s">
        <v>271</v>
      </c>
      <c r="B8" s="116">
        <v>1085</v>
      </c>
      <c r="C8" s="4">
        <v>51.64</v>
      </c>
      <c r="AC8" s="4">
        <v>6</v>
      </c>
      <c r="AD8" s="4" t="s">
        <v>287</v>
      </c>
      <c r="AE8" s="4">
        <v>1727</v>
      </c>
      <c r="AF8" s="4">
        <v>29.38</v>
      </c>
      <c r="AG8" s="4">
        <v>13.2</v>
      </c>
      <c r="AH8" s="4">
        <v>5.14</v>
      </c>
      <c r="AI8" s="4">
        <v>9.1300000000000008</v>
      </c>
      <c r="AJ8" s="4">
        <v>3.33</v>
      </c>
      <c r="AK8" s="4">
        <v>5.7</v>
      </c>
      <c r="AL8" s="4">
        <f t="shared" si="1"/>
        <v>65.88</v>
      </c>
      <c r="AN8" s="4">
        <v>6</v>
      </c>
      <c r="AO8" s="4" t="s">
        <v>306</v>
      </c>
      <c r="AP8" s="4">
        <v>1475</v>
      </c>
      <c r="AQ8" s="4">
        <v>48.47</v>
      </c>
      <c r="AR8" s="4" t="s">
        <v>271</v>
      </c>
    </row>
    <row r="9" spans="1:44" ht="14.4" x14ac:dyDescent="0.3">
      <c r="A9" s="4" t="s">
        <v>271</v>
      </c>
      <c r="B9" s="30">
        <v>1055</v>
      </c>
      <c r="C9" s="4">
        <v>52.179999999999993</v>
      </c>
      <c r="AC9" s="4">
        <v>7</v>
      </c>
      <c r="AD9" s="4" t="s">
        <v>289</v>
      </c>
      <c r="AE9" s="4">
        <v>1378</v>
      </c>
      <c r="AF9" s="4">
        <v>23.96</v>
      </c>
      <c r="AG9" s="4">
        <v>9</v>
      </c>
      <c r="AH9" s="4">
        <v>8.0500000000000007</v>
      </c>
      <c r="AI9" s="4">
        <v>11.19</v>
      </c>
      <c r="AJ9" s="4">
        <v>3.5</v>
      </c>
      <c r="AK9" s="4">
        <v>7</v>
      </c>
      <c r="AL9" s="4">
        <f t="shared" si="1"/>
        <v>62.7</v>
      </c>
      <c r="AN9" s="4">
        <v>7</v>
      </c>
      <c r="AO9" s="4" t="s">
        <v>278</v>
      </c>
      <c r="AP9" s="4">
        <v>50</v>
      </c>
      <c r="AQ9" s="4">
        <v>48.529999999999994</v>
      </c>
      <c r="AR9" s="4" t="s">
        <v>271</v>
      </c>
    </row>
    <row r="10" spans="1:44" ht="14.4" x14ac:dyDescent="0.3">
      <c r="A10" s="4" t="s">
        <v>271</v>
      </c>
      <c r="B10" s="13">
        <v>209</v>
      </c>
      <c r="C10" s="4">
        <v>52.18</v>
      </c>
      <c r="AC10" s="4">
        <v>8</v>
      </c>
      <c r="AD10" s="4" t="s">
        <v>291</v>
      </c>
      <c r="AE10" s="4">
        <v>1763</v>
      </c>
      <c r="AF10" s="4">
        <v>33.18</v>
      </c>
      <c r="AG10" s="4">
        <v>14.47</v>
      </c>
      <c r="AH10" s="4">
        <v>6.5</v>
      </c>
      <c r="AI10" s="4">
        <v>8</v>
      </c>
      <c r="AJ10" s="4">
        <v>3.3</v>
      </c>
      <c r="AK10" s="4">
        <v>6.6</v>
      </c>
      <c r="AL10" s="4">
        <f t="shared" si="1"/>
        <v>72.05</v>
      </c>
      <c r="AN10" s="4">
        <v>8</v>
      </c>
      <c r="AO10" s="4" t="s">
        <v>283</v>
      </c>
      <c r="AP10" s="4">
        <v>1476</v>
      </c>
      <c r="AQ10" s="4">
        <v>49.22</v>
      </c>
      <c r="AR10" s="4" t="s">
        <v>271</v>
      </c>
    </row>
    <row r="11" spans="1:44" ht="14.4" x14ac:dyDescent="0.3">
      <c r="A11" s="4" t="s">
        <v>271</v>
      </c>
      <c r="B11" s="29">
        <v>1799</v>
      </c>
      <c r="C11" s="4">
        <v>52.22</v>
      </c>
      <c r="AC11" s="4">
        <v>9</v>
      </c>
      <c r="AD11" s="4" t="s">
        <v>294</v>
      </c>
      <c r="AE11" s="4">
        <v>1637</v>
      </c>
      <c r="AF11" s="4">
        <v>32</v>
      </c>
      <c r="AG11" s="4">
        <v>12.5</v>
      </c>
      <c r="AH11" s="4">
        <v>7.29</v>
      </c>
      <c r="AI11" s="4">
        <v>11.49</v>
      </c>
      <c r="AJ11" s="4">
        <v>4.03</v>
      </c>
      <c r="AK11" s="4">
        <v>7.68</v>
      </c>
      <c r="AL11" s="4">
        <f t="shared" si="1"/>
        <v>74.990000000000009</v>
      </c>
      <c r="AN11" s="4">
        <v>9</v>
      </c>
      <c r="AO11" s="4" t="s">
        <v>281</v>
      </c>
      <c r="AP11" s="4">
        <v>151</v>
      </c>
      <c r="AQ11" s="4">
        <v>49.69</v>
      </c>
      <c r="AR11" s="4" t="s">
        <v>271</v>
      </c>
    </row>
    <row r="12" spans="1:44" ht="14.4" x14ac:dyDescent="0.3">
      <c r="A12" s="4" t="s">
        <v>271</v>
      </c>
      <c r="B12" s="14">
        <v>461</v>
      </c>
      <c r="C12" s="4">
        <v>52.57</v>
      </c>
      <c r="AC12" s="4">
        <v>10</v>
      </c>
      <c r="AD12" s="4" t="s">
        <v>297</v>
      </c>
      <c r="AE12" s="4">
        <v>1086</v>
      </c>
      <c r="AF12" s="4">
        <v>30</v>
      </c>
      <c r="AG12" s="4">
        <v>13.42</v>
      </c>
      <c r="AH12" s="4">
        <v>7.71</v>
      </c>
      <c r="AI12" s="4">
        <v>11.42</v>
      </c>
      <c r="AJ12" s="4">
        <v>3.88</v>
      </c>
      <c r="AK12" s="4">
        <v>7.39</v>
      </c>
      <c r="AL12" s="4">
        <f t="shared" si="1"/>
        <v>73.820000000000007</v>
      </c>
      <c r="AN12" s="4">
        <v>10</v>
      </c>
      <c r="AO12" s="4" t="s">
        <v>304</v>
      </c>
      <c r="AP12" s="4">
        <v>281</v>
      </c>
      <c r="AQ12" s="4">
        <v>50.43</v>
      </c>
      <c r="AR12" s="4" t="s">
        <v>271</v>
      </c>
    </row>
    <row r="13" spans="1:44" ht="14.4" x14ac:dyDescent="0.3">
      <c r="A13" s="4" t="s">
        <v>271</v>
      </c>
      <c r="B13" s="14">
        <v>455</v>
      </c>
      <c r="C13" s="4">
        <v>53.14</v>
      </c>
      <c r="AC13" s="4">
        <v>11</v>
      </c>
      <c r="AD13" s="4" t="s">
        <v>299</v>
      </c>
      <c r="AE13" s="4">
        <v>1094</v>
      </c>
      <c r="AF13" s="4">
        <v>32.119999999999997</v>
      </c>
      <c r="AG13" s="4">
        <v>10.7</v>
      </c>
      <c r="AH13" s="4">
        <v>7</v>
      </c>
      <c r="AI13" s="4">
        <v>10.5</v>
      </c>
      <c r="AJ13" s="4">
        <v>3.5</v>
      </c>
      <c r="AK13" s="4">
        <v>7</v>
      </c>
      <c r="AL13" s="4">
        <f t="shared" si="1"/>
        <v>70.819999999999993</v>
      </c>
      <c r="AN13" s="4">
        <v>11</v>
      </c>
      <c r="AO13" s="4" t="s">
        <v>445</v>
      </c>
      <c r="AP13" s="4">
        <v>1232</v>
      </c>
      <c r="AQ13" s="4">
        <v>51.629999999999995</v>
      </c>
      <c r="AR13" s="4" t="s">
        <v>271</v>
      </c>
    </row>
    <row r="14" spans="1:44" ht="14.4" x14ac:dyDescent="0.3">
      <c r="A14" s="4" t="s">
        <v>271</v>
      </c>
      <c r="B14" s="117">
        <v>971</v>
      </c>
      <c r="C14" s="4">
        <v>53.15</v>
      </c>
      <c r="AC14" s="4">
        <v>12</v>
      </c>
      <c r="AD14" s="4" t="s">
        <v>301</v>
      </c>
      <c r="AE14" s="4">
        <v>1867</v>
      </c>
      <c r="AF14" s="4">
        <v>33.119999999999997</v>
      </c>
      <c r="AG14" s="4">
        <v>11.6</v>
      </c>
      <c r="AH14" s="4">
        <v>8.5</v>
      </c>
      <c r="AI14" s="4">
        <v>12.75</v>
      </c>
      <c r="AJ14" s="4">
        <v>4.25</v>
      </c>
      <c r="AK14" s="4">
        <v>8.5</v>
      </c>
      <c r="AL14" s="4">
        <f t="shared" si="1"/>
        <v>78.72</v>
      </c>
      <c r="AN14" s="4">
        <v>12</v>
      </c>
      <c r="AO14" s="4" t="s">
        <v>300</v>
      </c>
      <c r="AP14" s="4">
        <v>209</v>
      </c>
      <c r="AQ14" s="4">
        <v>52.18</v>
      </c>
      <c r="AR14" s="4" t="s">
        <v>271</v>
      </c>
    </row>
    <row r="15" spans="1:44" ht="14.4" x14ac:dyDescent="0.3">
      <c r="A15" s="4" t="s">
        <v>271</v>
      </c>
      <c r="B15" s="14">
        <v>1779</v>
      </c>
      <c r="C15" s="4">
        <v>53.22</v>
      </c>
      <c r="AC15" s="4">
        <v>13</v>
      </c>
      <c r="AD15" s="4" t="s">
        <v>303</v>
      </c>
      <c r="AE15" s="4">
        <v>1088</v>
      </c>
      <c r="AF15" s="4">
        <v>21.64</v>
      </c>
      <c r="AG15" s="4">
        <v>14.86</v>
      </c>
      <c r="AH15" s="4">
        <v>7.7</v>
      </c>
      <c r="AI15" s="4">
        <v>11.15</v>
      </c>
      <c r="AJ15" s="4">
        <v>3.95</v>
      </c>
      <c r="AK15" s="4">
        <v>7.8</v>
      </c>
      <c r="AL15" s="4">
        <f t="shared" si="1"/>
        <v>67.100000000000009</v>
      </c>
      <c r="AN15" s="4">
        <v>13</v>
      </c>
      <c r="AO15" s="4" t="s">
        <v>420</v>
      </c>
      <c r="AP15" s="4">
        <v>876</v>
      </c>
      <c r="AQ15" s="4">
        <v>52.26</v>
      </c>
      <c r="AR15" s="4" t="s">
        <v>271</v>
      </c>
    </row>
    <row r="16" spans="1:44" ht="14.4" x14ac:dyDescent="0.3">
      <c r="A16" s="4" t="s">
        <v>271</v>
      </c>
      <c r="B16" s="13">
        <v>629</v>
      </c>
      <c r="C16" s="4">
        <v>53.59</v>
      </c>
      <c r="AC16" s="4">
        <v>14</v>
      </c>
      <c r="AD16" s="4" t="s">
        <v>305</v>
      </c>
      <c r="AE16" s="4">
        <v>1920</v>
      </c>
      <c r="AF16" s="4">
        <v>22.26</v>
      </c>
      <c r="AG16" s="4">
        <v>13</v>
      </c>
      <c r="AH16" s="4">
        <v>7.86</v>
      </c>
      <c r="AI16" s="4">
        <v>11.36</v>
      </c>
      <c r="AJ16" s="4">
        <v>3.95</v>
      </c>
      <c r="AK16" s="4">
        <v>7</v>
      </c>
      <c r="AL16" s="4">
        <f t="shared" si="1"/>
        <v>65.430000000000007</v>
      </c>
      <c r="AN16" s="4">
        <v>14</v>
      </c>
      <c r="AO16" s="4" t="s">
        <v>448</v>
      </c>
      <c r="AP16" s="4">
        <v>455</v>
      </c>
      <c r="AQ16" s="4">
        <v>53.14</v>
      </c>
      <c r="AR16" s="4" t="s">
        <v>271</v>
      </c>
    </row>
    <row r="17" spans="1:44" ht="14.4" x14ac:dyDescent="0.3">
      <c r="A17" s="4" t="s">
        <v>271</v>
      </c>
      <c r="B17" s="14">
        <v>59</v>
      </c>
      <c r="C17" s="4">
        <v>53.64</v>
      </c>
      <c r="AC17" s="4">
        <v>15</v>
      </c>
      <c r="AD17" s="4" t="s">
        <v>308</v>
      </c>
      <c r="AE17" s="4">
        <v>1262</v>
      </c>
      <c r="AF17" s="4">
        <v>23.34</v>
      </c>
      <c r="AG17" s="4">
        <v>13.36</v>
      </c>
      <c r="AH17" s="4">
        <v>7.88</v>
      </c>
      <c r="AI17" s="4">
        <v>12.03</v>
      </c>
      <c r="AJ17" s="4">
        <v>4.03</v>
      </c>
      <c r="AK17" s="4">
        <v>7.62</v>
      </c>
      <c r="AL17" s="4">
        <f t="shared" si="1"/>
        <v>68.260000000000005</v>
      </c>
      <c r="AN17" s="4">
        <v>15</v>
      </c>
      <c r="AO17" s="4" t="s">
        <v>298</v>
      </c>
      <c r="AP17" s="4">
        <v>1779</v>
      </c>
      <c r="AQ17" s="4">
        <v>53.22</v>
      </c>
      <c r="AR17" s="4" t="s">
        <v>271</v>
      </c>
    </row>
    <row r="18" spans="1:44" ht="14.4" x14ac:dyDescent="0.3">
      <c r="A18" s="4" t="s">
        <v>271</v>
      </c>
      <c r="B18" s="14">
        <v>551</v>
      </c>
      <c r="C18" s="4">
        <v>53.709999999999994</v>
      </c>
      <c r="AC18" s="4">
        <v>16</v>
      </c>
      <c r="AD18" s="4" t="s">
        <v>310</v>
      </c>
      <c r="AE18" s="4">
        <v>2188</v>
      </c>
      <c r="AF18" s="4">
        <v>30.37</v>
      </c>
      <c r="AG18" s="4">
        <v>13.02</v>
      </c>
      <c r="AH18" s="4">
        <v>7.77</v>
      </c>
      <c r="AI18" s="4">
        <v>11.61</v>
      </c>
      <c r="AJ18" s="4">
        <v>3.95</v>
      </c>
      <c r="AK18" s="4">
        <v>7</v>
      </c>
      <c r="AL18" s="4">
        <f t="shared" si="1"/>
        <v>73.72</v>
      </c>
      <c r="AN18" s="4">
        <v>16</v>
      </c>
      <c r="AO18" s="4" t="s">
        <v>321</v>
      </c>
      <c r="AP18" s="4">
        <v>629</v>
      </c>
      <c r="AQ18" s="4">
        <v>53.59</v>
      </c>
      <c r="AR18" s="4" t="s">
        <v>271</v>
      </c>
    </row>
    <row r="19" spans="1:44" ht="14.4" x14ac:dyDescent="0.3">
      <c r="A19" s="4" t="s">
        <v>271</v>
      </c>
      <c r="B19" s="14">
        <v>527</v>
      </c>
      <c r="C19" s="4">
        <v>54.06</v>
      </c>
      <c r="AC19" s="4">
        <v>17</v>
      </c>
      <c r="AD19" s="4" t="s">
        <v>312</v>
      </c>
      <c r="AE19" s="4">
        <v>1239</v>
      </c>
      <c r="AF19" s="4">
        <v>30</v>
      </c>
      <c r="AG19" s="4">
        <v>14.53</v>
      </c>
      <c r="AH19" s="4">
        <v>8.0500000000000007</v>
      </c>
      <c r="AI19" s="4">
        <v>11.9</v>
      </c>
      <c r="AJ19" s="4">
        <v>3.88</v>
      </c>
      <c r="AK19" s="4">
        <v>7.06</v>
      </c>
      <c r="AL19" s="4">
        <f t="shared" si="1"/>
        <v>75.42</v>
      </c>
      <c r="AN19" s="4">
        <v>17</v>
      </c>
      <c r="AO19" s="4" t="s">
        <v>357</v>
      </c>
      <c r="AP19" s="4">
        <v>59</v>
      </c>
      <c r="AQ19" s="4">
        <v>53.64</v>
      </c>
      <c r="AR19" s="4" t="s">
        <v>271</v>
      </c>
    </row>
    <row r="20" spans="1:44" ht="14.4" x14ac:dyDescent="0.3">
      <c r="A20" s="4" t="s">
        <v>271</v>
      </c>
      <c r="B20" s="14">
        <v>1475</v>
      </c>
      <c r="C20" s="4">
        <v>54.63</v>
      </c>
      <c r="AC20" s="4">
        <v>18</v>
      </c>
      <c r="AD20" s="4" t="s">
        <v>315</v>
      </c>
      <c r="AE20" s="4">
        <v>2323</v>
      </c>
      <c r="AF20" s="4">
        <v>20.18</v>
      </c>
      <c r="AG20" s="4">
        <v>12.05</v>
      </c>
      <c r="AH20" s="4">
        <v>7.56</v>
      </c>
      <c r="AI20" s="4">
        <v>11.37</v>
      </c>
      <c r="AJ20" s="4">
        <v>3.65</v>
      </c>
      <c r="AK20" s="4">
        <v>8.0500000000000007</v>
      </c>
      <c r="AL20" s="4">
        <f t="shared" si="1"/>
        <v>62.86</v>
      </c>
      <c r="AN20" s="4">
        <v>18</v>
      </c>
      <c r="AO20" s="4" t="s">
        <v>386</v>
      </c>
      <c r="AP20" s="4">
        <v>463</v>
      </c>
      <c r="AQ20" s="4">
        <v>53.92</v>
      </c>
      <c r="AR20" s="4" t="s">
        <v>271</v>
      </c>
    </row>
    <row r="21" spans="1:44" ht="15.75" customHeight="1" x14ac:dyDescent="0.3">
      <c r="A21" s="4" t="s">
        <v>271</v>
      </c>
      <c r="B21" s="14">
        <v>32</v>
      </c>
      <c r="C21" s="4">
        <v>54.64</v>
      </c>
      <c r="AC21" s="4">
        <v>19</v>
      </c>
      <c r="AD21" s="4" t="s">
        <v>317</v>
      </c>
      <c r="AE21" s="4">
        <v>1447</v>
      </c>
      <c r="AF21" s="4">
        <v>28.1</v>
      </c>
      <c r="AG21" s="4">
        <v>11.53</v>
      </c>
      <c r="AH21" s="4">
        <v>7.56</v>
      </c>
      <c r="AI21" s="4">
        <v>11.25</v>
      </c>
      <c r="AJ21" s="4">
        <v>3.73</v>
      </c>
      <c r="AK21" s="4">
        <v>7.53</v>
      </c>
      <c r="AL21" s="4">
        <f t="shared" si="1"/>
        <v>69.7</v>
      </c>
      <c r="AN21" s="4">
        <v>19</v>
      </c>
      <c r="AO21" s="4" t="s">
        <v>356</v>
      </c>
      <c r="AP21" s="4">
        <v>1613</v>
      </c>
      <c r="AQ21" s="4">
        <v>54</v>
      </c>
      <c r="AR21" s="4" t="s">
        <v>271</v>
      </c>
    </row>
    <row r="22" spans="1:44" ht="15.75" customHeight="1" x14ac:dyDescent="0.3">
      <c r="A22" s="4" t="s">
        <v>271</v>
      </c>
      <c r="B22" s="117">
        <v>1911</v>
      </c>
      <c r="C22" s="4">
        <v>54.65</v>
      </c>
      <c r="AC22" s="4">
        <v>20</v>
      </c>
      <c r="AD22" s="4" t="s">
        <v>320</v>
      </c>
      <c r="AE22" s="4">
        <v>2056</v>
      </c>
      <c r="AF22" s="4">
        <v>28.8</v>
      </c>
      <c r="AG22" s="4">
        <v>10.56</v>
      </c>
      <c r="AH22" s="4">
        <v>7.8</v>
      </c>
      <c r="AI22" s="4">
        <v>11.61</v>
      </c>
      <c r="AJ22" s="4">
        <v>3.8</v>
      </c>
      <c r="AK22" s="4">
        <v>7</v>
      </c>
      <c r="AL22" s="4">
        <f t="shared" si="1"/>
        <v>69.569999999999993</v>
      </c>
      <c r="AN22" s="4">
        <v>20</v>
      </c>
      <c r="AO22" s="4" t="s">
        <v>311</v>
      </c>
      <c r="AP22" s="4">
        <v>527</v>
      </c>
      <c r="AQ22" s="4">
        <v>54.06</v>
      </c>
      <c r="AR22" s="4" t="s">
        <v>271</v>
      </c>
    </row>
    <row r="23" spans="1:44" ht="15.75" customHeight="1" x14ac:dyDescent="0.3">
      <c r="A23" s="4" t="s">
        <v>271</v>
      </c>
      <c r="B23" s="13">
        <v>1807</v>
      </c>
      <c r="C23" s="4">
        <v>54.9</v>
      </c>
      <c r="AC23" s="4">
        <v>21</v>
      </c>
      <c r="AD23" s="4" t="s">
        <v>322</v>
      </c>
      <c r="AE23" s="4">
        <v>1879</v>
      </c>
      <c r="AF23" s="4">
        <v>32.979999999999997</v>
      </c>
      <c r="AG23" s="4">
        <v>13.37</v>
      </c>
      <c r="AH23" s="4">
        <v>7.27</v>
      </c>
      <c r="AI23" s="4">
        <v>12.87</v>
      </c>
      <c r="AJ23" s="4">
        <v>4.25</v>
      </c>
      <c r="AK23" s="4">
        <v>9</v>
      </c>
      <c r="AL23" s="4">
        <f t="shared" si="1"/>
        <v>79.739999999999995</v>
      </c>
      <c r="AN23" s="4">
        <v>21</v>
      </c>
      <c r="AO23" s="4" t="s">
        <v>362</v>
      </c>
      <c r="AP23" s="4">
        <v>422</v>
      </c>
      <c r="AQ23" s="4">
        <v>54.489999999999995</v>
      </c>
      <c r="AR23" s="4" t="s">
        <v>271</v>
      </c>
    </row>
    <row r="24" spans="1:44" ht="15.75" customHeight="1" x14ac:dyDescent="0.3">
      <c r="A24" s="4" t="s">
        <v>516</v>
      </c>
      <c r="B24" s="14">
        <v>51</v>
      </c>
      <c r="C24" s="4">
        <v>55.02</v>
      </c>
      <c r="AC24" s="4">
        <v>22</v>
      </c>
      <c r="AD24" s="4" t="s">
        <v>325</v>
      </c>
      <c r="AE24" s="4">
        <v>1244</v>
      </c>
      <c r="AF24" s="4">
        <v>32.25</v>
      </c>
      <c r="AG24" s="4">
        <v>14.66</v>
      </c>
      <c r="AH24" s="4">
        <v>7.88</v>
      </c>
      <c r="AI24" s="4">
        <v>11.58</v>
      </c>
      <c r="AJ24" s="4">
        <v>4.03</v>
      </c>
      <c r="AK24" s="4">
        <v>7.53</v>
      </c>
      <c r="AL24" s="4">
        <f t="shared" si="1"/>
        <v>77.930000000000007</v>
      </c>
      <c r="AN24" s="4">
        <v>22</v>
      </c>
      <c r="AO24" s="4" t="s">
        <v>363</v>
      </c>
      <c r="AP24" s="4">
        <v>32</v>
      </c>
      <c r="AQ24" s="4">
        <v>54.64</v>
      </c>
      <c r="AR24" s="4" t="s">
        <v>271</v>
      </c>
    </row>
    <row r="25" spans="1:44" ht="15.75" customHeight="1" x14ac:dyDescent="0.3">
      <c r="A25" s="4" t="s">
        <v>516</v>
      </c>
      <c r="B25" s="13">
        <v>1090</v>
      </c>
      <c r="C25" s="4">
        <v>55.37</v>
      </c>
      <c r="AC25" s="4">
        <v>23</v>
      </c>
      <c r="AD25" s="4" t="s">
        <v>327</v>
      </c>
      <c r="AE25" s="4">
        <v>1393</v>
      </c>
      <c r="AF25" s="4">
        <v>33.1</v>
      </c>
      <c r="AG25" s="4">
        <v>14.2</v>
      </c>
      <c r="AH25" s="4">
        <v>8.15</v>
      </c>
      <c r="AI25" s="4">
        <v>11.51</v>
      </c>
      <c r="AJ25" s="4">
        <v>3.88</v>
      </c>
      <c r="AK25" s="4">
        <v>7.23</v>
      </c>
      <c r="AL25" s="4">
        <f t="shared" si="1"/>
        <v>78.069999999999993</v>
      </c>
      <c r="AN25" s="4">
        <v>23</v>
      </c>
      <c r="AO25" s="4" t="s">
        <v>292</v>
      </c>
      <c r="AP25" s="4">
        <v>51</v>
      </c>
      <c r="AQ25" s="4">
        <v>55.02</v>
      </c>
      <c r="AR25" s="4" t="s">
        <v>516</v>
      </c>
    </row>
    <row r="26" spans="1:44" ht="15.75" customHeight="1" x14ac:dyDescent="0.3">
      <c r="A26" s="4" t="s">
        <v>516</v>
      </c>
      <c r="B26" s="116">
        <v>1736</v>
      </c>
      <c r="C26" s="4">
        <v>55.480000000000004</v>
      </c>
      <c r="AC26" s="4">
        <v>24</v>
      </c>
      <c r="AD26" s="4" t="s">
        <v>329</v>
      </c>
      <c r="AE26" s="4">
        <v>1523</v>
      </c>
      <c r="AF26" s="4">
        <v>32.229999999999997</v>
      </c>
      <c r="AG26" s="4">
        <v>5.29</v>
      </c>
      <c r="AH26" s="4">
        <v>4.24</v>
      </c>
      <c r="AI26" s="4">
        <v>8.58</v>
      </c>
      <c r="AJ26" s="4">
        <v>3.5</v>
      </c>
      <c r="AK26" s="4">
        <v>5.8</v>
      </c>
      <c r="AL26" s="4">
        <f t="shared" si="1"/>
        <v>59.639999999999993</v>
      </c>
      <c r="AN26" s="4">
        <v>24</v>
      </c>
      <c r="AO26" s="4" t="s">
        <v>331</v>
      </c>
      <c r="AP26" s="4">
        <v>1736</v>
      </c>
      <c r="AQ26" s="4">
        <v>55.480000000000004</v>
      </c>
      <c r="AR26" s="4" t="s">
        <v>516</v>
      </c>
    </row>
    <row r="27" spans="1:44" ht="15.75" customHeight="1" x14ac:dyDescent="0.3">
      <c r="A27" s="4" t="s">
        <v>516</v>
      </c>
      <c r="B27" s="13">
        <v>2433</v>
      </c>
      <c r="C27" s="4">
        <v>55.57</v>
      </c>
      <c r="AC27" s="4">
        <v>25</v>
      </c>
      <c r="AD27" s="4" t="s">
        <v>331</v>
      </c>
      <c r="AE27" s="4">
        <v>1736</v>
      </c>
      <c r="AF27" s="4">
        <v>24.43</v>
      </c>
      <c r="AG27" s="4">
        <v>11.81</v>
      </c>
      <c r="AH27" s="4">
        <v>4.2</v>
      </c>
      <c r="AI27" s="4">
        <v>7.3</v>
      </c>
      <c r="AJ27" s="4">
        <v>3.58</v>
      </c>
      <c r="AK27" s="4">
        <v>4.16</v>
      </c>
      <c r="AL27" s="4">
        <f t="shared" si="1"/>
        <v>55.480000000000004</v>
      </c>
      <c r="AN27" s="4">
        <v>25</v>
      </c>
      <c r="AO27" s="4" t="s">
        <v>302</v>
      </c>
      <c r="AP27" s="4">
        <v>62</v>
      </c>
      <c r="AQ27" s="4">
        <v>56.05</v>
      </c>
      <c r="AR27" s="4" t="s">
        <v>516</v>
      </c>
    </row>
    <row r="28" spans="1:44" ht="15.75" customHeight="1" x14ac:dyDescent="0.3">
      <c r="A28" s="4" t="s">
        <v>516</v>
      </c>
      <c r="B28" s="117">
        <v>515</v>
      </c>
      <c r="C28" s="4">
        <v>55.87</v>
      </c>
      <c r="AC28" s="4">
        <v>26</v>
      </c>
      <c r="AD28" s="4" t="s">
        <v>334</v>
      </c>
      <c r="AE28" s="4">
        <v>1074</v>
      </c>
      <c r="AF28" s="4">
        <v>27.37</v>
      </c>
      <c r="AG28" s="4">
        <v>10.6</v>
      </c>
      <c r="AH28" s="4">
        <v>6.63</v>
      </c>
      <c r="AI28" s="4">
        <v>11.49</v>
      </c>
      <c r="AJ28" s="4">
        <v>3.7</v>
      </c>
      <c r="AK28" s="4">
        <v>6</v>
      </c>
      <c r="AL28" s="4">
        <f t="shared" si="1"/>
        <v>65.790000000000006</v>
      </c>
      <c r="AN28" s="4">
        <v>26</v>
      </c>
      <c r="AO28" s="4" t="s">
        <v>441</v>
      </c>
      <c r="AP28" s="4">
        <v>193</v>
      </c>
      <c r="AQ28" s="4">
        <v>56.850000000000009</v>
      </c>
      <c r="AR28" s="4" t="s">
        <v>516</v>
      </c>
    </row>
    <row r="29" spans="1:44" ht="15.75" customHeight="1" x14ac:dyDescent="0.3">
      <c r="A29" s="4" t="s">
        <v>516</v>
      </c>
      <c r="B29" s="117">
        <v>1470</v>
      </c>
      <c r="C29" s="4">
        <v>56.22</v>
      </c>
      <c r="AC29" s="4">
        <v>27</v>
      </c>
      <c r="AD29" s="4" t="s">
        <v>336</v>
      </c>
      <c r="AE29" s="4">
        <v>1074</v>
      </c>
      <c r="AF29" s="4">
        <v>23.65</v>
      </c>
      <c r="AG29" s="4">
        <v>10.16</v>
      </c>
      <c r="AH29" s="4">
        <v>5</v>
      </c>
      <c r="AI29" s="4">
        <v>9.8000000000000007</v>
      </c>
      <c r="AJ29" s="4">
        <v>3.38</v>
      </c>
      <c r="AK29" s="4">
        <v>5.16</v>
      </c>
      <c r="AL29" s="4">
        <f t="shared" si="1"/>
        <v>57.150000000000006</v>
      </c>
      <c r="AN29" s="4">
        <v>27</v>
      </c>
      <c r="AO29" s="4" t="s">
        <v>418</v>
      </c>
      <c r="AP29" s="4">
        <v>1185</v>
      </c>
      <c r="AQ29" s="4">
        <v>57</v>
      </c>
      <c r="AR29" s="4" t="s">
        <v>516</v>
      </c>
    </row>
    <row r="30" spans="1:44" ht="15.75" customHeight="1" x14ac:dyDescent="0.3">
      <c r="A30" s="4" t="s">
        <v>516</v>
      </c>
      <c r="B30" s="13">
        <v>1155</v>
      </c>
      <c r="C30" s="4">
        <v>56.28</v>
      </c>
      <c r="AC30" s="4">
        <v>28</v>
      </c>
      <c r="AD30" s="4" t="s">
        <v>338</v>
      </c>
      <c r="AE30" s="4">
        <v>1499</v>
      </c>
      <c r="AF30" s="4">
        <v>27.53</v>
      </c>
      <c r="AG30" s="4">
        <v>15</v>
      </c>
      <c r="AH30" s="4">
        <v>7.14</v>
      </c>
      <c r="AI30" s="4">
        <v>11.57</v>
      </c>
      <c r="AJ30" s="4">
        <v>4.25</v>
      </c>
      <c r="AK30" s="4">
        <v>8.11</v>
      </c>
      <c r="AL30" s="4">
        <f t="shared" si="1"/>
        <v>73.600000000000009</v>
      </c>
      <c r="AN30" s="4">
        <v>28</v>
      </c>
      <c r="AO30" s="4" t="s">
        <v>449</v>
      </c>
      <c r="AP30" s="4">
        <v>20</v>
      </c>
      <c r="AQ30" s="4">
        <v>57</v>
      </c>
      <c r="AR30" s="4" t="s">
        <v>516</v>
      </c>
    </row>
    <row r="31" spans="1:44" ht="15.75" customHeight="1" x14ac:dyDescent="0.3">
      <c r="A31" s="4" t="s">
        <v>516</v>
      </c>
      <c r="B31" s="13">
        <v>684</v>
      </c>
      <c r="C31" s="4">
        <v>56.330000000000005</v>
      </c>
      <c r="AC31" s="4">
        <v>29</v>
      </c>
      <c r="AD31" s="4" t="s">
        <v>340</v>
      </c>
      <c r="AE31" s="4">
        <v>2184</v>
      </c>
      <c r="AF31" s="4">
        <v>34</v>
      </c>
      <c r="AG31" s="4">
        <v>13</v>
      </c>
      <c r="AH31" s="4">
        <v>6</v>
      </c>
      <c r="AI31" s="4">
        <v>9.5</v>
      </c>
      <c r="AJ31" s="4">
        <v>3.1</v>
      </c>
      <c r="AK31" s="4">
        <v>5.56</v>
      </c>
      <c r="AL31" s="4">
        <f t="shared" si="1"/>
        <v>71.16</v>
      </c>
      <c r="AN31" s="4">
        <v>29</v>
      </c>
      <c r="AO31" s="4" t="s">
        <v>336</v>
      </c>
      <c r="AP31" s="4">
        <v>1074</v>
      </c>
      <c r="AQ31" s="4">
        <v>57.150000000000006</v>
      </c>
      <c r="AR31" s="4" t="s">
        <v>516</v>
      </c>
    </row>
    <row r="32" spans="1:44" ht="15.75" customHeight="1" x14ac:dyDescent="0.3">
      <c r="A32" s="4" t="s">
        <v>516</v>
      </c>
      <c r="B32" s="13">
        <v>1744</v>
      </c>
      <c r="C32" s="4">
        <v>56.55</v>
      </c>
      <c r="AC32" s="4">
        <v>30</v>
      </c>
      <c r="AD32" s="4" t="s">
        <v>343</v>
      </c>
      <c r="AE32" s="4">
        <v>1523</v>
      </c>
      <c r="AF32" s="4">
        <v>31.88</v>
      </c>
      <c r="AG32" s="4">
        <v>13</v>
      </c>
      <c r="AH32" s="4">
        <v>6</v>
      </c>
      <c r="AI32" s="4">
        <v>11</v>
      </c>
      <c r="AJ32" s="4">
        <v>3.8</v>
      </c>
      <c r="AK32" s="4">
        <v>6.41</v>
      </c>
      <c r="AL32" s="4">
        <f t="shared" si="1"/>
        <v>72.089999999999989</v>
      </c>
      <c r="AN32" s="4">
        <v>30</v>
      </c>
      <c r="AO32" s="4" t="s">
        <v>332</v>
      </c>
      <c r="AP32" s="4">
        <v>2143</v>
      </c>
      <c r="AQ32" s="4">
        <v>57.160000000000004</v>
      </c>
      <c r="AR32" s="4" t="s">
        <v>516</v>
      </c>
    </row>
    <row r="33" spans="1:44" ht="15.75" customHeight="1" x14ac:dyDescent="0.3">
      <c r="A33" s="4" t="s">
        <v>516</v>
      </c>
      <c r="B33" s="14">
        <v>193</v>
      </c>
      <c r="C33" s="4">
        <v>56.850000000000009</v>
      </c>
      <c r="AC33" s="4">
        <v>31</v>
      </c>
      <c r="AD33" s="4" t="s">
        <v>345</v>
      </c>
      <c r="AE33" s="4">
        <v>1744</v>
      </c>
      <c r="AF33" s="4">
        <v>31.21</v>
      </c>
      <c r="AG33" s="4">
        <v>11.54</v>
      </c>
      <c r="AH33" s="4">
        <v>4.54</v>
      </c>
      <c r="AI33" s="4">
        <v>7.66</v>
      </c>
      <c r="AJ33" s="4">
        <v>2.2999999999999998</v>
      </c>
      <c r="AK33" s="4">
        <v>5.16</v>
      </c>
      <c r="AL33" s="4">
        <f t="shared" si="1"/>
        <v>62.41</v>
      </c>
      <c r="AN33" s="4">
        <v>31</v>
      </c>
      <c r="AO33" s="4" t="s">
        <v>290</v>
      </c>
      <c r="AP33" s="4">
        <v>113</v>
      </c>
      <c r="AQ33" s="4">
        <v>57.269999999999996</v>
      </c>
      <c r="AR33" s="4" t="s">
        <v>516</v>
      </c>
    </row>
    <row r="34" spans="1:44" ht="15.75" customHeight="1" x14ac:dyDescent="0.3">
      <c r="A34" s="4" t="s">
        <v>516</v>
      </c>
      <c r="B34" s="14">
        <v>1211</v>
      </c>
      <c r="C34" s="4">
        <v>56.96</v>
      </c>
      <c r="AC34" s="4">
        <v>32</v>
      </c>
      <c r="AD34" s="4" t="s">
        <v>347</v>
      </c>
      <c r="AE34" s="4">
        <v>1126</v>
      </c>
      <c r="AF34" s="4">
        <v>32.32</v>
      </c>
      <c r="AG34" s="4">
        <v>13.28</v>
      </c>
      <c r="AH34" s="4">
        <v>5.08</v>
      </c>
      <c r="AI34" s="4">
        <v>10.6</v>
      </c>
      <c r="AJ34" s="4">
        <v>3.18</v>
      </c>
      <c r="AK34" s="4">
        <v>5.31</v>
      </c>
      <c r="AL34" s="4">
        <f t="shared" si="1"/>
        <v>69.77000000000001</v>
      </c>
      <c r="AN34" s="4">
        <v>32</v>
      </c>
      <c r="AO34" s="4" t="s">
        <v>415</v>
      </c>
      <c r="AP34" s="4">
        <v>1926</v>
      </c>
      <c r="AQ34" s="4">
        <v>57.33</v>
      </c>
      <c r="AR34" s="4" t="s">
        <v>516</v>
      </c>
    </row>
    <row r="35" spans="1:44" ht="15.75" customHeight="1" x14ac:dyDescent="0.3">
      <c r="A35" s="4" t="s">
        <v>516</v>
      </c>
      <c r="B35" s="14">
        <v>1661</v>
      </c>
      <c r="C35" s="4">
        <v>57.07</v>
      </c>
      <c r="AC35" s="4">
        <v>33</v>
      </c>
      <c r="AD35" s="4" t="s">
        <v>349</v>
      </c>
      <c r="AE35" s="4">
        <v>1909</v>
      </c>
      <c r="AF35" s="4">
        <v>28.37</v>
      </c>
      <c r="AG35" s="4">
        <v>11.03</v>
      </c>
      <c r="AH35" s="4">
        <v>4.3600000000000003</v>
      </c>
      <c r="AI35" s="4">
        <v>8.58</v>
      </c>
      <c r="AJ35" s="4">
        <v>3.1</v>
      </c>
      <c r="AK35" s="4">
        <v>4.04</v>
      </c>
      <c r="AL35" s="4">
        <f t="shared" si="1"/>
        <v>59.48</v>
      </c>
      <c r="AN35" s="4">
        <v>33</v>
      </c>
      <c r="AO35" s="4" t="s">
        <v>313</v>
      </c>
      <c r="AP35" s="4">
        <v>350</v>
      </c>
      <c r="AQ35" s="4">
        <v>57.34</v>
      </c>
      <c r="AR35" s="4" t="s">
        <v>516</v>
      </c>
    </row>
    <row r="36" spans="1:44" ht="15.75" customHeight="1" x14ac:dyDescent="0.3">
      <c r="A36" s="4" t="s">
        <v>516</v>
      </c>
      <c r="B36" s="14">
        <v>281</v>
      </c>
      <c r="C36" s="4">
        <v>57.11</v>
      </c>
      <c r="AC36" s="4">
        <v>34</v>
      </c>
      <c r="AD36" s="4" t="s">
        <v>352</v>
      </c>
      <c r="AE36" s="4">
        <v>1513</v>
      </c>
      <c r="AF36" s="4">
        <v>23.99</v>
      </c>
      <c r="AG36" s="4">
        <v>14.58</v>
      </c>
      <c r="AH36" s="4">
        <v>7.35</v>
      </c>
      <c r="AI36" s="4">
        <v>4.5</v>
      </c>
      <c r="AJ36" s="4">
        <v>3.5</v>
      </c>
      <c r="AK36" s="4">
        <v>8.5</v>
      </c>
      <c r="AL36" s="4">
        <f t="shared" si="1"/>
        <v>62.42</v>
      </c>
      <c r="AN36" s="4">
        <v>34</v>
      </c>
      <c r="AO36" s="4" t="s">
        <v>459</v>
      </c>
      <c r="AP36" s="4">
        <v>64</v>
      </c>
      <c r="AQ36" s="4">
        <v>57.34</v>
      </c>
      <c r="AR36" s="4" t="s">
        <v>516</v>
      </c>
    </row>
    <row r="37" spans="1:44" ht="15.75" customHeight="1" x14ac:dyDescent="0.3">
      <c r="A37" s="4" t="s">
        <v>516</v>
      </c>
      <c r="B37" s="13">
        <v>1074</v>
      </c>
      <c r="C37" s="4">
        <v>57.150000000000006</v>
      </c>
      <c r="AC37" s="4">
        <v>35</v>
      </c>
      <c r="AD37" s="4" t="s">
        <v>354</v>
      </c>
      <c r="AE37" s="4">
        <v>1843</v>
      </c>
      <c r="AF37" s="4">
        <v>31</v>
      </c>
      <c r="AG37" s="4">
        <v>12.03</v>
      </c>
      <c r="AH37" s="4">
        <v>4.5999999999999996</v>
      </c>
      <c r="AI37" s="4">
        <v>8.18</v>
      </c>
      <c r="AJ37" s="4">
        <v>3.5</v>
      </c>
      <c r="AK37" s="4">
        <v>5.64</v>
      </c>
      <c r="AL37" s="4">
        <f t="shared" si="1"/>
        <v>64.95</v>
      </c>
      <c r="AN37" s="4">
        <v>35</v>
      </c>
      <c r="AO37" s="4" t="s">
        <v>295</v>
      </c>
      <c r="AP37" s="4">
        <v>13</v>
      </c>
      <c r="AQ37" s="4">
        <v>58.36</v>
      </c>
      <c r="AR37" s="4" t="s">
        <v>516</v>
      </c>
    </row>
    <row r="38" spans="1:44" ht="15.75" customHeight="1" x14ac:dyDescent="0.3">
      <c r="A38" s="4" t="s">
        <v>516</v>
      </c>
      <c r="B38" s="14">
        <v>1274</v>
      </c>
      <c r="C38" s="4">
        <v>57.16</v>
      </c>
      <c r="AC38" s="4">
        <v>36</v>
      </c>
      <c r="AD38" s="4" t="s">
        <v>356</v>
      </c>
      <c r="AE38" s="4">
        <v>1613</v>
      </c>
      <c r="AF38" s="4">
        <v>28.11</v>
      </c>
      <c r="AG38" s="4">
        <v>11.89</v>
      </c>
      <c r="AH38" s="4">
        <v>3</v>
      </c>
      <c r="AI38" s="4">
        <v>6.5</v>
      </c>
      <c r="AJ38" s="4">
        <v>1.5</v>
      </c>
      <c r="AK38" s="4">
        <v>3</v>
      </c>
      <c r="AL38" s="4">
        <f t="shared" si="1"/>
        <v>54</v>
      </c>
      <c r="AN38" s="4">
        <v>36</v>
      </c>
      <c r="AO38" s="4" t="s">
        <v>506</v>
      </c>
      <c r="AP38" s="4">
        <v>367</v>
      </c>
      <c r="AQ38" s="4">
        <v>58.470000000000006</v>
      </c>
      <c r="AR38" s="4" t="s">
        <v>516</v>
      </c>
    </row>
    <row r="39" spans="1:44" ht="15.75" customHeight="1" x14ac:dyDescent="0.3">
      <c r="A39" s="4" t="s">
        <v>516</v>
      </c>
      <c r="B39" s="14">
        <v>2143</v>
      </c>
      <c r="C39" s="4">
        <v>57.160000000000004</v>
      </c>
      <c r="AC39" s="4">
        <v>37</v>
      </c>
      <c r="AD39" s="4" t="s">
        <v>358</v>
      </c>
      <c r="AE39" s="4">
        <v>1057</v>
      </c>
      <c r="AF39" s="4">
        <v>31.79</v>
      </c>
      <c r="AG39" s="4">
        <v>13.64</v>
      </c>
      <c r="AH39" s="4">
        <v>6.48</v>
      </c>
      <c r="AI39" s="4">
        <v>8.5299999999999994</v>
      </c>
      <c r="AJ39" s="4">
        <v>4.25</v>
      </c>
      <c r="AK39" s="4">
        <v>7.9</v>
      </c>
      <c r="AL39" s="4">
        <f t="shared" si="1"/>
        <v>72.59</v>
      </c>
      <c r="AN39" s="4">
        <v>37</v>
      </c>
      <c r="AO39" s="4" t="s">
        <v>318</v>
      </c>
      <c r="AP39" s="4">
        <v>1593</v>
      </c>
      <c r="AQ39" s="4">
        <v>58.599999999999994</v>
      </c>
      <c r="AR39" s="4" t="s">
        <v>516</v>
      </c>
    </row>
    <row r="40" spans="1:44" ht="15.75" customHeight="1" x14ac:dyDescent="0.3">
      <c r="A40" s="4" t="s">
        <v>516</v>
      </c>
      <c r="B40" s="14">
        <v>113</v>
      </c>
      <c r="C40" s="4">
        <v>57.269999999999996</v>
      </c>
      <c r="AC40" s="4">
        <v>38</v>
      </c>
      <c r="AD40" s="4" t="s">
        <v>360</v>
      </c>
      <c r="AE40" s="4">
        <v>1008</v>
      </c>
      <c r="AF40" s="4">
        <v>30.41</v>
      </c>
      <c r="AG40" s="4">
        <v>12.27</v>
      </c>
      <c r="AH40" s="4">
        <v>4.5999999999999996</v>
      </c>
      <c r="AI40" s="4">
        <v>7.54</v>
      </c>
      <c r="AJ40" s="4">
        <v>3.18</v>
      </c>
      <c r="AK40" s="4">
        <v>5</v>
      </c>
      <c r="AL40" s="4">
        <f t="shared" si="1"/>
        <v>63</v>
      </c>
      <c r="AN40" s="4">
        <v>38</v>
      </c>
      <c r="AO40" s="4" t="s">
        <v>316</v>
      </c>
      <c r="AP40" s="4">
        <v>1430</v>
      </c>
      <c r="AQ40" s="4">
        <v>58.750000000000007</v>
      </c>
      <c r="AR40" s="4" t="s">
        <v>516</v>
      </c>
    </row>
    <row r="41" spans="1:44" ht="15.75" customHeight="1" x14ac:dyDescent="0.3">
      <c r="A41" s="4" t="s">
        <v>516</v>
      </c>
      <c r="B41" s="117">
        <v>1926</v>
      </c>
      <c r="C41" s="4">
        <v>57.33</v>
      </c>
      <c r="AC41" s="4">
        <v>39</v>
      </c>
      <c r="AD41" s="4" t="s">
        <v>361</v>
      </c>
      <c r="AE41" s="4">
        <v>1449</v>
      </c>
      <c r="AF41" s="4">
        <v>37.79</v>
      </c>
      <c r="AG41" s="4">
        <v>13.5</v>
      </c>
      <c r="AH41" s="4">
        <v>6.5</v>
      </c>
      <c r="AI41" s="4">
        <v>8.1</v>
      </c>
      <c r="AJ41" s="4">
        <v>3.5</v>
      </c>
      <c r="AK41" s="4">
        <v>7.5</v>
      </c>
      <c r="AL41" s="4">
        <f t="shared" si="1"/>
        <v>76.89</v>
      </c>
      <c r="AN41" s="4">
        <v>39</v>
      </c>
      <c r="AO41" s="4" t="s">
        <v>478</v>
      </c>
      <c r="AP41" s="4">
        <v>296</v>
      </c>
      <c r="AQ41" s="4">
        <v>58.779999999999994</v>
      </c>
      <c r="AR41" s="4" t="s">
        <v>516</v>
      </c>
    </row>
    <row r="42" spans="1:44" ht="15.75" customHeight="1" x14ac:dyDescent="0.3">
      <c r="A42" s="4" t="s">
        <v>516</v>
      </c>
      <c r="B42" s="13">
        <v>350</v>
      </c>
      <c r="C42" s="4">
        <v>57.34</v>
      </c>
      <c r="AC42" s="4">
        <v>40</v>
      </c>
      <c r="AD42" s="4" t="s">
        <v>323</v>
      </c>
      <c r="AE42" s="4">
        <v>1085</v>
      </c>
      <c r="AF42" s="4">
        <v>20.16</v>
      </c>
      <c r="AG42" s="4">
        <v>5.41</v>
      </c>
      <c r="AH42" s="4">
        <v>3</v>
      </c>
      <c r="AI42" s="4">
        <v>6.1</v>
      </c>
      <c r="AJ42" s="4">
        <v>1.5</v>
      </c>
      <c r="AK42" s="4">
        <v>3</v>
      </c>
      <c r="AL42" s="4">
        <f t="shared" si="1"/>
        <v>39.17</v>
      </c>
      <c r="AN42" s="4">
        <v>40</v>
      </c>
      <c r="AO42" s="4" t="s">
        <v>309</v>
      </c>
      <c r="AP42" s="4">
        <v>38</v>
      </c>
      <c r="AQ42" s="4">
        <v>58.83</v>
      </c>
      <c r="AR42" s="4" t="s">
        <v>516</v>
      </c>
    </row>
    <row r="43" spans="1:44" ht="15.75" customHeight="1" x14ac:dyDescent="0.3">
      <c r="A43" s="4" t="s">
        <v>516</v>
      </c>
      <c r="B43" s="13">
        <v>1879</v>
      </c>
      <c r="C43" s="4">
        <v>57.39</v>
      </c>
      <c r="AC43" s="4">
        <v>41</v>
      </c>
      <c r="AD43" s="4" t="s">
        <v>364</v>
      </c>
      <c r="AE43" s="4">
        <v>1090</v>
      </c>
      <c r="AF43" s="4">
        <v>30.5</v>
      </c>
      <c r="AG43" s="4">
        <v>12.88</v>
      </c>
      <c r="AH43" s="4">
        <v>3.94</v>
      </c>
      <c r="AI43" s="4">
        <v>7.3</v>
      </c>
      <c r="AJ43" s="4">
        <v>3.18</v>
      </c>
      <c r="AK43" s="4">
        <v>5</v>
      </c>
      <c r="AL43" s="4">
        <f t="shared" si="1"/>
        <v>62.8</v>
      </c>
      <c r="AN43" s="4">
        <v>41</v>
      </c>
      <c r="AO43" s="4" t="s">
        <v>461</v>
      </c>
      <c r="AP43" s="4">
        <v>515</v>
      </c>
      <c r="AQ43" s="4">
        <v>58.9</v>
      </c>
      <c r="AR43" s="4" t="s">
        <v>516</v>
      </c>
    </row>
    <row r="44" spans="1:44" ht="15.75" customHeight="1" x14ac:dyDescent="0.3">
      <c r="A44" s="4" t="s">
        <v>516</v>
      </c>
      <c r="B44" s="13">
        <v>1151</v>
      </c>
      <c r="C44" s="4">
        <v>57.480000000000004</v>
      </c>
      <c r="AC44" s="4">
        <v>42</v>
      </c>
      <c r="AD44" s="4" t="s">
        <v>366</v>
      </c>
      <c r="AE44" s="4">
        <v>1132</v>
      </c>
      <c r="AF44" s="4">
        <v>25.4</v>
      </c>
      <c r="AG44" s="4">
        <v>5.8</v>
      </c>
      <c r="AH44" s="4">
        <v>3</v>
      </c>
      <c r="AI44" s="4">
        <v>6.5</v>
      </c>
      <c r="AJ44" s="4">
        <v>1.5</v>
      </c>
      <c r="AK44" s="4">
        <v>3</v>
      </c>
      <c r="AL44" s="4">
        <f t="shared" si="1"/>
        <v>45.2</v>
      </c>
      <c r="AN44" s="4">
        <v>42</v>
      </c>
      <c r="AO44" s="4" t="s">
        <v>405</v>
      </c>
      <c r="AP44" s="4">
        <v>1144</v>
      </c>
      <c r="AQ44" s="4">
        <v>58.97</v>
      </c>
      <c r="AR44" s="4" t="s">
        <v>516</v>
      </c>
    </row>
    <row r="45" spans="1:44" ht="15.75" customHeight="1" x14ac:dyDescent="0.3">
      <c r="A45" s="4" t="s">
        <v>516</v>
      </c>
      <c r="B45" s="13">
        <v>1424</v>
      </c>
      <c r="C45" s="4">
        <v>57.539999999999992</v>
      </c>
      <c r="AC45" s="4">
        <v>43</v>
      </c>
      <c r="AD45" s="4" t="s">
        <v>368</v>
      </c>
      <c r="AE45" s="4">
        <v>1055</v>
      </c>
      <c r="AF45" s="4">
        <v>32.380000000000003</v>
      </c>
      <c r="AG45" s="4">
        <v>14.96</v>
      </c>
      <c r="AH45" s="4">
        <v>4.8</v>
      </c>
      <c r="AI45" s="4">
        <v>9.6999999999999993</v>
      </c>
      <c r="AJ45" s="4">
        <v>2.98</v>
      </c>
      <c r="AK45" s="4">
        <v>4.3600000000000003</v>
      </c>
      <c r="AL45" s="4">
        <f t="shared" si="1"/>
        <v>69.180000000000007</v>
      </c>
      <c r="AN45" s="4">
        <v>43</v>
      </c>
      <c r="AO45" s="4" t="s">
        <v>390</v>
      </c>
      <c r="AP45" s="4">
        <v>457</v>
      </c>
      <c r="AQ45" s="4">
        <v>59.179999999999993</v>
      </c>
      <c r="AR45" s="4" t="s">
        <v>516</v>
      </c>
    </row>
    <row r="46" spans="1:44" ht="15.75" customHeight="1" x14ac:dyDescent="0.3">
      <c r="A46" s="4" t="s">
        <v>516</v>
      </c>
      <c r="B46" s="13">
        <v>1094</v>
      </c>
      <c r="C46" s="4">
        <v>57.57</v>
      </c>
      <c r="AC46" s="4">
        <v>44</v>
      </c>
      <c r="AD46" s="4" t="s">
        <v>371</v>
      </c>
      <c r="AE46" s="4">
        <v>1812</v>
      </c>
      <c r="AF46" s="4">
        <v>30.8</v>
      </c>
      <c r="AG46" s="4">
        <v>14.34</v>
      </c>
      <c r="AH46" s="4">
        <v>7.3</v>
      </c>
      <c r="AI46" s="4">
        <v>11.16</v>
      </c>
      <c r="AJ46" s="4">
        <v>4.03</v>
      </c>
      <c r="AK46" s="4">
        <v>7.59</v>
      </c>
      <c r="AL46" s="4">
        <f t="shared" si="1"/>
        <v>75.22</v>
      </c>
      <c r="AN46" s="4">
        <v>44</v>
      </c>
      <c r="AO46" s="4" t="s">
        <v>349</v>
      </c>
      <c r="AP46" s="4">
        <v>1909</v>
      </c>
      <c r="AQ46" s="4">
        <v>59.48</v>
      </c>
      <c r="AR46" s="4" t="s">
        <v>516</v>
      </c>
    </row>
    <row r="47" spans="1:44" ht="15.75" customHeight="1" x14ac:dyDescent="0.3">
      <c r="A47" s="4" t="s">
        <v>516</v>
      </c>
      <c r="B47" s="13">
        <v>13</v>
      </c>
      <c r="C47" s="4">
        <v>58.36</v>
      </c>
      <c r="AC47" s="4">
        <v>45</v>
      </c>
      <c r="AD47" s="4" t="s">
        <v>374</v>
      </c>
      <c r="AE47" s="4">
        <v>1182</v>
      </c>
      <c r="AF47" s="4">
        <v>27.41</v>
      </c>
      <c r="AG47" s="4">
        <v>13.17</v>
      </c>
      <c r="AH47" s="4">
        <v>7.74</v>
      </c>
      <c r="AI47" s="4">
        <v>11.45</v>
      </c>
      <c r="AJ47" s="4">
        <v>3.8</v>
      </c>
      <c r="AK47" s="4">
        <v>7.84</v>
      </c>
      <c r="AL47" s="4">
        <f t="shared" si="1"/>
        <v>71.41</v>
      </c>
      <c r="AN47" s="4">
        <v>45</v>
      </c>
      <c r="AO47" s="4" t="s">
        <v>384</v>
      </c>
      <c r="AP47" s="4">
        <v>1273</v>
      </c>
      <c r="AQ47" s="4">
        <v>59.5</v>
      </c>
      <c r="AR47" s="4" t="s">
        <v>516</v>
      </c>
    </row>
    <row r="48" spans="1:44" ht="15.75" customHeight="1" x14ac:dyDescent="0.3">
      <c r="A48" s="4" t="s">
        <v>516</v>
      </c>
      <c r="B48" s="13">
        <v>367</v>
      </c>
      <c r="C48" s="4">
        <v>58.470000000000006</v>
      </c>
      <c r="AC48" s="4">
        <v>46</v>
      </c>
      <c r="AD48" s="4" t="s">
        <v>377</v>
      </c>
      <c r="AE48" s="4">
        <v>1211</v>
      </c>
      <c r="AF48" s="4">
        <v>32.61</v>
      </c>
      <c r="AG48" s="4">
        <v>15</v>
      </c>
      <c r="AH48" s="4">
        <v>7</v>
      </c>
      <c r="AI48" s="4">
        <v>9.9499999999999993</v>
      </c>
      <c r="AJ48" s="4">
        <v>4.0999999999999996</v>
      </c>
      <c r="AK48" s="4">
        <v>4.5999999999999996</v>
      </c>
      <c r="AL48" s="4">
        <f t="shared" si="1"/>
        <v>73.259999999999991</v>
      </c>
      <c r="AN48" s="4">
        <v>46</v>
      </c>
      <c r="AO48" s="4" t="s">
        <v>431</v>
      </c>
      <c r="AP48" s="4">
        <v>16</v>
      </c>
      <c r="AQ48" s="4">
        <v>59.58</v>
      </c>
      <c r="AR48" s="4" t="s">
        <v>516</v>
      </c>
    </row>
    <row r="49" spans="1:44" ht="15.75" customHeight="1" x14ac:dyDescent="0.3">
      <c r="A49" s="4" t="s">
        <v>516</v>
      </c>
      <c r="B49" s="13">
        <v>1593</v>
      </c>
      <c r="C49" s="4">
        <v>58.599999999999994</v>
      </c>
      <c r="AC49" s="4">
        <v>47</v>
      </c>
      <c r="AD49" s="4" t="s">
        <v>380</v>
      </c>
      <c r="AE49" s="4">
        <v>1470</v>
      </c>
      <c r="AF49" s="4">
        <v>30</v>
      </c>
      <c r="AG49" s="4">
        <v>11.24</v>
      </c>
      <c r="AH49" s="4">
        <v>4.34</v>
      </c>
      <c r="AI49" s="4">
        <v>8.58</v>
      </c>
      <c r="AJ49" s="4">
        <v>2.9</v>
      </c>
      <c r="AK49" s="4">
        <v>3.84</v>
      </c>
      <c r="AL49" s="4">
        <f t="shared" si="1"/>
        <v>60.899999999999991</v>
      </c>
      <c r="AN49" s="4">
        <v>47</v>
      </c>
      <c r="AO49" s="4" t="s">
        <v>443</v>
      </c>
      <c r="AP49" s="4">
        <v>63</v>
      </c>
      <c r="AQ49" s="4">
        <v>59.63</v>
      </c>
      <c r="AR49" s="4" t="s">
        <v>516</v>
      </c>
    </row>
    <row r="50" spans="1:44" ht="15.75" customHeight="1" x14ac:dyDescent="0.3">
      <c r="A50" s="4" t="s">
        <v>516</v>
      </c>
      <c r="B50" s="13">
        <v>296</v>
      </c>
      <c r="C50" s="4">
        <v>58.779999999999994</v>
      </c>
      <c r="AC50" s="4">
        <v>48</v>
      </c>
      <c r="AD50" s="4" t="s">
        <v>381</v>
      </c>
      <c r="AE50" s="4">
        <v>1185</v>
      </c>
      <c r="AF50" s="4">
        <v>31.3</v>
      </c>
      <c r="AG50" s="4">
        <v>11.77</v>
      </c>
      <c r="AH50" s="4">
        <v>7</v>
      </c>
      <c r="AI50" s="4">
        <v>11.2</v>
      </c>
      <c r="AJ50" s="4">
        <v>4.0999999999999996</v>
      </c>
      <c r="AK50" s="4">
        <v>4.5999999999999996</v>
      </c>
      <c r="AL50" s="4">
        <f t="shared" si="1"/>
        <v>69.969999999999985</v>
      </c>
      <c r="AN50" s="4">
        <v>48</v>
      </c>
      <c r="AO50" s="4" t="s">
        <v>329</v>
      </c>
      <c r="AP50" s="4">
        <v>1523</v>
      </c>
      <c r="AQ50" s="4">
        <v>59.639999999999993</v>
      </c>
      <c r="AR50" s="4" t="s">
        <v>516</v>
      </c>
    </row>
    <row r="51" spans="1:44" ht="15.75" customHeight="1" x14ac:dyDescent="0.3">
      <c r="A51" s="4" t="s">
        <v>516</v>
      </c>
      <c r="B51" s="14">
        <v>38</v>
      </c>
      <c r="C51" s="4">
        <v>58.83</v>
      </c>
      <c r="AC51" s="4">
        <v>49</v>
      </c>
      <c r="AD51" s="4" t="s">
        <v>383</v>
      </c>
      <c r="AE51" s="4">
        <v>1058</v>
      </c>
      <c r="AF51" s="4">
        <v>27.41</v>
      </c>
      <c r="AG51" s="4">
        <v>14.34</v>
      </c>
      <c r="AH51" s="4">
        <v>6.48</v>
      </c>
      <c r="AI51" s="4">
        <v>10.51</v>
      </c>
      <c r="AJ51" s="4">
        <v>3.73</v>
      </c>
      <c r="AK51" s="4">
        <v>6.2</v>
      </c>
      <c r="AL51" s="4">
        <f t="shared" si="1"/>
        <v>68.67</v>
      </c>
      <c r="AN51" s="4">
        <v>49</v>
      </c>
      <c r="AO51" s="4" t="s">
        <v>346</v>
      </c>
      <c r="AP51" s="4">
        <v>1372</v>
      </c>
      <c r="AQ51" s="4">
        <v>59.82</v>
      </c>
      <c r="AR51" s="4" t="s">
        <v>516</v>
      </c>
    </row>
    <row r="52" spans="1:44" ht="15.75" customHeight="1" x14ac:dyDescent="0.3">
      <c r="A52" s="4" t="s">
        <v>516</v>
      </c>
      <c r="B52" s="14">
        <v>457</v>
      </c>
      <c r="C52" s="4">
        <v>59.179999999999993</v>
      </c>
      <c r="AC52" s="4">
        <v>50</v>
      </c>
      <c r="AD52" s="4" t="s">
        <v>385</v>
      </c>
      <c r="AE52" s="4">
        <v>2433</v>
      </c>
      <c r="AF52" s="4">
        <v>33.46</v>
      </c>
      <c r="AG52" s="4">
        <v>12.33</v>
      </c>
      <c r="AH52" s="4">
        <v>4.46</v>
      </c>
      <c r="AI52" s="4">
        <v>8.02</v>
      </c>
      <c r="AJ52" s="4">
        <v>3.65</v>
      </c>
      <c r="AK52" s="4">
        <v>5.56</v>
      </c>
      <c r="AL52" s="4">
        <f t="shared" si="1"/>
        <v>67.47999999999999</v>
      </c>
      <c r="AN52" s="4">
        <v>50</v>
      </c>
      <c r="AO52" s="4" t="s">
        <v>359</v>
      </c>
      <c r="AP52" s="4">
        <v>53</v>
      </c>
      <c r="AQ52" s="4">
        <v>59.910000000000011</v>
      </c>
      <c r="AR52" s="4" t="s">
        <v>516</v>
      </c>
    </row>
    <row r="53" spans="1:44" ht="15.75" customHeight="1" x14ac:dyDescent="0.3">
      <c r="A53" s="4" t="s">
        <v>516</v>
      </c>
      <c r="B53" s="116">
        <v>1909</v>
      </c>
      <c r="C53" s="4">
        <v>59.48</v>
      </c>
      <c r="AC53" s="4">
        <v>51</v>
      </c>
      <c r="AD53" s="4" t="s">
        <v>384</v>
      </c>
      <c r="AE53" s="4">
        <v>1273</v>
      </c>
      <c r="AF53" s="4">
        <v>23.58</v>
      </c>
      <c r="AG53" s="4">
        <v>7.75</v>
      </c>
      <c r="AH53" s="4">
        <v>6.48</v>
      </c>
      <c r="AI53" s="4">
        <v>10.66</v>
      </c>
      <c r="AJ53" s="4">
        <v>4.03</v>
      </c>
      <c r="AK53" s="4">
        <v>7</v>
      </c>
      <c r="AL53" s="4">
        <f t="shared" si="1"/>
        <v>59.5</v>
      </c>
      <c r="AN53" s="4">
        <v>51</v>
      </c>
      <c r="AO53" s="4" t="s">
        <v>282</v>
      </c>
      <c r="AP53" s="4">
        <v>1787</v>
      </c>
      <c r="AQ53" s="4">
        <v>59.97</v>
      </c>
      <c r="AR53" s="4" t="s">
        <v>516</v>
      </c>
    </row>
    <row r="54" spans="1:44" ht="15.75" customHeight="1" x14ac:dyDescent="0.3">
      <c r="A54" s="4" t="s">
        <v>516</v>
      </c>
      <c r="B54" s="14">
        <v>16</v>
      </c>
      <c r="C54" s="4">
        <v>59.58</v>
      </c>
      <c r="AC54" s="4">
        <v>52</v>
      </c>
      <c r="AD54" s="4" t="s">
        <v>375</v>
      </c>
      <c r="AE54" s="4">
        <v>1332</v>
      </c>
      <c r="AF54" s="4">
        <v>23.17</v>
      </c>
      <c r="AG54" s="4">
        <v>11.2</v>
      </c>
      <c r="AH54" s="4">
        <v>6.48</v>
      </c>
      <c r="AI54" s="4">
        <v>11.18</v>
      </c>
      <c r="AJ54" s="4">
        <v>4.03</v>
      </c>
      <c r="AK54" s="4">
        <v>8.0500000000000007</v>
      </c>
      <c r="AL54" s="4">
        <f t="shared" si="1"/>
        <v>64.110000000000014</v>
      </c>
      <c r="AN54" s="4">
        <v>52</v>
      </c>
      <c r="AO54" s="4" t="s">
        <v>424</v>
      </c>
      <c r="AP54" s="4">
        <v>1085</v>
      </c>
      <c r="AQ54" s="4">
        <v>60.389999999999993</v>
      </c>
      <c r="AR54" s="4" t="s">
        <v>516</v>
      </c>
    </row>
    <row r="55" spans="1:44" ht="15.75" customHeight="1" x14ac:dyDescent="0.3">
      <c r="A55" s="4" t="s">
        <v>516</v>
      </c>
      <c r="B55" s="14">
        <v>63</v>
      </c>
      <c r="C55" s="4">
        <v>59.63</v>
      </c>
      <c r="AC55" s="4">
        <v>53</v>
      </c>
      <c r="AD55" s="4" t="s">
        <v>389</v>
      </c>
      <c r="AE55" s="4">
        <v>1045</v>
      </c>
      <c r="AF55" s="4">
        <v>27.22</v>
      </c>
      <c r="AG55" s="4">
        <v>13.31</v>
      </c>
      <c r="AH55" s="4">
        <v>6</v>
      </c>
      <c r="AI55" s="4">
        <v>8.68</v>
      </c>
      <c r="AJ55" s="4">
        <v>4.03</v>
      </c>
      <c r="AK55" s="4">
        <v>7.08</v>
      </c>
      <c r="AL55" s="4">
        <f t="shared" si="1"/>
        <v>66.320000000000007</v>
      </c>
      <c r="AN55" s="4">
        <v>53</v>
      </c>
      <c r="AO55" s="4" t="s">
        <v>436</v>
      </c>
      <c r="AP55" s="4">
        <v>20</v>
      </c>
      <c r="AQ55" s="4">
        <v>60.78</v>
      </c>
      <c r="AR55" s="4" t="s">
        <v>516</v>
      </c>
    </row>
    <row r="56" spans="1:44" ht="15.75" customHeight="1" x14ac:dyDescent="0.3">
      <c r="A56" s="4" t="s">
        <v>516</v>
      </c>
      <c r="B56" s="13">
        <v>1372</v>
      </c>
      <c r="C56" s="4">
        <v>59.82</v>
      </c>
      <c r="AC56" s="4">
        <v>54</v>
      </c>
      <c r="AD56" s="4" t="s">
        <v>367</v>
      </c>
      <c r="AE56" s="4">
        <v>1921</v>
      </c>
      <c r="AF56" s="4">
        <v>22.88</v>
      </c>
      <c r="AG56" s="4">
        <v>13.76</v>
      </c>
      <c r="AH56" s="4">
        <v>7</v>
      </c>
      <c r="AI56" s="4">
        <v>12.63</v>
      </c>
      <c r="AJ56" s="4">
        <v>3.5</v>
      </c>
      <c r="AK56" s="4">
        <v>7</v>
      </c>
      <c r="AL56" s="4">
        <f t="shared" si="1"/>
        <v>66.77000000000001</v>
      </c>
      <c r="AN56" s="4">
        <v>54</v>
      </c>
      <c r="AO56" s="4" t="s">
        <v>474</v>
      </c>
      <c r="AP56" s="4">
        <v>971</v>
      </c>
      <c r="AQ56" s="4">
        <v>60.83</v>
      </c>
      <c r="AR56" s="4" t="s">
        <v>516</v>
      </c>
    </row>
    <row r="57" spans="1:44" ht="15.75" customHeight="1" x14ac:dyDescent="0.3">
      <c r="A57" s="4" t="s">
        <v>516</v>
      </c>
      <c r="B57" s="14">
        <v>53</v>
      </c>
      <c r="C57" s="4">
        <v>59.910000000000011</v>
      </c>
      <c r="AC57" s="4">
        <v>55</v>
      </c>
      <c r="AD57" s="4" t="s">
        <v>318</v>
      </c>
      <c r="AE57" s="4">
        <v>1593</v>
      </c>
      <c r="AF57" s="4">
        <v>19.649999999999999</v>
      </c>
      <c r="AG57" s="4">
        <v>9.86</v>
      </c>
      <c r="AH57" s="4">
        <v>6.8</v>
      </c>
      <c r="AI57" s="4">
        <v>12.63</v>
      </c>
      <c r="AJ57" s="4">
        <v>3.5</v>
      </c>
      <c r="AK57" s="4">
        <v>6.16</v>
      </c>
      <c r="AL57" s="4">
        <f t="shared" si="1"/>
        <v>58.599999999999994</v>
      </c>
      <c r="AN57" s="4">
        <v>55</v>
      </c>
      <c r="AO57" s="4" t="s">
        <v>407</v>
      </c>
      <c r="AP57" s="4">
        <v>215</v>
      </c>
      <c r="AQ57" s="4">
        <v>60.89</v>
      </c>
      <c r="AR57" s="4" t="s">
        <v>516</v>
      </c>
    </row>
    <row r="58" spans="1:44" ht="15.75" customHeight="1" x14ac:dyDescent="0.3">
      <c r="A58" s="4" t="s">
        <v>516</v>
      </c>
      <c r="B58" s="14">
        <v>20</v>
      </c>
      <c r="C58" s="4">
        <v>60.78</v>
      </c>
      <c r="AC58" s="4">
        <v>56</v>
      </c>
      <c r="AD58" s="4" t="s">
        <v>394</v>
      </c>
      <c r="AE58" s="4">
        <v>1246</v>
      </c>
      <c r="AF58" s="4">
        <v>31.44</v>
      </c>
      <c r="AG58" s="4">
        <v>7.28</v>
      </c>
      <c r="AH58" s="4">
        <v>8.2799999999999994</v>
      </c>
      <c r="AI58" s="4">
        <v>12.75</v>
      </c>
      <c r="AJ58" s="4">
        <v>3.8</v>
      </c>
      <c r="AK58" s="4">
        <v>7.99</v>
      </c>
      <c r="AL58" s="4">
        <f t="shared" si="1"/>
        <v>71.539999999999992</v>
      </c>
      <c r="AN58" s="4">
        <v>56</v>
      </c>
      <c r="AO58" s="4" t="s">
        <v>380</v>
      </c>
      <c r="AP58" s="4">
        <v>1470</v>
      </c>
      <c r="AQ58" s="4">
        <v>60.899999999999991</v>
      </c>
      <c r="AR58" s="4" t="s">
        <v>516</v>
      </c>
    </row>
    <row r="59" spans="1:44" ht="15.75" customHeight="1" x14ac:dyDescent="0.3">
      <c r="A59" s="4" t="s">
        <v>516</v>
      </c>
      <c r="B59" s="13">
        <v>215</v>
      </c>
      <c r="C59" s="4">
        <v>60.89</v>
      </c>
      <c r="AC59" s="4">
        <v>57</v>
      </c>
      <c r="AD59" s="4" t="s">
        <v>330</v>
      </c>
      <c r="AE59" s="4">
        <v>1341</v>
      </c>
      <c r="AF59" s="4">
        <v>20.32</v>
      </c>
      <c r="AG59" s="4">
        <v>11.61</v>
      </c>
      <c r="AH59" s="4">
        <v>7</v>
      </c>
      <c r="AI59" s="4">
        <v>12.63</v>
      </c>
      <c r="AJ59" s="4">
        <v>3.5</v>
      </c>
      <c r="AK59" s="4">
        <v>7.17</v>
      </c>
      <c r="AL59" s="4">
        <f t="shared" si="1"/>
        <v>62.230000000000004</v>
      </c>
      <c r="AN59" s="4">
        <v>57</v>
      </c>
      <c r="AO59" s="4" t="s">
        <v>369</v>
      </c>
      <c r="AP59" s="4">
        <v>461</v>
      </c>
      <c r="AQ59" s="4">
        <v>61.169999999999995</v>
      </c>
      <c r="AR59" s="4" t="s">
        <v>516</v>
      </c>
    </row>
    <row r="60" spans="1:44" ht="15.75" customHeight="1" x14ac:dyDescent="0.3">
      <c r="A60" s="4" t="s">
        <v>516</v>
      </c>
      <c r="B60" s="13">
        <v>1126</v>
      </c>
      <c r="C60" s="4">
        <v>60.89</v>
      </c>
      <c r="AC60" s="4">
        <v>58</v>
      </c>
      <c r="AD60" s="4" t="s">
        <v>397</v>
      </c>
      <c r="AE60" s="4">
        <v>1884</v>
      </c>
      <c r="AF60" s="4">
        <v>27.13</v>
      </c>
      <c r="AG60" s="4">
        <v>8.3699999999999992</v>
      </c>
      <c r="AH60" s="4">
        <v>7.68</v>
      </c>
      <c r="AI60" s="4">
        <v>12.05</v>
      </c>
      <c r="AJ60" s="4">
        <v>4.25</v>
      </c>
      <c r="AK60" s="4">
        <v>8.5</v>
      </c>
      <c r="AL60" s="4">
        <f t="shared" si="1"/>
        <v>67.98</v>
      </c>
      <c r="AN60" s="4">
        <v>58</v>
      </c>
      <c r="AO60" s="4" t="s">
        <v>440</v>
      </c>
      <c r="AP60" s="4">
        <v>39</v>
      </c>
      <c r="AQ60" s="4">
        <v>61.320000000000007</v>
      </c>
      <c r="AR60" s="4" t="s">
        <v>516</v>
      </c>
    </row>
    <row r="61" spans="1:44" ht="15.75" customHeight="1" x14ac:dyDescent="0.3">
      <c r="A61" s="4" t="s">
        <v>516</v>
      </c>
      <c r="B61" s="116">
        <v>2184</v>
      </c>
      <c r="C61" s="4">
        <v>60.95</v>
      </c>
      <c r="AC61" s="4">
        <v>59</v>
      </c>
      <c r="AD61" s="4" t="s">
        <v>400</v>
      </c>
      <c r="AE61" s="4">
        <v>1337</v>
      </c>
      <c r="AF61" s="4">
        <v>26.07</v>
      </c>
      <c r="AG61" s="4">
        <v>7.49</v>
      </c>
      <c r="AH61" s="4">
        <v>6.78</v>
      </c>
      <c r="AI61" s="4">
        <v>11.57</v>
      </c>
      <c r="AJ61" s="4">
        <v>4.18</v>
      </c>
      <c r="AK61" s="4">
        <v>7.15</v>
      </c>
      <c r="AL61" s="4">
        <f t="shared" si="1"/>
        <v>63.24</v>
      </c>
      <c r="AN61" s="4">
        <v>59</v>
      </c>
      <c r="AO61" s="4" t="s">
        <v>442</v>
      </c>
      <c r="AP61" s="4">
        <v>282</v>
      </c>
      <c r="AQ61" s="4">
        <v>61.419999999999995</v>
      </c>
      <c r="AR61" s="4" t="s">
        <v>516</v>
      </c>
    </row>
    <row r="62" spans="1:44" ht="15.75" customHeight="1" x14ac:dyDescent="0.3">
      <c r="A62" s="4" t="s">
        <v>516</v>
      </c>
      <c r="B62" s="117">
        <v>293</v>
      </c>
      <c r="C62" s="4">
        <v>61.04</v>
      </c>
      <c r="AC62" s="4">
        <v>60</v>
      </c>
      <c r="AD62" s="4" t="s">
        <v>372</v>
      </c>
      <c r="AE62" s="4">
        <v>1733</v>
      </c>
      <c r="AF62" s="4">
        <v>23.01</v>
      </c>
      <c r="AG62" s="4">
        <v>13.37</v>
      </c>
      <c r="AH62" s="4">
        <v>7.21</v>
      </c>
      <c r="AI62" s="4">
        <v>12.51</v>
      </c>
      <c r="AJ62" s="4">
        <v>3.5</v>
      </c>
      <c r="AK62" s="4">
        <v>7</v>
      </c>
      <c r="AL62" s="4">
        <f t="shared" si="1"/>
        <v>66.599999999999994</v>
      </c>
      <c r="AN62" s="4">
        <v>60</v>
      </c>
      <c r="AO62" s="4" t="s">
        <v>439</v>
      </c>
      <c r="AP62" s="4">
        <v>107</v>
      </c>
      <c r="AQ62" s="4">
        <v>61.43</v>
      </c>
      <c r="AR62" s="4" t="s">
        <v>516</v>
      </c>
    </row>
    <row r="63" spans="1:44" ht="15.75" customHeight="1" x14ac:dyDescent="0.3">
      <c r="A63" s="4" t="s">
        <v>516</v>
      </c>
      <c r="B63" s="13">
        <v>422</v>
      </c>
      <c r="C63" s="4">
        <v>61.069999999999993</v>
      </c>
      <c r="AC63" s="4">
        <v>61</v>
      </c>
      <c r="AD63" s="4" t="s">
        <v>403</v>
      </c>
      <c r="AE63" s="4">
        <v>1347</v>
      </c>
      <c r="AF63" s="4">
        <v>26.61</v>
      </c>
      <c r="AG63" s="4">
        <v>11.74</v>
      </c>
      <c r="AH63" s="4">
        <v>7.21</v>
      </c>
      <c r="AI63" s="4">
        <v>12.63</v>
      </c>
      <c r="AJ63" s="4">
        <v>3.5</v>
      </c>
      <c r="AK63" s="4">
        <v>7</v>
      </c>
      <c r="AL63" s="4">
        <f t="shared" si="1"/>
        <v>68.69</v>
      </c>
      <c r="AN63" s="4">
        <v>61</v>
      </c>
      <c r="AO63" s="4" t="s">
        <v>425</v>
      </c>
      <c r="AP63" s="4">
        <v>190</v>
      </c>
      <c r="AQ63" s="4">
        <v>61.480000000000004</v>
      </c>
      <c r="AR63" s="4" t="s">
        <v>516</v>
      </c>
    </row>
    <row r="64" spans="1:44" ht="15.75" customHeight="1" x14ac:dyDescent="0.3">
      <c r="A64" s="4" t="s">
        <v>516</v>
      </c>
      <c r="B64" s="13">
        <v>1332</v>
      </c>
      <c r="C64" s="4">
        <v>61.080000000000005</v>
      </c>
      <c r="AC64" s="4">
        <v>62</v>
      </c>
      <c r="AD64" s="4" t="s">
        <v>405</v>
      </c>
      <c r="AE64" s="4">
        <v>1144</v>
      </c>
      <c r="AF64" s="4">
        <v>25.16</v>
      </c>
      <c r="AG64" s="4">
        <v>13.3</v>
      </c>
      <c r="AH64" s="4">
        <v>4.04</v>
      </c>
      <c r="AI64" s="4">
        <v>10.220000000000001</v>
      </c>
      <c r="AJ64" s="4">
        <v>2.85</v>
      </c>
      <c r="AK64" s="4">
        <v>3.4</v>
      </c>
      <c r="AL64" s="4">
        <f t="shared" si="1"/>
        <v>58.97</v>
      </c>
      <c r="AN64" s="4">
        <v>62</v>
      </c>
      <c r="AO64" s="4" t="s">
        <v>447</v>
      </c>
      <c r="AP64" s="4">
        <v>70</v>
      </c>
      <c r="AQ64" s="4">
        <v>61.63</v>
      </c>
      <c r="AR64" s="4" t="s">
        <v>516</v>
      </c>
    </row>
    <row r="65" spans="1:44" ht="15.75" customHeight="1" x14ac:dyDescent="0.3">
      <c r="A65" s="4" t="s">
        <v>516</v>
      </c>
      <c r="B65" s="117">
        <v>1229</v>
      </c>
      <c r="C65" s="4">
        <v>61.250000000000007</v>
      </c>
      <c r="AC65" s="4">
        <v>63</v>
      </c>
      <c r="AD65" s="4" t="s">
        <v>406</v>
      </c>
      <c r="AE65" s="4">
        <v>2522</v>
      </c>
      <c r="AF65" s="4">
        <v>34.270000000000003</v>
      </c>
      <c r="AG65" s="4">
        <v>12.25</v>
      </c>
      <c r="AH65" s="4">
        <v>4.8</v>
      </c>
      <c r="AI65" s="4">
        <v>8.1</v>
      </c>
      <c r="AJ65" s="4">
        <v>3.65</v>
      </c>
      <c r="AK65" s="4">
        <v>4.96</v>
      </c>
      <c r="AL65" s="4">
        <f t="shared" si="1"/>
        <v>68.03</v>
      </c>
      <c r="AN65" s="4">
        <v>63</v>
      </c>
      <c r="AO65" s="4" t="s">
        <v>339</v>
      </c>
      <c r="AP65" s="4">
        <v>119</v>
      </c>
      <c r="AQ65" s="4">
        <v>61.69</v>
      </c>
      <c r="AR65" s="4" t="s">
        <v>516</v>
      </c>
    </row>
    <row r="66" spans="1:44" ht="15.75" customHeight="1" x14ac:dyDescent="0.3">
      <c r="A66" s="4" t="s">
        <v>516</v>
      </c>
      <c r="B66" s="14">
        <v>39</v>
      </c>
      <c r="C66" s="4">
        <v>61.320000000000007</v>
      </c>
      <c r="AC66" s="4">
        <v>64</v>
      </c>
      <c r="AD66" s="4" t="s">
        <v>409</v>
      </c>
      <c r="AE66" s="4">
        <v>1229</v>
      </c>
      <c r="AF66" s="4">
        <v>32.15</v>
      </c>
      <c r="AG66" s="4">
        <v>8.98</v>
      </c>
      <c r="AH66" s="4">
        <v>7.21</v>
      </c>
      <c r="AI66" s="4">
        <v>12.63</v>
      </c>
      <c r="AJ66" s="4">
        <v>3.5</v>
      </c>
      <c r="AK66" s="4">
        <v>4.43</v>
      </c>
      <c r="AL66" s="4">
        <f t="shared" si="1"/>
        <v>68.900000000000006</v>
      </c>
      <c r="AN66" s="4">
        <v>64</v>
      </c>
      <c r="AO66" s="4" t="s">
        <v>437</v>
      </c>
      <c r="AP66" s="4">
        <v>46</v>
      </c>
      <c r="AQ66" s="4">
        <v>61.73</v>
      </c>
      <c r="AR66" s="4" t="s">
        <v>516</v>
      </c>
    </row>
    <row r="67" spans="1:44" ht="15.75" customHeight="1" x14ac:dyDescent="0.3">
      <c r="A67" s="4" t="s">
        <v>516</v>
      </c>
      <c r="B67" s="14">
        <v>282</v>
      </c>
      <c r="C67" s="4">
        <v>61.419999999999995</v>
      </c>
      <c r="AC67" s="4">
        <v>65</v>
      </c>
      <c r="AD67" s="4" t="s">
        <v>306</v>
      </c>
      <c r="AE67" s="4">
        <v>1475</v>
      </c>
      <c r="AF67" s="4">
        <v>16.59</v>
      </c>
      <c r="AG67" s="4">
        <v>10.16</v>
      </c>
      <c r="AH67" s="4">
        <v>4.29</v>
      </c>
      <c r="AI67" s="4">
        <v>11.25</v>
      </c>
      <c r="AJ67" s="4">
        <v>3.18</v>
      </c>
      <c r="AK67" s="4">
        <v>3</v>
      </c>
      <c r="AL67" s="4">
        <f t="shared" si="1"/>
        <v>48.47</v>
      </c>
      <c r="AN67" s="4">
        <v>65</v>
      </c>
      <c r="AO67" s="4" t="s">
        <v>433</v>
      </c>
      <c r="AP67" s="4">
        <v>156</v>
      </c>
      <c r="AQ67" s="4">
        <v>61.88</v>
      </c>
      <c r="AR67" s="4" t="s">
        <v>516</v>
      </c>
    </row>
    <row r="68" spans="1:44" ht="15.75" customHeight="1" x14ac:dyDescent="0.3">
      <c r="A68" s="4" t="s">
        <v>516</v>
      </c>
      <c r="B68" s="14">
        <v>107</v>
      </c>
      <c r="C68" s="4">
        <v>61.43</v>
      </c>
      <c r="AC68" s="4">
        <v>66</v>
      </c>
      <c r="AD68" s="4" t="s">
        <v>412</v>
      </c>
      <c r="AE68" s="4">
        <v>1292</v>
      </c>
      <c r="AF68" s="4">
        <v>27.83</v>
      </c>
      <c r="AG68" s="4">
        <v>13.87</v>
      </c>
      <c r="AH68" s="4">
        <v>8.9</v>
      </c>
      <c r="AI68" s="4">
        <v>11.01</v>
      </c>
      <c r="AJ68" s="4">
        <v>3.5</v>
      </c>
      <c r="AK68" s="4">
        <v>6.11</v>
      </c>
      <c r="AL68" s="4">
        <f t="shared" si="1"/>
        <v>71.219999999999985</v>
      </c>
      <c r="AN68" s="4">
        <v>66</v>
      </c>
      <c r="AO68" s="4" t="s">
        <v>328</v>
      </c>
      <c r="AP68" s="4">
        <v>165</v>
      </c>
      <c r="AQ68" s="4">
        <v>62.11</v>
      </c>
      <c r="AR68" s="4" t="s">
        <v>516</v>
      </c>
    </row>
    <row r="69" spans="1:44" ht="15.75" customHeight="1" x14ac:dyDescent="0.3">
      <c r="A69" s="4" t="s">
        <v>516</v>
      </c>
      <c r="B69" s="116">
        <v>319</v>
      </c>
      <c r="C69" s="4">
        <v>61.510000000000005</v>
      </c>
      <c r="AC69" s="4">
        <v>67</v>
      </c>
      <c r="AD69" s="4" t="s">
        <v>414</v>
      </c>
      <c r="AE69" s="4">
        <v>1274</v>
      </c>
      <c r="AF69" s="4">
        <v>30.14</v>
      </c>
      <c r="AG69" s="4">
        <v>10.42</v>
      </c>
      <c r="AH69" s="4">
        <v>7</v>
      </c>
      <c r="AI69" s="4">
        <v>10.5</v>
      </c>
      <c r="AJ69" s="4">
        <v>3.5</v>
      </c>
      <c r="AK69" s="4">
        <v>7.23</v>
      </c>
      <c r="AL69" s="4">
        <f t="shared" si="1"/>
        <v>68.790000000000006</v>
      </c>
      <c r="AN69" s="4">
        <v>67</v>
      </c>
      <c r="AO69" s="4" t="s">
        <v>502</v>
      </c>
      <c r="AP69" s="4">
        <v>148</v>
      </c>
      <c r="AQ69" s="4">
        <v>62.2</v>
      </c>
      <c r="AR69" s="4" t="s">
        <v>516</v>
      </c>
    </row>
    <row r="70" spans="1:44" ht="15.75" customHeight="1" x14ac:dyDescent="0.3">
      <c r="A70" s="4" t="s">
        <v>516</v>
      </c>
      <c r="B70" s="14">
        <v>70</v>
      </c>
      <c r="C70" s="4">
        <v>61.63</v>
      </c>
      <c r="AC70" s="4">
        <v>68</v>
      </c>
      <c r="AD70" s="4" t="s">
        <v>298</v>
      </c>
      <c r="AE70" s="4">
        <v>1779</v>
      </c>
      <c r="AF70" s="4">
        <v>14.54</v>
      </c>
      <c r="AG70" s="4">
        <v>9.64</v>
      </c>
      <c r="AH70" s="4">
        <v>7</v>
      </c>
      <c r="AI70" s="4">
        <v>11.31</v>
      </c>
      <c r="AJ70" s="4">
        <v>3.5</v>
      </c>
      <c r="AK70" s="4">
        <v>7.23</v>
      </c>
      <c r="AL70" s="4">
        <f t="shared" si="1"/>
        <v>53.22</v>
      </c>
      <c r="AN70" s="4">
        <v>68</v>
      </c>
      <c r="AO70" s="4" t="s">
        <v>330</v>
      </c>
      <c r="AP70" s="4">
        <v>1341</v>
      </c>
      <c r="AQ70" s="4">
        <v>62.230000000000004</v>
      </c>
      <c r="AR70" s="4" t="s">
        <v>516</v>
      </c>
    </row>
    <row r="71" spans="1:44" ht="15.75" customHeight="1" x14ac:dyDescent="0.3">
      <c r="A71" s="4" t="s">
        <v>516</v>
      </c>
      <c r="B71" s="13">
        <v>1246</v>
      </c>
      <c r="C71" s="4">
        <v>61.64</v>
      </c>
      <c r="AC71" s="4">
        <v>69</v>
      </c>
      <c r="AD71" s="4" t="s">
        <v>417</v>
      </c>
      <c r="AE71" s="4">
        <v>1661</v>
      </c>
      <c r="AF71" s="4">
        <v>31.54</v>
      </c>
      <c r="AG71" s="4">
        <v>10</v>
      </c>
      <c r="AH71" s="4">
        <v>7</v>
      </c>
      <c r="AI71" s="4">
        <v>10.5</v>
      </c>
      <c r="AJ71" s="4">
        <v>3.5</v>
      </c>
      <c r="AK71" s="4">
        <v>6.4</v>
      </c>
      <c r="AL71" s="4">
        <f t="shared" si="1"/>
        <v>68.94</v>
      </c>
      <c r="AN71" s="4">
        <v>69</v>
      </c>
      <c r="AO71" s="4" t="s">
        <v>413</v>
      </c>
      <c r="AP71" s="4">
        <v>789</v>
      </c>
      <c r="AQ71" s="4">
        <v>62.3</v>
      </c>
      <c r="AR71" s="4" t="s">
        <v>516</v>
      </c>
    </row>
    <row r="72" spans="1:44" ht="15.75" customHeight="1" x14ac:dyDescent="0.3">
      <c r="A72" s="4" t="s">
        <v>516</v>
      </c>
      <c r="B72" s="116">
        <v>1843</v>
      </c>
      <c r="C72" s="4">
        <v>61.67</v>
      </c>
      <c r="AC72" s="4">
        <v>70</v>
      </c>
      <c r="AD72" s="4" t="s">
        <v>335</v>
      </c>
      <c r="AE72" s="4">
        <v>1044</v>
      </c>
      <c r="AF72" s="4">
        <v>20.72</v>
      </c>
      <c r="AG72" s="4">
        <v>10.77</v>
      </c>
      <c r="AH72" s="4">
        <v>8.5</v>
      </c>
      <c r="AI72" s="4">
        <v>12.31</v>
      </c>
      <c r="AJ72" s="4">
        <v>4.25</v>
      </c>
      <c r="AK72" s="4">
        <v>7.4</v>
      </c>
      <c r="AL72" s="4">
        <f t="shared" si="1"/>
        <v>63.949999999999996</v>
      </c>
      <c r="AN72" s="4">
        <v>70</v>
      </c>
      <c r="AO72" s="4" t="s">
        <v>345</v>
      </c>
      <c r="AP72" s="4">
        <v>1744</v>
      </c>
      <c r="AQ72" s="4">
        <v>62.41</v>
      </c>
      <c r="AR72" s="4" t="s">
        <v>516</v>
      </c>
    </row>
    <row r="73" spans="1:44" ht="15.75" customHeight="1" x14ac:dyDescent="0.3">
      <c r="A73" s="4" t="s">
        <v>516</v>
      </c>
      <c r="B73" s="14">
        <v>119</v>
      </c>
      <c r="C73" s="4">
        <v>61.69</v>
      </c>
      <c r="AC73" s="4">
        <v>71</v>
      </c>
      <c r="AD73" s="4" t="s">
        <v>418</v>
      </c>
      <c r="AE73" s="4">
        <v>1185</v>
      </c>
      <c r="AF73" s="4">
        <v>26</v>
      </c>
      <c r="AG73" s="4">
        <v>8</v>
      </c>
      <c r="AH73" s="4">
        <v>6</v>
      </c>
      <c r="AI73" s="4">
        <v>8</v>
      </c>
      <c r="AJ73" s="4">
        <v>3</v>
      </c>
      <c r="AK73" s="4">
        <v>6</v>
      </c>
      <c r="AL73" s="4">
        <f t="shared" si="1"/>
        <v>57</v>
      </c>
      <c r="AN73" s="4">
        <v>71</v>
      </c>
      <c r="AO73" s="4" t="s">
        <v>352</v>
      </c>
      <c r="AP73" s="4">
        <v>1513</v>
      </c>
      <c r="AQ73" s="4">
        <v>62.42</v>
      </c>
      <c r="AR73" s="4" t="s">
        <v>516</v>
      </c>
    </row>
    <row r="74" spans="1:44" ht="15.75" customHeight="1" x14ac:dyDescent="0.3">
      <c r="A74" s="4" t="s">
        <v>516</v>
      </c>
      <c r="B74" s="14">
        <v>46</v>
      </c>
      <c r="C74" s="4">
        <v>61.73</v>
      </c>
      <c r="AC74" s="4">
        <v>72</v>
      </c>
      <c r="AD74" s="4" t="s">
        <v>286</v>
      </c>
      <c r="AE74" s="4">
        <v>1120</v>
      </c>
      <c r="AF74" s="4">
        <v>12.44</v>
      </c>
      <c r="AG74" s="4">
        <v>14.29</v>
      </c>
      <c r="AH74" s="4">
        <v>4.21</v>
      </c>
      <c r="AI74" s="4">
        <v>10.47</v>
      </c>
      <c r="AJ74" s="4">
        <v>2.1800000000000002</v>
      </c>
      <c r="AK74" s="4">
        <v>4.4000000000000004</v>
      </c>
      <c r="AL74" s="4">
        <f t="shared" si="1"/>
        <v>47.989999999999995</v>
      </c>
      <c r="AN74" s="4">
        <v>72</v>
      </c>
      <c r="AO74" s="4" t="s">
        <v>289</v>
      </c>
      <c r="AP74" s="4">
        <v>1378</v>
      </c>
      <c r="AQ74" s="4">
        <v>62.7</v>
      </c>
      <c r="AR74" s="4" t="s">
        <v>516</v>
      </c>
    </row>
    <row r="75" spans="1:44" ht="15.75" customHeight="1" x14ac:dyDescent="0.3">
      <c r="A75" s="4" t="s">
        <v>516</v>
      </c>
      <c r="B75" s="14">
        <v>156</v>
      </c>
      <c r="C75" s="4">
        <v>61.88</v>
      </c>
      <c r="AC75" s="4">
        <v>73</v>
      </c>
      <c r="AD75" s="4" t="s">
        <v>283</v>
      </c>
      <c r="AE75" s="4">
        <v>1476</v>
      </c>
      <c r="AF75" s="4">
        <v>12.06</v>
      </c>
      <c r="AG75" s="4">
        <v>12.97</v>
      </c>
      <c r="AH75" s="4">
        <v>7.21</v>
      </c>
      <c r="AI75" s="4">
        <v>10.4</v>
      </c>
      <c r="AJ75" s="4">
        <v>3.58</v>
      </c>
      <c r="AK75" s="4">
        <v>3</v>
      </c>
      <c r="AL75" s="4">
        <f t="shared" si="1"/>
        <v>49.22</v>
      </c>
      <c r="AN75" s="4">
        <v>73</v>
      </c>
      <c r="AO75" s="4" t="s">
        <v>364</v>
      </c>
      <c r="AP75" s="4">
        <v>1090</v>
      </c>
      <c r="AQ75" s="4">
        <v>62.8</v>
      </c>
      <c r="AR75" s="4" t="s">
        <v>516</v>
      </c>
    </row>
    <row r="76" spans="1:44" ht="15.75" customHeight="1" x14ac:dyDescent="0.3">
      <c r="A76" s="4" t="s">
        <v>516</v>
      </c>
      <c r="B76" s="13">
        <v>165</v>
      </c>
      <c r="C76" s="4">
        <v>62.11</v>
      </c>
      <c r="AC76" s="4">
        <v>74</v>
      </c>
      <c r="AD76" s="4" t="s">
        <v>288</v>
      </c>
      <c r="AE76" s="4">
        <v>1054</v>
      </c>
      <c r="AF76" s="4">
        <v>13.04</v>
      </c>
      <c r="AG76" s="4">
        <v>6.9</v>
      </c>
      <c r="AH76" s="4">
        <v>6.96</v>
      </c>
      <c r="AI76" s="4">
        <v>9.8000000000000007</v>
      </c>
      <c r="AJ76" s="4">
        <v>3.5</v>
      </c>
      <c r="AK76" s="4">
        <v>4.2</v>
      </c>
      <c r="AL76" s="4">
        <f t="shared" si="1"/>
        <v>44.400000000000006</v>
      </c>
      <c r="AN76" s="4">
        <v>74</v>
      </c>
      <c r="AO76" s="4" t="s">
        <v>315</v>
      </c>
      <c r="AP76" s="4">
        <v>2323</v>
      </c>
      <c r="AQ76" s="4">
        <v>62.86</v>
      </c>
      <c r="AR76" s="4" t="s">
        <v>516</v>
      </c>
    </row>
    <row r="77" spans="1:44" ht="15.75" customHeight="1" x14ac:dyDescent="0.3">
      <c r="A77" s="4" t="s">
        <v>516</v>
      </c>
      <c r="B77" s="14">
        <v>148</v>
      </c>
      <c r="C77" s="4">
        <v>62.2</v>
      </c>
      <c r="AC77" s="4">
        <v>75</v>
      </c>
      <c r="AD77" s="4" t="s">
        <v>316</v>
      </c>
      <c r="AE77" s="4">
        <v>1430</v>
      </c>
      <c r="AF77" s="4">
        <v>19.53</v>
      </c>
      <c r="AG77" s="4">
        <v>13.74</v>
      </c>
      <c r="AH77" s="4">
        <v>7.29</v>
      </c>
      <c r="AI77" s="4">
        <v>10.09</v>
      </c>
      <c r="AJ77" s="4">
        <v>3.1</v>
      </c>
      <c r="AK77" s="4">
        <v>5</v>
      </c>
      <c r="AL77" s="4">
        <f t="shared" si="1"/>
        <v>58.750000000000007</v>
      </c>
      <c r="AN77" s="4">
        <v>75</v>
      </c>
      <c r="AO77" s="4" t="s">
        <v>360</v>
      </c>
      <c r="AP77" s="4">
        <v>1008</v>
      </c>
      <c r="AQ77" s="4">
        <v>63</v>
      </c>
      <c r="AR77" s="4" t="s">
        <v>516</v>
      </c>
    </row>
    <row r="78" spans="1:44" ht="15.75" customHeight="1" x14ac:dyDescent="0.3">
      <c r="A78" s="4" t="s">
        <v>516</v>
      </c>
      <c r="B78" s="13">
        <v>1341</v>
      </c>
      <c r="C78" s="4">
        <v>62.230000000000004</v>
      </c>
      <c r="AC78" s="4">
        <v>76</v>
      </c>
      <c r="AD78" s="4" t="s">
        <v>424</v>
      </c>
      <c r="AE78" s="4">
        <v>1085</v>
      </c>
      <c r="AF78" s="4">
        <v>27.18</v>
      </c>
      <c r="AG78" s="4">
        <v>13.95</v>
      </c>
      <c r="AH78" s="4">
        <v>4.3</v>
      </c>
      <c r="AI78" s="4">
        <v>7.58</v>
      </c>
      <c r="AJ78" s="4">
        <v>2.78</v>
      </c>
      <c r="AK78" s="4">
        <v>4.5999999999999996</v>
      </c>
      <c r="AL78" s="4">
        <f t="shared" si="1"/>
        <v>60.389999999999993</v>
      </c>
      <c r="AN78" s="4">
        <v>76</v>
      </c>
      <c r="AO78" s="4" t="s">
        <v>400</v>
      </c>
      <c r="AP78" s="4">
        <v>1337</v>
      </c>
      <c r="AQ78" s="4">
        <v>63.24</v>
      </c>
      <c r="AR78" s="4" t="s">
        <v>516</v>
      </c>
    </row>
    <row r="79" spans="1:44" ht="15.75" customHeight="1" x14ac:dyDescent="0.3">
      <c r="A79" s="4" t="s">
        <v>516</v>
      </c>
      <c r="B79" s="14">
        <v>1378</v>
      </c>
      <c r="C79" s="4">
        <v>62.7</v>
      </c>
      <c r="AC79" s="4">
        <v>77</v>
      </c>
      <c r="AD79" s="4" t="s">
        <v>426</v>
      </c>
      <c r="AE79" s="4">
        <v>1807</v>
      </c>
      <c r="AF79" s="4">
        <v>39.49</v>
      </c>
      <c r="AG79" s="4">
        <v>12.64</v>
      </c>
      <c r="AH79" s="4">
        <v>3.94</v>
      </c>
      <c r="AI79" s="4">
        <v>7.46</v>
      </c>
      <c r="AJ79" s="4">
        <v>2.78</v>
      </c>
      <c r="AK79" s="4">
        <v>3.4</v>
      </c>
      <c r="AL79" s="4">
        <f t="shared" si="1"/>
        <v>69.710000000000008</v>
      </c>
      <c r="AN79" s="4">
        <v>77</v>
      </c>
      <c r="AO79" s="4" t="s">
        <v>365</v>
      </c>
      <c r="AP79" s="4">
        <v>695</v>
      </c>
      <c r="AQ79" s="4">
        <v>63.25</v>
      </c>
      <c r="AR79" s="4" t="s">
        <v>516</v>
      </c>
    </row>
    <row r="80" spans="1:44" ht="15.75" customHeight="1" x14ac:dyDescent="0.3">
      <c r="A80" s="4" t="s">
        <v>516</v>
      </c>
      <c r="B80" s="13">
        <v>2323</v>
      </c>
      <c r="C80" s="4">
        <v>62.86</v>
      </c>
      <c r="AC80" s="4">
        <v>78</v>
      </c>
      <c r="AD80" s="4" t="s">
        <v>428</v>
      </c>
      <c r="AE80" s="4">
        <v>1799</v>
      </c>
      <c r="AF80" s="4">
        <v>32</v>
      </c>
      <c r="AG80" s="4">
        <v>13.02</v>
      </c>
      <c r="AH80" s="4">
        <v>4.68</v>
      </c>
      <c r="AI80" s="4">
        <v>10.78</v>
      </c>
      <c r="AJ80" s="4">
        <v>3.65</v>
      </c>
      <c r="AK80" s="4">
        <v>4.16</v>
      </c>
      <c r="AL80" s="4">
        <f t="shared" si="1"/>
        <v>68.289999999999992</v>
      </c>
      <c r="AN80" s="4">
        <v>78</v>
      </c>
      <c r="AO80" s="4" t="s">
        <v>444</v>
      </c>
      <c r="AP80" s="4">
        <v>726</v>
      </c>
      <c r="AQ80" s="4">
        <v>63.730000000000004</v>
      </c>
      <c r="AR80" s="4" t="s">
        <v>516</v>
      </c>
    </row>
    <row r="81" spans="1:44" ht="15.75" customHeight="1" x14ac:dyDescent="0.3">
      <c r="A81" s="4" t="s">
        <v>516</v>
      </c>
      <c r="B81" s="117">
        <v>1212</v>
      </c>
      <c r="C81" s="4">
        <v>63.050000000000004</v>
      </c>
      <c r="AC81" s="4">
        <v>79</v>
      </c>
      <c r="AD81" s="4" t="s">
        <v>430</v>
      </c>
      <c r="AE81" s="4">
        <v>2462</v>
      </c>
      <c r="AF81" s="4">
        <v>33.450000000000003</v>
      </c>
      <c r="AG81" s="4">
        <v>11.15</v>
      </c>
      <c r="AH81" s="4">
        <v>6.5</v>
      </c>
      <c r="AI81" s="4">
        <v>11.2</v>
      </c>
      <c r="AJ81" s="4">
        <v>3.5</v>
      </c>
      <c r="AK81" s="4">
        <v>7</v>
      </c>
      <c r="AL81" s="4">
        <f t="shared" si="1"/>
        <v>72.8</v>
      </c>
      <c r="AN81" s="4">
        <v>79</v>
      </c>
      <c r="AO81" s="4" t="s">
        <v>398</v>
      </c>
      <c r="AP81" s="4">
        <v>54</v>
      </c>
      <c r="AQ81" s="4">
        <v>63.870000000000005</v>
      </c>
      <c r="AR81" s="4" t="s">
        <v>516</v>
      </c>
    </row>
    <row r="82" spans="1:44" ht="15.75" customHeight="1" x14ac:dyDescent="0.3">
      <c r="A82" s="4" t="s">
        <v>516</v>
      </c>
      <c r="B82" s="13">
        <v>1337</v>
      </c>
      <c r="C82" s="4">
        <v>63.24</v>
      </c>
      <c r="AC82" s="4">
        <v>80</v>
      </c>
      <c r="AD82" s="4" t="s">
        <v>432</v>
      </c>
      <c r="AE82" s="4">
        <v>1424</v>
      </c>
      <c r="AF82" s="4">
        <v>35.369999999999997</v>
      </c>
      <c r="AG82" s="4">
        <v>12.62</v>
      </c>
      <c r="AH82" s="4">
        <v>4.4000000000000004</v>
      </c>
      <c r="AI82" s="4">
        <v>7.46</v>
      </c>
      <c r="AJ82" s="4">
        <v>3.73</v>
      </c>
      <c r="AK82" s="4">
        <v>5.8</v>
      </c>
      <c r="AL82" s="4">
        <f t="shared" si="1"/>
        <v>69.38</v>
      </c>
      <c r="AN82" s="4">
        <v>80</v>
      </c>
      <c r="AO82" s="4" t="s">
        <v>335</v>
      </c>
      <c r="AP82" s="4">
        <v>1044</v>
      </c>
      <c r="AQ82" s="4">
        <v>63.949999999999996</v>
      </c>
      <c r="AR82" s="4" t="s">
        <v>516</v>
      </c>
    </row>
    <row r="83" spans="1:44" ht="15.75" customHeight="1" x14ac:dyDescent="0.3">
      <c r="A83" s="4" t="s">
        <v>516</v>
      </c>
      <c r="B83" s="13">
        <v>695</v>
      </c>
      <c r="C83" s="4">
        <v>63.25</v>
      </c>
      <c r="AC83" s="4">
        <v>81</v>
      </c>
      <c r="AD83" s="4" t="s">
        <v>433</v>
      </c>
      <c r="AE83" s="4">
        <v>156</v>
      </c>
      <c r="AF83" s="4">
        <v>29.92</v>
      </c>
      <c r="AG83" s="4">
        <v>13.36</v>
      </c>
      <c r="AH83" s="4">
        <v>6</v>
      </c>
      <c r="AI83" s="4">
        <v>6.5</v>
      </c>
      <c r="AJ83" s="4">
        <v>3.1</v>
      </c>
      <c r="AK83" s="4">
        <v>3</v>
      </c>
      <c r="AL83" s="4">
        <f t="shared" si="1"/>
        <v>61.88</v>
      </c>
      <c r="AN83" s="4">
        <v>81</v>
      </c>
      <c r="AO83" s="4" t="s">
        <v>355</v>
      </c>
      <c r="AP83" s="4">
        <v>288</v>
      </c>
      <c r="AQ83" s="4">
        <v>63.960000000000008</v>
      </c>
      <c r="AR83" s="4" t="s">
        <v>516</v>
      </c>
    </row>
    <row r="84" spans="1:44" ht="15.75" customHeight="1" x14ac:dyDescent="0.3">
      <c r="A84" s="4" t="s">
        <v>516</v>
      </c>
      <c r="B84" s="13">
        <v>80</v>
      </c>
      <c r="C84" s="4">
        <v>63.31</v>
      </c>
      <c r="AC84" s="4">
        <v>82</v>
      </c>
      <c r="AD84" s="4" t="s">
        <v>434</v>
      </c>
      <c r="AE84" s="4">
        <v>1212</v>
      </c>
      <c r="AF84" s="4">
        <v>32.25</v>
      </c>
      <c r="AG84" s="4">
        <v>13.4</v>
      </c>
      <c r="AH84" s="4">
        <v>6</v>
      </c>
      <c r="AI84" s="4">
        <v>6.5</v>
      </c>
      <c r="AJ84" s="4">
        <v>2.9</v>
      </c>
      <c r="AK84" s="4">
        <v>3.99</v>
      </c>
      <c r="AL84" s="4">
        <f t="shared" si="1"/>
        <v>65.039999999999992</v>
      </c>
      <c r="AN84" s="4">
        <v>82</v>
      </c>
      <c r="AO84" s="4" t="s">
        <v>375</v>
      </c>
      <c r="AP84" s="4">
        <v>1332</v>
      </c>
      <c r="AQ84" s="4">
        <v>64.110000000000014</v>
      </c>
      <c r="AR84" s="4" t="s">
        <v>516</v>
      </c>
    </row>
    <row r="85" spans="1:44" ht="15.75" customHeight="1" x14ac:dyDescent="0.3">
      <c r="A85" s="4" t="s">
        <v>516</v>
      </c>
      <c r="B85" s="14">
        <v>1144</v>
      </c>
      <c r="C85" s="4">
        <v>63.36999999999999</v>
      </c>
      <c r="AC85" s="4">
        <v>83</v>
      </c>
      <c r="AD85" s="4" t="s">
        <v>436</v>
      </c>
      <c r="AE85" s="4">
        <v>20</v>
      </c>
      <c r="AF85" s="4">
        <v>28.65</v>
      </c>
      <c r="AG85" s="4">
        <v>13.53</v>
      </c>
      <c r="AH85" s="4">
        <v>6</v>
      </c>
      <c r="AI85" s="4">
        <v>6.5</v>
      </c>
      <c r="AJ85" s="4">
        <v>3.1</v>
      </c>
      <c r="AK85" s="4">
        <v>3</v>
      </c>
      <c r="AL85" s="4">
        <f t="shared" si="1"/>
        <v>60.78</v>
      </c>
      <c r="AN85" s="4">
        <v>83</v>
      </c>
      <c r="AO85" s="4" t="s">
        <v>337</v>
      </c>
      <c r="AP85" s="4">
        <v>245</v>
      </c>
      <c r="AQ85" s="4">
        <v>64.27</v>
      </c>
      <c r="AR85" s="4" t="s">
        <v>516</v>
      </c>
    </row>
    <row r="86" spans="1:44" ht="15.75" customHeight="1" x14ac:dyDescent="0.3">
      <c r="A86" s="4" t="s">
        <v>516</v>
      </c>
      <c r="B86" s="116">
        <v>1046</v>
      </c>
      <c r="C86" s="4">
        <v>63.500000000000007</v>
      </c>
      <c r="AC86" s="4">
        <v>84</v>
      </c>
      <c r="AD86" s="4" t="s">
        <v>311</v>
      </c>
      <c r="AE86" s="4">
        <v>527</v>
      </c>
      <c r="AF86" s="4">
        <v>19.29</v>
      </c>
      <c r="AG86" s="4">
        <v>12.71</v>
      </c>
      <c r="AH86" s="4">
        <v>4.5999999999999996</v>
      </c>
      <c r="AI86" s="4">
        <v>10.28</v>
      </c>
      <c r="AJ86" s="4">
        <v>2.98</v>
      </c>
      <c r="AK86" s="4">
        <v>4.2</v>
      </c>
      <c r="AL86" s="4">
        <f t="shared" si="1"/>
        <v>54.06</v>
      </c>
      <c r="AN86" s="4">
        <v>84</v>
      </c>
      <c r="AO86" s="4" t="s">
        <v>341</v>
      </c>
      <c r="AP86" s="4">
        <v>62</v>
      </c>
      <c r="AQ86" s="4">
        <v>64.47</v>
      </c>
      <c r="AR86" s="4" t="s">
        <v>516</v>
      </c>
    </row>
    <row r="87" spans="1:44" ht="15.75" customHeight="1" x14ac:dyDescent="0.3">
      <c r="A87" s="4" t="s">
        <v>516</v>
      </c>
      <c r="B87" s="14">
        <v>726</v>
      </c>
      <c r="C87" s="4">
        <v>63.730000000000004</v>
      </c>
      <c r="AC87" s="4">
        <v>85</v>
      </c>
      <c r="AD87" s="4" t="s">
        <v>390</v>
      </c>
      <c r="AE87" s="4">
        <v>457</v>
      </c>
      <c r="AF87" s="4">
        <v>23.97</v>
      </c>
      <c r="AG87" s="4">
        <v>13.65</v>
      </c>
      <c r="AH87" s="4">
        <v>3.9</v>
      </c>
      <c r="AI87" s="4">
        <v>8.26</v>
      </c>
      <c r="AJ87" s="4">
        <v>3.1</v>
      </c>
      <c r="AK87" s="4">
        <v>6.3</v>
      </c>
      <c r="AL87" s="4">
        <f t="shared" si="1"/>
        <v>59.179999999999993</v>
      </c>
      <c r="AN87" s="4">
        <v>85</v>
      </c>
      <c r="AO87" s="4" t="s">
        <v>344</v>
      </c>
      <c r="AP87" s="4">
        <v>69</v>
      </c>
      <c r="AQ87" s="4">
        <v>64.61</v>
      </c>
      <c r="AR87" s="4" t="s">
        <v>516</v>
      </c>
    </row>
    <row r="88" spans="1:44" ht="15.75" customHeight="1" x14ac:dyDescent="0.3">
      <c r="A88" s="4" t="s">
        <v>516</v>
      </c>
      <c r="B88" s="13">
        <v>54</v>
      </c>
      <c r="C88" s="4">
        <v>63.870000000000005</v>
      </c>
      <c r="AC88" s="4">
        <v>86</v>
      </c>
      <c r="AD88" s="4" t="s">
        <v>439</v>
      </c>
      <c r="AE88" s="4">
        <v>107</v>
      </c>
      <c r="AF88" s="4">
        <v>29.45</v>
      </c>
      <c r="AG88" s="4">
        <v>13.38</v>
      </c>
      <c r="AH88" s="4">
        <v>6</v>
      </c>
      <c r="AI88" s="4">
        <v>6.5</v>
      </c>
      <c r="AJ88" s="4">
        <v>3.1</v>
      </c>
      <c r="AK88" s="4">
        <v>3</v>
      </c>
      <c r="AL88" s="4">
        <f t="shared" si="1"/>
        <v>61.43</v>
      </c>
      <c r="AN88" s="4">
        <v>86</v>
      </c>
      <c r="AO88" s="4" t="s">
        <v>488</v>
      </c>
      <c r="AP88" s="4">
        <v>80</v>
      </c>
      <c r="AQ88" s="4">
        <v>64.789999999999992</v>
      </c>
      <c r="AR88" s="4" t="s">
        <v>516</v>
      </c>
    </row>
    <row r="89" spans="1:44" ht="15.75" customHeight="1" x14ac:dyDescent="0.3">
      <c r="A89" s="4" t="s">
        <v>516</v>
      </c>
      <c r="B89" s="14">
        <v>1044</v>
      </c>
      <c r="C89" s="4">
        <v>63.949999999999996</v>
      </c>
      <c r="AC89" s="4">
        <v>87</v>
      </c>
      <c r="AD89" s="4" t="s">
        <v>440</v>
      </c>
      <c r="AE89" s="4">
        <v>39</v>
      </c>
      <c r="AF89" s="4">
        <v>28.57</v>
      </c>
      <c r="AG89" s="4">
        <v>14.35</v>
      </c>
      <c r="AH89" s="4">
        <v>4.5999999999999996</v>
      </c>
      <c r="AI89" s="4">
        <v>7.7</v>
      </c>
      <c r="AJ89" s="4">
        <v>3.1</v>
      </c>
      <c r="AK89" s="4">
        <v>3</v>
      </c>
      <c r="AL89" s="4">
        <f t="shared" si="1"/>
        <v>61.320000000000007</v>
      </c>
      <c r="AN89" s="4">
        <v>87</v>
      </c>
      <c r="AO89" s="4" t="s">
        <v>402</v>
      </c>
      <c r="AP89" s="4">
        <v>69</v>
      </c>
      <c r="AQ89" s="4">
        <v>64.820000000000007</v>
      </c>
      <c r="AR89" s="4" t="s">
        <v>516</v>
      </c>
    </row>
    <row r="90" spans="1:44" ht="15.75" customHeight="1" x14ac:dyDescent="0.3">
      <c r="A90" s="4" t="s">
        <v>516</v>
      </c>
      <c r="B90" s="14">
        <v>288</v>
      </c>
      <c r="C90" s="4">
        <v>63.960000000000008</v>
      </c>
      <c r="AC90" s="4">
        <v>88</v>
      </c>
      <c r="AD90" s="4" t="s">
        <v>442</v>
      </c>
      <c r="AE90" s="4">
        <v>282</v>
      </c>
      <c r="AF90" s="4">
        <v>28.48</v>
      </c>
      <c r="AG90" s="4">
        <v>13.54</v>
      </c>
      <c r="AH90" s="4">
        <v>3.8</v>
      </c>
      <c r="AI90" s="4">
        <v>9.6999999999999993</v>
      </c>
      <c r="AJ90" s="4">
        <v>2.9</v>
      </c>
      <c r="AK90" s="4">
        <v>3</v>
      </c>
      <c r="AL90" s="4">
        <f t="shared" si="1"/>
        <v>61.419999999999995</v>
      </c>
      <c r="AN90" s="4">
        <v>88</v>
      </c>
      <c r="AO90" s="4" t="s">
        <v>378</v>
      </c>
      <c r="AP90" s="4">
        <v>1146</v>
      </c>
      <c r="AQ90" s="4">
        <v>64.91</v>
      </c>
      <c r="AR90" s="4" t="s">
        <v>516</v>
      </c>
    </row>
    <row r="91" spans="1:44" ht="15.75" customHeight="1" x14ac:dyDescent="0.3">
      <c r="A91" s="4" t="s">
        <v>516</v>
      </c>
      <c r="B91" s="14">
        <v>1292</v>
      </c>
      <c r="C91" s="4">
        <v>64.040000000000006</v>
      </c>
      <c r="AC91" s="4">
        <v>89</v>
      </c>
      <c r="AD91" s="4" t="s">
        <v>444</v>
      </c>
      <c r="AE91" s="4">
        <v>726</v>
      </c>
      <c r="AF91" s="4">
        <v>31.96</v>
      </c>
      <c r="AG91" s="4">
        <v>13.27</v>
      </c>
      <c r="AH91" s="4">
        <v>5.9</v>
      </c>
      <c r="AI91" s="4">
        <v>6.5</v>
      </c>
      <c r="AJ91" s="4">
        <v>3.1</v>
      </c>
      <c r="AK91" s="4">
        <v>3</v>
      </c>
      <c r="AL91" s="4">
        <f t="shared" si="1"/>
        <v>63.730000000000004</v>
      </c>
      <c r="AN91" s="4">
        <v>89</v>
      </c>
      <c r="AO91" s="4" t="s">
        <v>354</v>
      </c>
      <c r="AP91" s="4">
        <v>1843</v>
      </c>
      <c r="AQ91" s="4">
        <v>64.95</v>
      </c>
      <c r="AR91" s="4" t="s">
        <v>516</v>
      </c>
    </row>
    <row r="92" spans="1:44" ht="15.75" customHeight="1" x14ac:dyDescent="0.3">
      <c r="A92" s="4" t="s">
        <v>516</v>
      </c>
      <c r="B92" s="13">
        <v>463</v>
      </c>
      <c r="C92" s="4">
        <v>64.150000000000006</v>
      </c>
      <c r="AC92" s="4">
        <v>90</v>
      </c>
      <c r="AD92" s="4" t="s">
        <v>443</v>
      </c>
      <c r="AE92" s="4">
        <v>63</v>
      </c>
      <c r="AF92" s="4">
        <v>27.57</v>
      </c>
      <c r="AG92" s="4">
        <v>13.46</v>
      </c>
      <c r="AH92" s="4">
        <v>6</v>
      </c>
      <c r="AI92" s="4">
        <v>6.5</v>
      </c>
      <c r="AJ92" s="4">
        <v>3.1</v>
      </c>
      <c r="AK92" s="4">
        <v>3</v>
      </c>
      <c r="AL92" s="4">
        <f t="shared" si="1"/>
        <v>59.63</v>
      </c>
      <c r="AN92" s="4">
        <v>90</v>
      </c>
      <c r="AO92" s="4" t="s">
        <v>434</v>
      </c>
      <c r="AP92" s="4">
        <v>1212</v>
      </c>
      <c r="AQ92" s="4">
        <v>65.039999999999992</v>
      </c>
      <c r="AR92" s="4" t="s">
        <v>516</v>
      </c>
    </row>
    <row r="93" spans="1:44" ht="15.75" customHeight="1" x14ac:dyDescent="0.3">
      <c r="A93" s="4" t="s">
        <v>516</v>
      </c>
      <c r="B93" s="14">
        <v>245</v>
      </c>
      <c r="C93" s="4">
        <v>64.27</v>
      </c>
      <c r="AC93" s="4">
        <v>91</v>
      </c>
      <c r="AD93" s="4" t="s">
        <v>447</v>
      </c>
      <c r="AE93" s="4">
        <v>70</v>
      </c>
      <c r="AF93" s="4">
        <v>28.39</v>
      </c>
      <c r="AG93" s="4">
        <v>15</v>
      </c>
      <c r="AH93" s="4">
        <v>5</v>
      </c>
      <c r="AI93" s="4">
        <v>7.14</v>
      </c>
      <c r="AJ93" s="4">
        <v>3.1</v>
      </c>
      <c r="AK93" s="4">
        <v>3</v>
      </c>
      <c r="AL93" s="4">
        <f t="shared" si="1"/>
        <v>61.63</v>
      </c>
      <c r="AN93" s="4">
        <v>91</v>
      </c>
      <c r="AO93" s="4" t="s">
        <v>350</v>
      </c>
      <c r="AP93" s="4">
        <v>165</v>
      </c>
      <c r="AQ93" s="4">
        <v>65.039999999999992</v>
      </c>
      <c r="AR93" s="4" t="s">
        <v>516</v>
      </c>
    </row>
    <row r="94" spans="1:44" ht="15.75" customHeight="1" x14ac:dyDescent="0.3">
      <c r="A94" s="4" t="s">
        <v>516</v>
      </c>
      <c r="B94" s="14">
        <v>62</v>
      </c>
      <c r="C94" s="4">
        <v>64.47</v>
      </c>
      <c r="AC94" s="4">
        <v>92</v>
      </c>
      <c r="AD94" s="4" t="s">
        <v>359</v>
      </c>
      <c r="AE94" s="4">
        <v>53</v>
      </c>
      <c r="AF94" s="4">
        <v>22.16</v>
      </c>
      <c r="AG94" s="4">
        <v>14.81</v>
      </c>
      <c r="AH94" s="4">
        <v>6.2</v>
      </c>
      <c r="AI94" s="4">
        <v>9.8800000000000008</v>
      </c>
      <c r="AJ94" s="4">
        <v>2.7</v>
      </c>
      <c r="AK94" s="4">
        <v>4.16</v>
      </c>
      <c r="AL94" s="4">
        <f t="shared" si="1"/>
        <v>59.910000000000011</v>
      </c>
      <c r="AN94" s="4">
        <v>92</v>
      </c>
      <c r="AO94" s="4" t="s">
        <v>285</v>
      </c>
      <c r="AP94" s="4">
        <v>1096</v>
      </c>
      <c r="AQ94" s="4">
        <v>65.28</v>
      </c>
      <c r="AR94" s="4" t="s">
        <v>516</v>
      </c>
    </row>
    <row r="95" spans="1:44" ht="15.75" customHeight="1" x14ac:dyDescent="0.3">
      <c r="A95" s="4" t="s">
        <v>516</v>
      </c>
      <c r="B95" s="14">
        <v>69</v>
      </c>
      <c r="C95" s="4">
        <v>64.61</v>
      </c>
      <c r="AC95" s="4">
        <v>93</v>
      </c>
      <c r="AD95" s="4" t="s">
        <v>441</v>
      </c>
      <c r="AE95" s="4">
        <v>193</v>
      </c>
      <c r="AF95" s="4">
        <v>27.55</v>
      </c>
      <c r="AG95" s="4">
        <v>11.04</v>
      </c>
      <c r="AH95" s="4">
        <v>6.95</v>
      </c>
      <c r="AI95" s="4">
        <v>7.86</v>
      </c>
      <c r="AJ95" s="4">
        <v>3.45</v>
      </c>
      <c r="AK95" s="4">
        <v>0</v>
      </c>
      <c r="AL95" s="4">
        <f t="shared" si="1"/>
        <v>56.850000000000009</v>
      </c>
      <c r="AN95" s="4">
        <v>93</v>
      </c>
      <c r="AO95" s="4" t="s">
        <v>305</v>
      </c>
      <c r="AP95" s="4">
        <v>1920</v>
      </c>
      <c r="AQ95" s="4">
        <v>65.430000000000007</v>
      </c>
      <c r="AR95" s="4" t="s">
        <v>516</v>
      </c>
    </row>
    <row r="96" spans="1:44" ht="15.75" customHeight="1" x14ac:dyDescent="0.3">
      <c r="A96" s="4" t="s">
        <v>516</v>
      </c>
      <c r="B96" s="14">
        <v>45</v>
      </c>
      <c r="C96" s="4">
        <v>64.81</v>
      </c>
      <c r="AC96" s="4">
        <v>94</v>
      </c>
      <c r="AD96" s="4" t="s">
        <v>448</v>
      </c>
      <c r="AE96" s="4">
        <v>455</v>
      </c>
      <c r="AF96" s="4">
        <v>27.88</v>
      </c>
      <c r="AG96" s="4">
        <v>11.42</v>
      </c>
      <c r="AH96" s="4">
        <v>4.24</v>
      </c>
      <c r="AI96" s="4">
        <v>6.1</v>
      </c>
      <c r="AJ96" s="4">
        <v>3.5</v>
      </c>
      <c r="AK96" s="4">
        <v>0</v>
      </c>
      <c r="AL96" s="4">
        <f t="shared" si="1"/>
        <v>53.14</v>
      </c>
      <c r="AN96" s="4">
        <v>94</v>
      </c>
      <c r="AO96" s="4" t="s">
        <v>487</v>
      </c>
      <c r="AP96" s="4">
        <v>2340</v>
      </c>
      <c r="AQ96" s="4">
        <v>65.459999999999994</v>
      </c>
      <c r="AR96" s="4" t="s">
        <v>516</v>
      </c>
    </row>
    <row r="97" spans="1:44" ht="15.75" customHeight="1" x14ac:dyDescent="0.3">
      <c r="A97" s="4" t="s">
        <v>516</v>
      </c>
      <c r="B97" s="14">
        <v>69</v>
      </c>
      <c r="C97" s="4">
        <v>64.820000000000007</v>
      </c>
      <c r="AC97" s="4">
        <v>95</v>
      </c>
      <c r="AD97" s="4" t="s">
        <v>431</v>
      </c>
      <c r="AE97" s="4">
        <v>16</v>
      </c>
      <c r="AF97" s="4">
        <v>27.18</v>
      </c>
      <c r="AG97" s="4">
        <v>13.4</v>
      </c>
      <c r="AH97" s="4">
        <v>6</v>
      </c>
      <c r="AI97" s="4">
        <v>6.9</v>
      </c>
      <c r="AJ97" s="4">
        <v>3.1</v>
      </c>
      <c r="AK97" s="4">
        <v>3</v>
      </c>
      <c r="AL97" s="4">
        <f t="shared" si="1"/>
        <v>59.58</v>
      </c>
      <c r="AN97" s="4">
        <v>95</v>
      </c>
      <c r="AO97" s="4" t="s">
        <v>334</v>
      </c>
      <c r="AP97" s="4">
        <v>1074</v>
      </c>
      <c r="AQ97" s="4">
        <v>65.790000000000006</v>
      </c>
      <c r="AR97" s="4" t="s">
        <v>516</v>
      </c>
    </row>
    <row r="98" spans="1:44" ht="15.75" customHeight="1" x14ac:dyDescent="0.3">
      <c r="A98" s="4" t="s">
        <v>516</v>
      </c>
      <c r="B98" s="14">
        <v>1146</v>
      </c>
      <c r="C98" s="4">
        <v>64.91</v>
      </c>
      <c r="AC98" s="4">
        <v>96</v>
      </c>
      <c r="AD98" s="4" t="s">
        <v>363</v>
      </c>
      <c r="AE98" s="4">
        <v>32</v>
      </c>
      <c r="AF98" s="4">
        <v>22.54</v>
      </c>
      <c r="AG98" s="4">
        <v>13.5</v>
      </c>
      <c r="AH98" s="4">
        <v>6</v>
      </c>
      <c r="AI98" s="4">
        <v>6.5</v>
      </c>
      <c r="AJ98" s="4">
        <v>3.1</v>
      </c>
      <c r="AK98" s="4">
        <v>3</v>
      </c>
      <c r="AL98" s="4">
        <f t="shared" si="1"/>
        <v>54.64</v>
      </c>
      <c r="AN98" s="4">
        <v>96</v>
      </c>
      <c r="AO98" s="4" t="s">
        <v>464</v>
      </c>
      <c r="AP98" s="4">
        <v>369</v>
      </c>
      <c r="AQ98" s="4">
        <v>65.81</v>
      </c>
      <c r="AR98" s="4" t="s">
        <v>516</v>
      </c>
    </row>
    <row r="99" spans="1:44" ht="15.75" customHeight="1" x14ac:dyDescent="0.3">
      <c r="A99" s="4" t="s">
        <v>516</v>
      </c>
      <c r="B99" s="116">
        <v>2462</v>
      </c>
      <c r="C99" s="4">
        <v>65.02</v>
      </c>
      <c r="AC99" s="4">
        <v>97</v>
      </c>
      <c r="AD99" s="4" t="s">
        <v>437</v>
      </c>
      <c r="AE99" s="4">
        <v>46</v>
      </c>
      <c r="AF99" s="4">
        <v>27.43</v>
      </c>
      <c r="AG99" s="4">
        <v>15</v>
      </c>
      <c r="AH99" s="4">
        <v>5.9</v>
      </c>
      <c r="AI99" s="4">
        <v>7.3</v>
      </c>
      <c r="AJ99" s="4">
        <v>3.1</v>
      </c>
      <c r="AK99" s="4">
        <v>3</v>
      </c>
      <c r="AL99" s="4">
        <f t="shared" si="1"/>
        <v>61.73</v>
      </c>
      <c r="AN99" s="4">
        <v>97</v>
      </c>
      <c r="AO99" s="4" t="s">
        <v>472</v>
      </c>
      <c r="AP99" s="4">
        <v>1155</v>
      </c>
      <c r="AQ99" s="4">
        <v>65.81</v>
      </c>
      <c r="AR99" s="4" t="s">
        <v>516</v>
      </c>
    </row>
    <row r="100" spans="1:44" ht="15.75" customHeight="1" x14ac:dyDescent="0.3">
      <c r="A100" s="4" t="s">
        <v>516</v>
      </c>
      <c r="B100" s="14">
        <v>165</v>
      </c>
      <c r="C100" s="4">
        <v>65.039999999999992</v>
      </c>
      <c r="AC100" s="4">
        <v>98</v>
      </c>
      <c r="AD100" s="4" t="s">
        <v>357</v>
      </c>
      <c r="AE100" s="4">
        <v>59</v>
      </c>
      <c r="AF100" s="4">
        <v>21.83</v>
      </c>
      <c r="AG100" s="4">
        <v>13.21</v>
      </c>
      <c r="AH100" s="4">
        <v>6</v>
      </c>
      <c r="AI100" s="4">
        <v>6.5</v>
      </c>
      <c r="AJ100" s="4">
        <v>3.1</v>
      </c>
      <c r="AK100" s="4">
        <v>3</v>
      </c>
      <c r="AL100" s="4">
        <f t="shared" si="1"/>
        <v>53.64</v>
      </c>
      <c r="AN100" s="4">
        <v>98</v>
      </c>
      <c r="AO100" s="4" t="s">
        <v>287</v>
      </c>
      <c r="AP100" s="4">
        <v>1727</v>
      </c>
      <c r="AQ100" s="4">
        <v>65.88</v>
      </c>
      <c r="AR100" s="4" t="s">
        <v>516</v>
      </c>
    </row>
    <row r="101" spans="1:44" ht="15.75" customHeight="1" x14ac:dyDescent="0.3">
      <c r="A101" s="4" t="s">
        <v>516</v>
      </c>
      <c r="B101" s="13">
        <v>1096</v>
      </c>
      <c r="C101" s="4">
        <v>65.28</v>
      </c>
      <c r="AC101" s="4">
        <v>99</v>
      </c>
      <c r="AD101" s="4" t="s">
        <v>339</v>
      </c>
      <c r="AE101" s="4">
        <v>119</v>
      </c>
      <c r="AF101" s="4">
        <v>28.83</v>
      </c>
      <c r="AG101" s="4">
        <v>14.56</v>
      </c>
      <c r="AH101" s="4">
        <v>5.9</v>
      </c>
      <c r="AI101" s="4">
        <v>6.5</v>
      </c>
      <c r="AJ101" s="4">
        <v>2.9</v>
      </c>
      <c r="AK101" s="4">
        <v>3</v>
      </c>
      <c r="AL101" s="4">
        <f t="shared" si="1"/>
        <v>61.69</v>
      </c>
      <c r="AN101" s="4">
        <v>99</v>
      </c>
      <c r="AO101" s="4" t="s">
        <v>462</v>
      </c>
      <c r="AP101" s="4">
        <v>696</v>
      </c>
      <c r="AQ101" s="4">
        <v>66.05</v>
      </c>
      <c r="AR101" s="4" t="s">
        <v>516</v>
      </c>
    </row>
    <row r="102" spans="1:44" ht="15.75" customHeight="1" x14ac:dyDescent="0.3">
      <c r="A102" s="4" t="s">
        <v>516</v>
      </c>
      <c r="B102" s="13">
        <v>1920</v>
      </c>
      <c r="C102" s="4">
        <v>65.430000000000007</v>
      </c>
      <c r="AC102" s="4">
        <v>100</v>
      </c>
      <c r="AD102" s="4" t="s">
        <v>415</v>
      </c>
      <c r="AE102" s="4">
        <v>1926</v>
      </c>
      <c r="AF102" s="4">
        <v>25.99</v>
      </c>
      <c r="AG102" s="4">
        <v>11.26</v>
      </c>
      <c r="AH102" s="4">
        <v>4.2</v>
      </c>
      <c r="AI102" s="4">
        <v>7.62</v>
      </c>
      <c r="AJ102" s="4">
        <v>3.5</v>
      </c>
      <c r="AK102" s="4">
        <v>4.76</v>
      </c>
      <c r="AL102" s="4">
        <f t="shared" si="1"/>
        <v>57.33</v>
      </c>
      <c r="AN102" s="4">
        <v>100</v>
      </c>
      <c r="AO102" s="4" t="s">
        <v>401</v>
      </c>
      <c r="AP102" s="4">
        <v>62</v>
      </c>
      <c r="AQ102" s="4">
        <v>66.22</v>
      </c>
      <c r="AR102" s="4" t="s">
        <v>516</v>
      </c>
    </row>
    <row r="103" spans="1:44" ht="15.75" customHeight="1" x14ac:dyDescent="0.3">
      <c r="A103" s="4" t="s">
        <v>516</v>
      </c>
      <c r="B103" s="13">
        <v>789</v>
      </c>
      <c r="C103" s="4">
        <v>65.44</v>
      </c>
      <c r="AC103" s="4">
        <v>101</v>
      </c>
      <c r="AD103" s="4" t="s">
        <v>350</v>
      </c>
      <c r="AE103" s="4">
        <v>165</v>
      </c>
      <c r="AF103" s="4">
        <v>21.53</v>
      </c>
      <c r="AG103" s="4">
        <v>13.86</v>
      </c>
      <c r="AH103" s="4">
        <v>7.15</v>
      </c>
      <c r="AI103" s="4">
        <v>11.1</v>
      </c>
      <c r="AJ103" s="4">
        <v>3.65</v>
      </c>
      <c r="AK103" s="4">
        <v>7.75</v>
      </c>
      <c r="AL103" s="4">
        <f t="shared" si="1"/>
        <v>65.039999999999992</v>
      </c>
      <c r="AN103" s="4">
        <v>101</v>
      </c>
      <c r="AO103" s="4" t="s">
        <v>389</v>
      </c>
      <c r="AP103" s="4">
        <v>1045</v>
      </c>
      <c r="AQ103" s="4">
        <v>66.320000000000007</v>
      </c>
      <c r="AR103" s="4" t="s">
        <v>516</v>
      </c>
    </row>
    <row r="104" spans="1:44" ht="15.75" customHeight="1" x14ac:dyDescent="0.3">
      <c r="A104" s="4" t="s">
        <v>516</v>
      </c>
      <c r="B104" s="116">
        <v>2581</v>
      </c>
      <c r="C104" s="4">
        <v>66.02000000000001</v>
      </c>
      <c r="AC104" s="4">
        <v>102</v>
      </c>
      <c r="AD104" s="4" t="s">
        <v>452</v>
      </c>
      <c r="AE104" s="4">
        <v>551</v>
      </c>
      <c r="AF104" s="4">
        <v>33.729999999999997</v>
      </c>
      <c r="AG104" s="4">
        <v>12.53</v>
      </c>
      <c r="AH104" s="4">
        <v>5.09</v>
      </c>
      <c r="AI104" s="4">
        <v>8.9</v>
      </c>
      <c r="AJ104" s="4">
        <v>3.58</v>
      </c>
      <c r="AK104" s="4">
        <v>5.96</v>
      </c>
      <c r="AL104" s="4">
        <f t="shared" si="1"/>
        <v>69.789999999999992</v>
      </c>
      <c r="AN104" s="4">
        <v>102</v>
      </c>
      <c r="AO104" s="4" t="s">
        <v>466</v>
      </c>
      <c r="AP104" s="4">
        <v>293</v>
      </c>
      <c r="AQ104" s="4">
        <v>66.550000000000011</v>
      </c>
      <c r="AR104" s="4" t="s">
        <v>516</v>
      </c>
    </row>
    <row r="105" spans="1:44" ht="15.75" customHeight="1" x14ac:dyDescent="0.3">
      <c r="A105" s="4" t="s">
        <v>516</v>
      </c>
      <c r="B105" s="14">
        <v>369</v>
      </c>
      <c r="C105" s="4">
        <v>66.209999999999994</v>
      </c>
      <c r="AC105" s="4">
        <v>103</v>
      </c>
      <c r="AD105" s="4" t="s">
        <v>455</v>
      </c>
      <c r="AE105" s="4">
        <v>2946</v>
      </c>
      <c r="AF105" s="4">
        <v>38.83</v>
      </c>
      <c r="AG105" s="4">
        <v>13.4</v>
      </c>
      <c r="AH105" s="4">
        <v>4.34</v>
      </c>
      <c r="AI105" s="4">
        <v>6.02</v>
      </c>
      <c r="AJ105" s="4">
        <v>2.9</v>
      </c>
      <c r="AK105" s="4">
        <v>4.76</v>
      </c>
      <c r="AL105" s="4">
        <f t="shared" si="1"/>
        <v>70.25</v>
      </c>
      <c r="AN105" s="4">
        <v>103</v>
      </c>
      <c r="AO105" s="4" t="s">
        <v>372</v>
      </c>
      <c r="AP105" s="4">
        <v>1733</v>
      </c>
      <c r="AQ105" s="4">
        <v>66.599999999999994</v>
      </c>
      <c r="AR105" s="4" t="s">
        <v>516</v>
      </c>
    </row>
    <row r="106" spans="1:44" ht="15.75" customHeight="1" x14ac:dyDescent="0.3">
      <c r="A106" s="4" t="s">
        <v>516</v>
      </c>
      <c r="B106" s="14">
        <v>62</v>
      </c>
      <c r="C106" s="4">
        <v>66.22</v>
      </c>
      <c r="AC106" s="4">
        <v>104</v>
      </c>
      <c r="AD106" s="4" t="s">
        <v>402</v>
      </c>
      <c r="AE106" s="4">
        <v>69</v>
      </c>
      <c r="AF106" s="4">
        <v>24.75</v>
      </c>
      <c r="AG106" s="4">
        <v>14.28</v>
      </c>
      <c r="AH106" s="4">
        <v>7</v>
      </c>
      <c r="AI106" s="4">
        <v>10.5</v>
      </c>
      <c r="AJ106" s="4">
        <v>4.03</v>
      </c>
      <c r="AK106" s="4">
        <v>4.26</v>
      </c>
      <c r="AL106" s="4">
        <f t="shared" si="1"/>
        <v>64.820000000000007</v>
      </c>
      <c r="AN106" s="4">
        <v>104</v>
      </c>
      <c r="AO106" s="4" t="s">
        <v>453</v>
      </c>
      <c r="AP106" s="4">
        <v>745</v>
      </c>
      <c r="AQ106" s="4">
        <v>66.759999999999991</v>
      </c>
      <c r="AR106" s="4" t="s">
        <v>516</v>
      </c>
    </row>
    <row r="107" spans="1:44" ht="15.75" customHeight="1" x14ac:dyDescent="0.3">
      <c r="A107" s="4" t="s">
        <v>516</v>
      </c>
      <c r="B107" s="13">
        <v>1045</v>
      </c>
      <c r="C107" s="4">
        <v>66.320000000000007</v>
      </c>
      <c r="AC107" s="4">
        <v>105</v>
      </c>
      <c r="AD107" s="4" t="s">
        <v>456</v>
      </c>
      <c r="AE107" s="4">
        <v>54</v>
      </c>
      <c r="AF107" s="4">
        <v>29.82</v>
      </c>
      <c r="AG107" s="4">
        <v>13.51</v>
      </c>
      <c r="AH107" s="4">
        <v>6</v>
      </c>
      <c r="AI107" s="4">
        <v>10.5</v>
      </c>
      <c r="AJ107" s="4">
        <v>3.5</v>
      </c>
      <c r="AK107" s="4">
        <v>7</v>
      </c>
      <c r="AL107" s="4">
        <f t="shared" si="1"/>
        <v>70.33</v>
      </c>
      <c r="AN107" s="4">
        <v>105</v>
      </c>
      <c r="AO107" s="4" t="s">
        <v>367</v>
      </c>
      <c r="AP107" s="4">
        <v>1921</v>
      </c>
      <c r="AQ107" s="4">
        <v>66.77000000000001</v>
      </c>
      <c r="AR107" s="4" t="s">
        <v>516</v>
      </c>
    </row>
    <row r="108" spans="1:44" ht="15.75" customHeight="1" x14ac:dyDescent="0.3">
      <c r="A108" s="4" t="s">
        <v>516</v>
      </c>
      <c r="B108" s="14">
        <v>1733</v>
      </c>
      <c r="C108" s="4">
        <v>66.419999999999987</v>
      </c>
      <c r="AC108" s="4">
        <v>106</v>
      </c>
      <c r="AD108" s="4" t="s">
        <v>457</v>
      </c>
      <c r="AE108" s="4">
        <v>23</v>
      </c>
      <c r="AF108" s="4">
        <v>29.66</v>
      </c>
      <c r="AG108" s="4">
        <v>13.53</v>
      </c>
      <c r="AH108" s="4">
        <v>7</v>
      </c>
      <c r="AI108" s="4">
        <v>10.5</v>
      </c>
      <c r="AJ108" s="4">
        <v>3.5</v>
      </c>
      <c r="AK108" s="4">
        <v>7</v>
      </c>
      <c r="AL108" s="4">
        <f t="shared" si="1"/>
        <v>71.19</v>
      </c>
      <c r="AN108" s="4">
        <v>106</v>
      </c>
      <c r="AO108" s="4" t="s">
        <v>481</v>
      </c>
      <c r="AP108" s="4">
        <v>684</v>
      </c>
      <c r="AQ108" s="4">
        <v>66.789999999999992</v>
      </c>
      <c r="AR108" s="4" t="s">
        <v>516</v>
      </c>
    </row>
    <row r="109" spans="1:44" ht="15.75" customHeight="1" x14ac:dyDescent="0.3">
      <c r="A109" s="4" t="s">
        <v>516</v>
      </c>
      <c r="B109" s="117">
        <v>2721</v>
      </c>
      <c r="C109" s="4">
        <v>66.58</v>
      </c>
      <c r="AC109" s="4">
        <v>107</v>
      </c>
      <c r="AD109" s="4" t="s">
        <v>458</v>
      </c>
      <c r="AE109" s="4">
        <v>42</v>
      </c>
      <c r="AF109" s="4">
        <v>28.87</v>
      </c>
      <c r="AG109" s="4">
        <v>13.15</v>
      </c>
      <c r="AH109" s="4">
        <v>7</v>
      </c>
      <c r="AI109" s="4">
        <v>10.5</v>
      </c>
      <c r="AJ109" s="4">
        <v>3.5</v>
      </c>
      <c r="AK109" s="4">
        <v>7</v>
      </c>
      <c r="AL109" s="4">
        <f t="shared" si="1"/>
        <v>70.02000000000001</v>
      </c>
      <c r="AN109" s="4">
        <v>107</v>
      </c>
      <c r="AO109" s="4" t="s">
        <v>277</v>
      </c>
      <c r="AP109" s="4">
        <v>1403</v>
      </c>
      <c r="AQ109" s="4">
        <v>66.84</v>
      </c>
      <c r="AR109" s="4" t="s">
        <v>516</v>
      </c>
    </row>
    <row r="110" spans="1:44" ht="15.75" customHeight="1" x14ac:dyDescent="0.3">
      <c r="A110" s="4" t="s">
        <v>516</v>
      </c>
      <c r="B110" s="13">
        <v>745</v>
      </c>
      <c r="C110" s="4">
        <v>66.759999999999991</v>
      </c>
      <c r="AC110" s="4">
        <v>108</v>
      </c>
      <c r="AD110" s="4" t="s">
        <v>292</v>
      </c>
      <c r="AE110" s="4">
        <v>51</v>
      </c>
      <c r="AF110" s="4">
        <v>13.8</v>
      </c>
      <c r="AG110" s="4">
        <v>13.22</v>
      </c>
      <c r="AH110" s="4">
        <v>7</v>
      </c>
      <c r="AI110" s="4">
        <v>10.5</v>
      </c>
      <c r="AJ110" s="4">
        <v>3.5</v>
      </c>
      <c r="AK110" s="4">
        <v>7</v>
      </c>
      <c r="AL110" s="4">
        <f t="shared" si="1"/>
        <v>55.02</v>
      </c>
      <c r="AN110" s="4">
        <v>108</v>
      </c>
      <c r="AO110" s="4" t="s">
        <v>480</v>
      </c>
      <c r="AP110" s="4">
        <v>194</v>
      </c>
      <c r="AQ110" s="4">
        <v>66.86</v>
      </c>
      <c r="AR110" s="4" t="s">
        <v>516</v>
      </c>
    </row>
    <row r="111" spans="1:44" ht="15.75" customHeight="1" x14ac:dyDescent="0.3">
      <c r="A111" s="4" t="s">
        <v>516</v>
      </c>
      <c r="B111" s="13">
        <v>1921</v>
      </c>
      <c r="C111" s="4">
        <v>66.77000000000001</v>
      </c>
      <c r="AC111" s="4">
        <v>109</v>
      </c>
      <c r="AD111" s="4" t="s">
        <v>438</v>
      </c>
      <c r="AE111" s="4">
        <v>82</v>
      </c>
      <c r="AF111" s="4">
        <v>27.48</v>
      </c>
      <c r="AG111" s="4">
        <v>13.52</v>
      </c>
      <c r="AH111" s="4">
        <v>7</v>
      </c>
      <c r="AI111" s="4">
        <v>10.5</v>
      </c>
      <c r="AJ111" s="4">
        <v>3.5</v>
      </c>
      <c r="AK111" s="4">
        <v>7</v>
      </c>
      <c r="AL111" s="4">
        <f t="shared" si="1"/>
        <v>69</v>
      </c>
      <c r="AN111" s="4">
        <v>109</v>
      </c>
      <c r="AO111" s="4" t="s">
        <v>303</v>
      </c>
      <c r="AP111" s="4">
        <v>1088</v>
      </c>
      <c r="AQ111" s="4">
        <v>67.100000000000009</v>
      </c>
      <c r="AR111" s="4" t="s">
        <v>516</v>
      </c>
    </row>
    <row r="112" spans="1:44" ht="15.75" customHeight="1" x14ac:dyDescent="0.3">
      <c r="A112" s="4" t="s">
        <v>516</v>
      </c>
      <c r="B112" s="116">
        <v>1523</v>
      </c>
      <c r="C112" s="4">
        <v>66.819999999999993</v>
      </c>
      <c r="AC112" s="4">
        <v>110</v>
      </c>
      <c r="AD112" s="4" t="s">
        <v>401</v>
      </c>
      <c r="AE112" s="4">
        <v>62</v>
      </c>
      <c r="AF112" s="4">
        <v>24.65</v>
      </c>
      <c r="AG112" s="4">
        <v>13.57</v>
      </c>
      <c r="AH112" s="4">
        <v>7</v>
      </c>
      <c r="AI112" s="4">
        <v>10.5</v>
      </c>
      <c r="AJ112" s="4">
        <v>3.5</v>
      </c>
      <c r="AK112" s="4">
        <v>7</v>
      </c>
      <c r="AL112" s="4">
        <f t="shared" si="1"/>
        <v>66.22</v>
      </c>
      <c r="AN112" s="4">
        <v>110</v>
      </c>
      <c r="AO112" s="4" t="s">
        <v>470</v>
      </c>
      <c r="AP112" s="4">
        <v>638</v>
      </c>
      <c r="AQ112" s="4">
        <v>67.100000000000009</v>
      </c>
      <c r="AR112" s="4" t="s">
        <v>516</v>
      </c>
    </row>
    <row r="113" spans="1:44" ht="15.75" customHeight="1" x14ac:dyDescent="0.3">
      <c r="A113" s="4" t="s">
        <v>516</v>
      </c>
      <c r="B113" s="13">
        <v>1403</v>
      </c>
      <c r="C113" s="4">
        <v>66.84</v>
      </c>
      <c r="AC113" s="4">
        <v>111</v>
      </c>
      <c r="AD113" s="4" t="s">
        <v>423</v>
      </c>
      <c r="AE113" s="4">
        <v>56</v>
      </c>
      <c r="AF113" s="4">
        <v>26.65</v>
      </c>
      <c r="AG113" s="4">
        <v>13.17</v>
      </c>
      <c r="AH113" s="4">
        <v>7</v>
      </c>
      <c r="AI113" s="4">
        <v>10.5</v>
      </c>
      <c r="AJ113" s="4">
        <v>3.5</v>
      </c>
      <c r="AK113" s="4">
        <v>7</v>
      </c>
      <c r="AL113" s="4">
        <f t="shared" si="1"/>
        <v>67.819999999999993</v>
      </c>
      <c r="AN113" s="4">
        <v>111</v>
      </c>
      <c r="AO113" s="4" t="s">
        <v>382</v>
      </c>
      <c r="AP113" s="4">
        <v>69</v>
      </c>
      <c r="AQ113" s="4">
        <v>67.22</v>
      </c>
      <c r="AR113" s="4" t="s">
        <v>516</v>
      </c>
    </row>
    <row r="114" spans="1:44" ht="15.75" customHeight="1" x14ac:dyDescent="0.3">
      <c r="A114" s="4" t="s">
        <v>516</v>
      </c>
      <c r="B114" s="116">
        <v>1000</v>
      </c>
      <c r="C114" s="4">
        <v>66.889999999999986</v>
      </c>
      <c r="AC114" s="4">
        <v>112</v>
      </c>
      <c r="AD114" s="4" t="s">
        <v>309</v>
      </c>
      <c r="AE114" s="4">
        <v>38</v>
      </c>
      <c r="AF114" s="4">
        <v>17.25</v>
      </c>
      <c r="AG114" s="4">
        <v>13.58</v>
      </c>
      <c r="AH114" s="4">
        <v>7</v>
      </c>
      <c r="AI114" s="4">
        <v>10.5</v>
      </c>
      <c r="AJ114" s="4">
        <v>3.5</v>
      </c>
      <c r="AK114" s="4">
        <v>7</v>
      </c>
      <c r="AL114" s="4">
        <f t="shared" si="1"/>
        <v>58.83</v>
      </c>
      <c r="AN114" s="4">
        <v>112</v>
      </c>
      <c r="AO114" s="4" t="s">
        <v>477</v>
      </c>
      <c r="AP114" s="4">
        <v>1911</v>
      </c>
      <c r="AQ114" s="4">
        <v>67.28</v>
      </c>
      <c r="AR114" s="4" t="s">
        <v>516</v>
      </c>
    </row>
    <row r="115" spans="1:44" ht="15.75" customHeight="1" x14ac:dyDescent="0.3">
      <c r="A115" s="4" t="s">
        <v>516</v>
      </c>
      <c r="B115" s="117">
        <v>661</v>
      </c>
      <c r="C115" s="4">
        <v>66.949999999999989</v>
      </c>
      <c r="AC115" s="4">
        <v>113</v>
      </c>
      <c r="AD115" s="4" t="s">
        <v>274</v>
      </c>
      <c r="AE115" s="4">
        <v>45</v>
      </c>
      <c r="AF115" s="4">
        <v>5.3</v>
      </c>
      <c r="AG115" s="4">
        <v>11.51</v>
      </c>
      <c r="AH115" s="4">
        <v>7</v>
      </c>
      <c r="AI115" s="4">
        <v>10.5</v>
      </c>
      <c r="AJ115" s="4">
        <v>3.5</v>
      </c>
      <c r="AK115" s="4">
        <v>7</v>
      </c>
      <c r="AL115" s="4">
        <f t="shared" si="1"/>
        <v>44.81</v>
      </c>
      <c r="AN115" s="4">
        <v>113</v>
      </c>
      <c r="AO115" s="4" t="s">
        <v>385</v>
      </c>
      <c r="AP115" s="4">
        <v>2433</v>
      </c>
      <c r="AQ115" s="4">
        <v>67.47999999999999</v>
      </c>
      <c r="AR115" s="4" t="s">
        <v>516</v>
      </c>
    </row>
    <row r="116" spans="1:44" ht="15.75" customHeight="1" x14ac:dyDescent="0.3">
      <c r="A116" s="4" t="s">
        <v>516</v>
      </c>
      <c r="B116" s="14">
        <v>69</v>
      </c>
      <c r="C116" s="4">
        <v>67.22</v>
      </c>
      <c r="AC116" s="4">
        <v>114</v>
      </c>
      <c r="AD116" s="4" t="s">
        <v>369</v>
      </c>
      <c r="AE116" s="4">
        <v>461</v>
      </c>
      <c r="AF116" s="4">
        <v>22.88</v>
      </c>
      <c r="AG116" s="4">
        <v>9.07</v>
      </c>
      <c r="AH116" s="4">
        <v>7.46</v>
      </c>
      <c r="AI116" s="4">
        <v>11.28</v>
      </c>
      <c r="AJ116" s="4">
        <v>3.48</v>
      </c>
      <c r="AK116" s="4">
        <v>7</v>
      </c>
      <c r="AL116" s="4">
        <f t="shared" si="1"/>
        <v>61.169999999999995</v>
      </c>
      <c r="AN116" s="4">
        <v>114</v>
      </c>
      <c r="AO116" s="4" t="s">
        <v>393</v>
      </c>
      <c r="AP116" s="4">
        <v>98</v>
      </c>
      <c r="AQ116" s="4">
        <v>67.490000000000009</v>
      </c>
      <c r="AR116" s="4" t="s">
        <v>516</v>
      </c>
    </row>
    <row r="117" spans="1:44" ht="15.75" customHeight="1" x14ac:dyDescent="0.3">
      <c r="A117" s="4" t="s">
        <v>516</v>
      </c>
      <c r="B117" s="116">
        <v>1523</v>
      </c>
      <c r="C117" s="4">
        <v>67.22999999999999</v>
      </c>
      <c r="AC117" s="4">
        <v>115</v>
      </c>
      <c r="AD117" s="4" t="s">
        <v>464</v>
      </c>
      <c r="AE117" s="4">
        <v>369</v>
      </c>
      <c r="AF117" s="4">
        <v>30.28</v>
      </c>
      <c r="AG117" s="4">
        <v>12.7</v>
      </c>
      <c r="AH117" s="4">
        <v>5.54</v>
      </c>
      <c r="AI117" s="4">
        <v>10.15</v>
      </c>
      <c r="AJ117" s="4">
        <v>3.18</v>
      </c>
      <c r="AK117" s="4">
        <v>3.96</v>
      </c>
      <c r="AL117" s="4">
        <f t="shared" si="1"/>
        <v>65.81</v>
      </c>
      <c r="AN117" s="4">
        <v>115</v>
      </c>
      <c r="AO117" s="4" t="s">
        <v>422</v>
      </c>
      <c r="AP117" s="4">
        <v>230</v>
      </c>
      <c r="AQ117" s="4">
        <v>67.739999999999995</v>
      </c>
      <c r="AR117" s="4" t="s">
        <v>516</v>
      </c>
    </row>
    <row r="118" spans="1:44" ht="15.75" customHeight="1" x14ac:dyDescent="0.3">
      <c r="A118" s="4" t="s">
        <v>516</v>
      </c>
      <c r="B118" s="14">
        <v>98</v>
      </c>
      <c r="C118" s="4">
        <v>67.490000000000009</v>
      </c>
      <c r="AC118" s="4">
        <v>116</v>
      </c>
      <c r="AD118" s="4" t="s">
        <v>304</v>
      </c>
      <c r="AE118" s="4">
        <v>281</v>
      </c>
      <c r="AF118" s="4">
        <v>16.149999999999999</v>
      </c>
      <c r="AG118" s="4">
        <v>6.68</v>
      </c>
      <c r="AH118" s="4">
        <v>7.52</v>
      </c>
      <c r="AI118" s="4">
        <v>10.029999999999999</v>
      </c>
      <c r="AJ118" s="4">
        <v>3.45</v>
      </c>
      <c r="AK118" s="4">
        <v>6.6</v>
      </c>
      <c r="AL118" s="4">
        <f t="shared" si="1"/>
        <v>50.43</v>
      </c>
      <c r="AN118" s="4">
        <v>116</v>
      </c>
      <c r="AO118" s="4" t="s">
        <v>423</v>
      </c>
      <c r="AP118" s="4">
        <v>56</v>
      </c>
      <c r="AQ118" s="4">
        <v>67.819999999999993</v>
      </c>
      <c r="AR118" s="4" t="s">
        <v>516</v>
      </c>
    </row>
    <row r="119" spans="1:44" ht="15.75" customHeight="1" x14ac:dyDescent="0.3">
      <c r="A119" s="4" t="s">
        <v>516</v>
      </c>
      <c r="B119" s="13">
        <v>1787</v>
      </c>
      <c r="C119" s="4">
        <v>67.56</v>
      </c>
      <c r="AC119" s="4">
        <v>117</v>
      </c>
      <c r="AD119" s="4" t="s">
        <v>460</v>
      </c>
      <c r="AE119" s="4">
        <v>332</v>
      </c>
      <c r="AF119" s="4">
        <v>29.52</v>
      </c>
      <c r="AG119" s="4">
        <v>14.49</v>
      </c>
      <c r="AH119" s="4">
        <v>7.64</v>
      </c>
      <c r="AI119" s="4">
        <v>11.66</v>
      </c>
      <c r="AJ119" s="4">
        <v>3.88</v>
      </c>
      <c r="AK119" s="4">
        <v>7.69</v>
      </c>
      <c r="AL119" s="4">
        <f t="shared" si="1"/>
        <v>74.88</v>
      </c>
      <c r="AN119" s="4">
        <v>117</v>
      </c>
      <c r="AO119" s="4" t="s">
        <v>397</v>
      </c>
      <c r="AP119" s="4">
        <v>1884</v>
      </c>
      <c r="AQ119" s="4">
        <v>67.98</v>
      </c>
      <c r="AR119" s="4" t="s">
        <v>516</v>
      </c>
    </row>
    <row r="120" spans="1:44" ht="15.75" customHeight="1" x14ac:dyDescent="0.3">
      <c r="A120" s="4" t="s">
        <v>516</v>
      </c>
      <c r="B120" s="13">
        <v>230</v>
      </c>
      <c r="C120" s="4">
        <v>67.739999999999995</v>
      </c>
      <c r="AC120" s="4">
        <v>118</v>
      </c>
      <c r="AD120" s="4" t="s">
        <v>451</v>
      </c>
      <c r="AE120" s="4">
        <v>108</v>
      </c>
      <c r="AF120" s="4">
        <v>28.53</v>
      </c>
      <c r="AG120" s="4">
        <v>10.52</v>
      </c>
      <c r="AH120" s="4">
        <v>7.37</v>
      </c>
      <c r="AI120" s="4">
        <v>11.15</v>
      </c>
      <c r="AJ120" s="4">
        <v>3.8</v>
      </c>
      <c r="AK120" s="4">
        <v>7</v>
      </c>
      <c r="AL120" s="4">
        <f t="shared" si="1"/>
        <v>68.36999999999999</v>
      </c>
      <c r="AN120" s="4">
        <v>118</v>
      </c>
      <c r="AO120" s="4" t="s">
        <v>406</v>
      </c>
      <c r="AP120" s="4">
        <v>2522</v>
      </c>
      <c r="AQ120" s="4">
        <v>68.03</v>
      </c>
      <c r="AR120" s="4" t="s">
        <v>516</v>
      </c>
    </row>
    <row r="121" spans="1:44" ht="15.75" customHeight="1" x14ac:dyDescent="0.3">
      <c r="A121" s="4" t="s">
        <v>516</v>
      </c>
      <c r="B121" s="13">
        <v>1554</v>
      </c>
      <c r="C121" s="4">
        <v>67.789999999999992</v>
      </c>
      <c r="AC121" s="4">
        <v>119</v>
      </c>
      <c r="AD121" s="4" t="s">
        <v>393</v>
      </c>
      <c r="AE121" s="4">
        <v>98</v>
      </c>
      <c r="AF121" s="4">
        <v>24.05</v>
      </c>
      <c r="AG121" s="4">
        <v>13.96</v>
      </c>
      <c r="AH121" s="4">
        <v>7.62</v>
      </c>
      <c r="AI121" s="4">
        <v>11.06</v>
      </c>
      <c r="AJ121" s="4">
        <v>3.8</v>
      </c>
      <c r="AK121" s="4">
        <v>7</v>
      </c>
      <c r="AL121" s="4">
        <f t="shared" si="1"/>
        <v>67.490000000000009</v>
      </c>
      <c r="AN121" s="4">
        <v>119</v>
      </c>
      <c r="AO121" s="4" t="s">
        <v>308</v>
      </c>
      <c r="AP121" s="4">
        <v>1262</v>
      </c>
      <c r="AQ121" s="4">
        <v>68.260000000000005</v>
      </c>
      <c r="AR121" s="4" t="s">
        <v>516</v>
      </c>
    </row>
    <row r="122" spans="1:44" ht="15.75" customHeight="1" x14ac:dyDescent="0.3">
      <c r="A122" s="4" t="s">
        <v>516</v>
      </c>
      <c r="B122" s="14">
        <v>56</v>
      </c>
      <c r="C122" s="4">
        <v>67.819999999999993</v>
      </c>
      <c r="AC122" s="4">
        <v>120</v>
      </c>
      <c r="AD122" s="4" t="s">
        <v>337</v>
      </c>
      <c r="AE122" s="4">
        <v>245</v>
      </c>
      <c r="AF122" s="4">
        <v>20.81</v>
      </c>
      <c r="AG122" s="4">
        <v>14.04</v>
      </c>
      <c r="AH122" s="4">
        <v>7.44</v>
      </c>
      <c r="AI122" s="4">
        <v>11.1</v>
      </c>
      <c r="AJ122" s="4">
        <v>3.88</v>
      </c>
      <c r="AK122" s="4">
        <v>7</v>
      </c>
      <c r="AL122" s="4">
        <f t="shared" si="1"/>
        <v>64.27</v>
      </c>
      <c r="AN122" s="4">
        <v>120</v>
      </c>
      <c r="AO122" s="4" t="s">
        <v>396</v>
      </c>
      <c r="AP122" s="4">
        <v>38</v>
      </c>
      <c r="AQ122" s="4">
        <v>68.260000000000005</v>
      </c>
      <c r="AR122" s="4" t="s">
        <v>516</v>
      </c>
    </row>
    <row r="123" spans="1:44" ht="15.75" customHeight="1" x14ac:dyDescent="0.3">
      <c r="A123" s="4" t="s">
        <v>516</v>
      </c>
      <c r="B123" s="13">
        <v>1867</v>
      </c>
      <c r="C123" s="4">
        <v>67.86</v>
      </c>
      <c r="AC123" s="4">
        <v>121</v>
      </c>
      <c r="AD123" s="4" t="s">
        <v>290</v>
      </c>
      <c r="AE123" s="4">
        <v>113</v>
      </c>
      <c r="AF123" s="4">
        <v>13.38</v>
      </c>
      <c r="AG123" s="4">
        <v>14.63</v>
      </c>
      <c r="AH123" s="4">
        <v>7.77</v>
      </c>
      <c r="AI123" s="4">
        <v>10.76</v>
      </c>
      <c r="AJ123" s="4">
        <v>3.73</v>
      </c>
      <c r="AK123" s="4">
        <v>7</v>
      </c>
      <c r="AL123" s="4">
        <f t="shared" si="1"/>
        <v>57.269999999999996</v>
      </c>
      <c r="AN123" s="4">
        <v>121</v>
      </c>
      <c r="AO123" s="4" t="s">
        <v>428</v>
      </c>
      <c r="AP123" s="4">
        <v>1799</v>
      </c>
      <c r="AQ123" s="4">
        <v>68.289999999999992</v>
      </c>
      <c r="AR123" s="4" t="s">
        <v>516</v>
      </c>
    </row>
    <row r="124" spans="1:44" ht="15.75" customHeight="1" x14ac:dyDescent="0.3">
      <c r="A124" s="4" t="s">
        <v>516</v>
      </c>
      <c r="B124" s="13">
        <v>1884</v>
      </c>
      <c r="C124" s="4">
        <v>67.960000000000008</v>
      </c>
      <c r="AC124" s="4">
        <v>122</v>
      </c>
      <c r="AD124" s="4" t="s">
        <v>382</v>
      </c>
      <c r="AE124" s="4">
        <v>69</v>
      </c>
      <c r="AF124" s="4">
        <v>23.57</v>
      </c>
      <c r="AG124" s="4">
        <v>13.47</v>
      </c>
      <c r="AH124" s="4">
        <v>7.59</v>
      </c>
      <c r="AI124" s="4">
        <v>11.34</v>
      </c>
      <c r="AJ124" s="4">
        <v>3.8</v>
      </c>
      <c r="AK124" s="4">
        <v>7.45</v>
      </c>
      <c r="AL124" s="4">
        <f t="shared" si="1"/>
        <v>67.22</v>
      </c>
      <c r="AN124" s="4">
        <v>122</v>
      </c>
      <c r="AO124" s="4" t="s">
        <v>451</v>
      </c>
      <c r="AP124" s="4">
        <v>108</v>
      </c>
      <c r="AQ124" s="4">
        <v>68.36999999999999</v>
      </c>
      <c r="AR124" s="4" t="s">
        <v>516</v>
      </c>
    </row>
    <row r="125" spans="1:44" ht="15.75" customHeight="1" x14ac:dyDescent="0.3">
      <c r="A125" s="4" t="s">
        <v>516</v>
      </c>
      <c r="B125" s="14">
        <v>38</v>
      </c>
      <c r="C125" s="4">
        <v>68.260000000000005</v>
      </c>
      <c r="AC125" s="4">
        <v>123</v>
      </c>
      <c r="AD125" s="4" t="s">
        <v>396</v>
      </c>
      <c r="AE125" s="4">
        <v>38</v>
      </c>
      <c r="AF125" s="4">
        <v>24.48</v>
      </c>
      <c r="AG125" s="4">
        <v>13.36</v>
      </c>
      <c r="AH125" s="4">
        <v>7.54</v>
      </c>
      <c r="AI125" s="4">
        <v>11.4</v>
      </c>
      <c r="AJ125" s="4">
        <v>3.88</v>
      </c>
      <c r="AK125" s="4">
        <v>7.6</v>
      </c>
      <c r="AL125" s="4">
        <f t="shared" si="1"/>
        <v>68.260000000000005</v>
      </c>
      <c r="AN125" s="4">
        <v>123</v>
      </c>
      <c r="AO125" s="4" t="s">
        <v>463</v>
      </c>
      <c r="AP125" s="4">
        <v>461</v>
      </c>
      <c r="AQ125" s="4">
        <v>68.52</v>
      </c>
      <c r="AR125" s="4" t="s">
        <v>516</v>
      </c>
    </row>
    <row r="126" spans="1:44" ht="15.75" customHeight="1" x14ac:dyDescent="0.3">
      <c r="A126" s="4" t="s">
        <v>516</v>
      </c>
      <c r="B126" s="13">
        <v>1262</v>
      </c>
      <c r="C126" s="4">
        <v>68.260000000000005</v>
      </c>
      <c r="AC126" s="4">
        <v>124</v>
      </c>
      <c r="AD126" s="4" t="s">
        <v>410</v>
      </c>
      <c r="AE126" s="4">
        <v>445</v>
      </c>
      <c r="AF126" s="4">
        <v>25.55</v>
      </c>
      <c r="AG126" s="4">
        <v>13.22</v>
      </c>
      <c r="AH126" s="4">
        <v>7.81</v>
      </c>
      <c r="AI126" s="4">
        <v>11.64</v>
      </c>
      <c r="AJ126" s="4">
        <v>3.8</v>
      </c>
      <c r="AK126" s="4">
        <v>7</v>
      </c>
      <c r="AL126" s="4">
        <f t="shared" si="1"/>
        <v>69.02000000000001</v>
      </c>
      <c r="AN126" s="4">
        <v>124</v>
      </c>
      <c r="AO126" s="4" t="s">
        <v>383</v>
      </c>
      <c r="AP126" s="4">
        <v>1058</v>
      </c>
      <c r="AQ126" s="4">
        <v>68.67</v>
      </c>
      <c r="AR126" s="4" t="s">
        <v>516</v>
      </c>
    </row>
    <row r="127" spans="1:44" ht="15.75" customHeight="1" x14ac:dyDescent="0.3">
      <c r="A127" s="4" t="s">
        <v>516</v>
      </c>
      <c r="B127" s="117">
        <v>2946</v>
      </c>
      <c r="C127" s="4">
        <v>68.309999999999988</v>
      </c>
      <c r="AC127" s="4">
        <v>125</v>
      </c>
      <c r="AD127" s="4" t="s">
        <v>341</v>
      </c>
      <c r="AE127" s="4">
        <v>62</v>
      </c>
      <c r="AF127" s="4">
        <v>21.06</v>
      </c>
      <c r="AG127" s="4">
        <v>12.8</v>
      </c>
      <c r="AH127" s="4">
        <v>7.65</v>
      </c>
      <c r="AI127" s="4">
        <v>11.4</v>
      </c>
      <c r="AJ127" s="4">
        <v>3.88</v>
      </c>
      <c r="AK127" s="4">
        <v>7.68</v>
      </c>
      <c r="AL127" s="4">
        <f t="shared" si="1"/>
        <v>64.47</v>
      </c>
      <c r="AN127" s="4">
        <v>125</v>
      </c>
      <c r="AO127" s="4" t="s">
        <v>403</v>
      </c>
      <c r="AP127" s="4">
        <v>1347</v>
      </c>
      <c r="AQ127" s="4">
        <v>68.69</v>
      </c>
      <c r="AR127" s="4" t="s">
        <v>516</v>
      </c>
    </row>
    <row r="128" spans="1:44" ht="15.75" customHeight="1" x14ac:dyDescent="0.3">
      <c r="A128" s="4" t="s">
        <v>516</v>
      </c>
      <c r="B128" s="14">
        <v>108</v>
      </c>
      <c r="C128" s="4">
        <v>68.36999999999999</v>
      </c>
      <c r="AC128" s="4">
        <v>126</v>
      </c>
      <c r="AD128" s="4" t="s">
        <v>355</v>
      </c>
      <c r="AE128" s="4">
        <v>288</v>
      </c>
      <c r="AF128" s="4">
        <v>21.67</v>
      </c>
      <c r="AG128" s="4">
        <v>11.75</v>
      </c>
      <c r="AH128" s="4">
        <v>7.71</v>
      </c>
      <c r="AI128" s="4">
        <v>11.64</v>
      </c>
      <c r="AJ128" s="4">
        <v>3.95</v>
      </c>
      <c r="AK128" s="4">
        <v>7.24</v>
      </c>
      <c r="AL128" s="4">
        <f t="shared" si="1"/>
        <v>63.960000000000008</v>
      </c>
      <c r="AN128" s="4">
        <v>126</v>
      </c>
      <c r="AO128" s="4" t="s">
        <v>414</v>
      </c>
      <c r="AP128" s="4">
        <v>1274</v>
      </c>
      <c r="AQ128" s="4">
        <v>68.790000000000006</v>
      </c>
      <c r="AR128" s="4" t="s">
        <v>516</v>
      </c>
    </row>
    <row r="129" spans="1:44" ht="15.75" customHeight="1" x14ac:dyDescent="0.3">
      <c r="A129" s="4" t="s">
        <v>516</v>
      </c>
      <c r="B129" s="14">
        <v>332</v>
      </c>
      <c r="C129" s="4">
        <v>68.47</v>
      </c>
      <c r="AC129" s="4">
        <v>127</v>
      </c>
      <c r="AD129" s="4" t="s">
        <v>344</v>
      </c>
      <c r="AE129" s="4">
        <v>69</v>
      </c>
      <c r="AF129" s="4">
        <v>21.16</v>
      </c>
      <c r="AG129" s="4">
        <v>13.72</v>
      </c>
      <c r="AH129" s="4">
        <v>7.48</v>
      </c>
      <c r="AI129" s="4">
        <v>11.22</v>
      </c>
      <c r="AJ129" s="4">
        <v>3.8</v>
      </c>
      <c r="AK129" s="4">
        <v>7.23</v>
      </c>
      <c r="AL129" s="4">
        <f t="shared" si="1"/>
        <v>64.61</v>
      </c>
      <c r="AN129" s="4">
        <v>127</v>
      </c>
      <c r="AO129" s="4" t="s">
        <v>409</v>
      </c>
      <c r="AP129" s="4">
        <v>1229</v>
      </c>
      <c r="AQ129" s="4">
        <v>68.900000000000006</v>
      </c>
      <c r="AR129" s="4" t="s">
        <v>516</v>
      </c>
    </row>
    <row r="130" spans="1:44" ht="15.75" customHeight="1" x14ac:dyDescent="0.3">
      <c r="A130" s="4" t="s">
        <v>516</v>
      </c>
      <c r="B130" s="13">
        <v>461</v>
      </c>
      <c r="C130" s="4">
        <v>68.52</v>
      </c>
      <c r="AC130" s="4">
        <v>128</v>
      </c>
      <c r="AD130" s="4" t="s">
        <v>471</v>
      </c>
      <c r="AE130" s="4">
        <v>661</v>
      </c>
      <c r="AF130" s="4">
        <v>30.28</v>
      </c>
      <c r="AG130" s="4">
        <v>10.27</v>
      </c>
      <c r="AH130" s="4">
        <v>7.75</v>
      </c>
      <c r="AI130" s="4">
        <v>11.27</v>
      </c>
      <c r="AJ130" s="4">
        <v>3.73</v>
      </c>
      <c r="AK130" s="4">
        <v>7.53</v>
      </c>
      <c r="AL130" s="4">
        <f t="shared" si="1"/>
        <v>70.829999999999984</v>
      </c>
      <c r="AN130" s="4">
        <v>128</v>
      </c>
      <c r="AO130" s="4" t="s">
        <v>417</v>
      </c>
      <c r="AP130" s="4">
        <v>1661</v>
      </c>
      <c r="AQ130" s="4">
        <v>68.94</v>
      </c>
      <c r="AR130" s="4" t="s">
        <v>516</v>
      </c>
    </row>
    <row r="131" spans="1:44" ht="15.75" customHeight="1" x14ac:dyDescent="0.3">
      <c r="A131" s="4" t="s">
        <v>516</v>
      </c>
      <c r="B131" s="13">
        <v>1058</v>
      </c>
      <c r="C131" s="4">
        <v>68.67</v>
      </c>
      <c r="AC131" s="4">
        <v>129</v>
      </c>
      <c r="AD131" s="4" t="s">
        <v>461</v>
      </c>
      <c r="AE131" s="4">
        <v>515</v>
      </c>
      <c r="AF131" s="4">
        <v>29.54</v>
      </c>
      <c r="AG131" s="4">
        <v>8.2899999999999991</v>
      </c>
      <c r="AH131" s="4">
        <v>6.15</v>
      </c>
      <c r="AI131" s="4">
        <v>7.78</v>
      </c>
      <c r="AJ131" s="4">
        <v>2.9</v>
      </c>
      <c r="AK131" s="4">
        <v>4.24</v>
      </c>
      <c r="AL131" s="4">
        <f t="shared" si="1"/>
        <v>58.9</v>
      </c>
      <c r="AN131" s="4">
        <v>129</v>
      </c>
      <c r="AO131" s="4" t="s">
        <v>438</v>
      </c>
      <c r="AP131" s="4">
        <v>82</v>
      </c>
      <c r="AQ131" s="4">
        <v>69</v>
      </c>
      <c r="AR131" s="4" t="s">
        <v>516</v>
      </c>
    </row>
    <row r="132" spans="1:44" ht="15.75" customHeight="1" x14ac:dyDescent="0.3">
      <c r="A132" s="4" t="s">
        <v>516</v>
      </c>
      <c r="B132" s="14">
        <v>1347</v>
      </c>
      <c r="C132" s="4">
        <v>68.680000000000007</v>
      </c>
      <c r="AC132" s="4">
        <v>130</v>
      </c>
      <c r="AD132" s="4" t="s">
        <v>466</v>
      </c>
      <c r="AE132" s="4">
        <v>293</v>
      </c>
      <c r="AF132" s="4">
        <v>29.84</v>
      </c>
      <c r="AG132" s="4">
        <v>13.45</v>
      </c>
      <c r="AH132" s="4">
        <v>5.7</v>
      </c>
      <c r="AI132" s="4">
        <v>8.5500000000000007</v>
      </c>
      <c r="AJ132" s="4">
        <v>3.88</v>
      </c>
      <c r="AK132" s="4">
        <v>5.13</v>
      </c>
      <c r="AL132" s="4">
        <f t="shared" si="1"/>
        <v>66.550000000000011</v>
      </c>
      <c r="AN132" s="4">
        <v>130</v>
      </c>
      <c r="AO132" s="4" t="s">
        <v>410</v>
      </c>
      <c r="AP132" s="4">
        <v>445</v>
      </c>
      <c r="AQ132" s="4">
        <v>69.02000000000001</v>
      </c>
      <c r="AR132" s="4" t="s">
        <v>516</v>
      </c>
    </row>
    <row r="133" spans="1:44" ht="15.75" customHeight="1" x14ac:dyDescent="0.3">
      <c r="A133" s="4" t="s">
        <v>516</v>
      </c>
      <c r="B133" s="13">
        <v>1273</v>
      </c>
      <c r="C133" s="4">
        <v>68.709999999999994</v>
      </c>
      <c r="AC133" s="4">
        <v>131</v>
      </c>
      <c r="AD133" s="4" t="s">
        <v>474</v>
      </c>
      <c r="AE133" s="4">
        <v>971</v>
      </c>
      <c r="AF133" s="4">
        <v>32.36</v>
      </c>
      <c r="AG133" s="4">
        <v>11.79</v>
      </c>
      <c r="AH133" s="4">
        <v>3.44</v>
      </c>
      <c r="AI133" s="4">
        <v>6.74</v>
      </c>
      <c r="AJ133" s="4">
        <v>2.7</v>
      </c>
      <c r="AK133" s="4">
        <v>3.8</v>
      </c>
      <c r="AL133" s="4">
        <f t="shared" si="1"/>
        <v>60.83</v>
      </c>
      <c r="AN133" s="4">
        <v>131</v>
      </c>
      <c r="AO133" s="4" t="s">
        <v>368</v>
      </c>
      <c r="AP133" s="4">
        <v>1055</v>
      </c>
      <c r="AQ133" s="4">
        <v>69.180000000000007</v>
      </c>
      <c r="AR133" s="4" t="s">
        <v>516</v>
      </c>
    </row>
    <row r="134" spans="1:44" ht="15.75" customHeight="1" x14ac:dyDescent="0.3">
      <c r="A134" s="4" t="s">
        <v>516</v>
      </c>
      <c r="B134" s="29">
        <v>1074</v>
      </c>
      <c r="C134" s="4">
        <v>68.8</v>
      </c>
      <c r="AC134" s="4">
        <v>132</v>
      </c>
      <c r="AD134" s="4" t="s">
        <v>470</v>
      </c>
      <c r="AE134" s="4">
        <v>638</v>
      </c>
      <c r="AF134" s="4">
        <v>30.12</v>
      </c>
      <c r="AG134" s="4">
        <v>12.8</v>
      </c>
      <c r="AH134" s="4">
        <v>7</v>
      </c>
      <c r="AI134" s="4">
        <v>11.2</v>
      </c>
      <c r="AJ134" s="4">
        <v>2.98</v>
      </c>
      <c r="AK134" s="4">
        <v>3</v>
      </c>
      <c r="AL134" s="4">
        <f t="shared" si="1"/>
        <v>67.100000000000009</v>
      </c>
      <c r="AN134" s="4">
        <v>132</v>
      </c>
      <c r="AO134" s="4" t="s">
        <v>432</v>
      </c>
      <c r="AP134" s="4">
        <v>1424</v>
      </c>
      <c r="AQ134" s="4">
        <v>69.38</v>
      </c>
      <c r="AR134" s="4" t="s">
        <v>516</v>
      </c>
    </row>
    <row r="135" spans="1:44" ht="15.75" customHeight="1" x14ac:dyDescent="0.3">
      <c r="A135" s="4" t="s">
        <v>516</v>
      </c>
      <c r="B135" s="14">
        <v>82</v>
      </c>
      <c r="C135" s="4">
        <v>69</v>
      </c>
      <c r="AC135" s="4">
        <v>133</v>
      </c>
      <c r="AD135" s="4" t="s">
        <v>477</v>
      </c>
      <c r="AE135" s="4">
        <v>1911</v>
      </c>
      <c r="AF135" s="4">
        <v>34</v>
      </c>
      <c r="AG135" s="4">
        <v>12.5</v>
      </c>
      <c r="AH135" s="4">
        <v>4.74</v>
      </c>
      <c r="AI135" s="4">
        <v>8.1</v>
      </c>
      <c r="AJ135" s="4">
        <v>3.5</v>
      </c>
      <c r="AK135" s="4">
        <v>4.4400000000000004</v>
      </c>
      <c r="AL135" s="4">
        <f t="shared" si="1"/>
        <v>67.28</v>
      </c>
      <c r="AN135" s="4">
        <v>133</v>
      </c>
      <c r="AO135" s="4" t="s">
        <v>320</v>
      </c>
      <c r="AP135" s="4">
        <v>2056</v>
      </c>
      <c r="AQ135" s="4">
        <v>69.569999999999993</v>
      </c>
      <c r="AR135" s="4" t="s">
        <v>516</v>
      </c>
    </row>
    <row r="136" spans="1:44" ht="15.75" customHeight="1" x14ac:dyDescent="0.3">
      <c r="A136" s="4" t="s">
        <v>516</v>
      </c>
      <c r="B136" s="14">
        <v>445</v>
      </c>
      <c r="C136" s="4">
        <v>69.02000000000001</v>
      </c>
      <c r="AC136" s="4">
        <v>134</v>
      </c>
      <c r="AD136" s="4" t="s">
        <v>445</v>
      </c>
      <c r="AE136" s="4">
        <v>1232</v>
      </c>
      <c r="AF136" s="4">
        <v>27.63</v>
      </c>
      <c r="AG136" s="4">
        <v>11.6</v>
      </c>
      <c r="AH136" s="4">
        <v>3</v>
      </c>
      <c r="AI136" s="4">
        <v>4.5</v>
      </c>
      <c r="AJ136" s="4">
        <v>1.9</v>
      </c>
      <c r="AK136" s="4">
        <v>3</v>
      </c>
      <c r="AL136" s="4">
        <f t="shared" si="1"/>
        <v>51.629999999999995</v>
      </c>
      <c r="AN136" s="4">
        <v>134</v>
      </c>
      <c r="AO136" s="4" t="s">
        <v>317</v>
      </c>
      <c r="AP136" s="4">
        <v>1447</v>
      </c>
      <c r="AQ136" s="4">
        <v>69.7</v>
      </c>
      <c r="AR136" s="4" t="s">
        <v>516</v>
      </c>
    </row>
    <row r="137" spans="1:44" ht="15.75" customHeight="1" x14ac:dyDescent="0.3">
      <c r="A137" s="4" t="s">
        <v>516</v>
      </c>
      <c r="B137" s="116">
        <v>2056</v>
      </c>
      <c r="C137" s="4">
        <v>69.569999999999993</v>
      </c>
      <c r="AC137" s="4">
        <v>135</v>
      </c>
      <c r="AD137" s="4" t="s">
        <v>278</v>
      </c>
      <c r="AE137" s="4">
        <v>50</v>
      </c>
      <c r="AF137" s="4">
        <v>12.03</v>
      </c>
      <c r="AG137" s="4">
        <v>9.94</v>
      </c>
      <c r="AH137" s="4">
        <v>6.8</v>
      </c>
      <c r="AI137" s="4">
        <v>11.39</v>
      </c>
      <c r="AJ137" s="4">
        <v>3.4</v>
      </c>
      <c r="AK137" s="4">
        <v>4.97</v>
      </c>
      <c r="AL137" s="4">
        <f t="shared" si="1"/>
        <v>48.529999999999994</v>
      </c>
      <c r="AN137" s="4">
        <v>135</v>
      </c>
      <c r="AO137" s="4" t="s">
        <v>426</v>
      </c>
      <c r="AP137" s="4">
        <v>1807</v>
      </c>
      <c r="AQ137" s="4">
        <v>69.710000000000008</v>
      </c>
      <c r="AR137" s="4" t="s">
        <v>516</v>
      </c>
    </row>
    <row r="138" spans="1:44" ht="15.75" customHeight="1" x14ac:dyDescent="0.3">
      <c r="A138" s="4" t="s">
        <v>516</v>
      </c>
      <c r="B138" s="13">
        <v>1447</v>
      </c>
      <c r="C138" s="4">
        <v>69.7</v>
      </c>
      <c r="AC138" s="4">
        <v>136</v>
      </c>
      <c r="AD138" s="4" t="s">
        <v>472</v>
      </c>
      <c r="AE138" s="4">
        <v>1155</v>
      </c>
      <c r="AF138" s="4">
        <v>30.33</v>
      </c>
      <c r="AG138" s="4">
        <v>11.34</v>
      </c>
      <c r="AH138" s="4">
        <v>5.2</v>
      </c>
      <c r="AI138" s="4">
        <v>9.8000000000000007</v>
      </c>
      <c r="AJ138" s="4">
        <v>3.58</v>
      </c>
      <c r="AK138" s="4">
        <v>5.56</v>
      </c>
      <c r="AL138" s="4">
        <f t="shared" si="1"/>
        <v>65.81</v>
      </c>
      <c r="AN138" s="4">
        <v>136</v>
      </c>
      <c r="AO138" s="4" t="s">
        <v>273</v>
      </c>
      <c r="AP138" s="4">
        <v>1000</v>
      </c>
      <c r="AQ138" s="4">
        <v>69.759999999999991</v>
      </c>
      <c r="AR138" s="4" t="s">
        <v>516</v>
      </c>
    </row>
    <row r="139" spans="1:44" ht="15.75" customHeight="1" x14ac:dyDescent="0.3">
      <c r="A139" s="4" t="s">
        <v>516</v>
      </c>
      <c r="B139" s="117">
        <v>1763</v>
      </c>
      <c r="C139" s="4">
        <v>69.789999999999992</v>
      </c>
      <c r="AC139" s="4">
        <v>137</v>
      </c>
      <c r="AD139" s="4" t="s">
        <v>362</v>
      </c>
      <c r="AE139" s="4">
        <v>422</v>
      </c>
      <c r="AF139" s="4">
        <v>22.5</v>
      </c>
      <c r="AG139" s="4">
        <v>6.58</v>
      </c>
      <c r="AH139" s="4">
        <v>5.08</v>
      </c>
      <c r="AI139" s="4">
        <v>9.08</v>
      </c>
      <c r="AJ139" s="4">
        <v>3.65</v>
      </c>
      <c r="AK139" s="4">
        <v>7.6</v>
      </c>
      <c r="AL139" s="4">
        <f t="shared" si="1"/>
        <v>54.489999999999995</v>
      </c>
      <c r="AN139" s="4">
        <v>137</v>
      </c>
      <c r="AO139" s="4" t="s">
        <v>347</v>
      </c>
      <c r="AP139" s="4">
        <v>1126</v>
      </c>
      <c r="AQ139" s="4">
        <v>69.77000000000001</v>
      </c>
      <c r="AR139" s="4" t="s">
        <v>516</v>
      </c>
    </row>
    <row r="140" spans="1:44" ht="15.75" customHeight="1" x14ac:dyDescent="0.3">
      <c r="A140" s="4" t="s">
        <v>270</v>
      </c>
      <c r="B140" s="14">
        <v>42</v>
      </c>
      <c r="C140" s="4">
        <v>70.02000000000001</v>
      </c>
      <c r="AC140" s="4">
        <v>138</v>
      </c>
      <c r="AD140" s="4" t="s">
        <v>480</v>
      </c>
      <c r="AE140" s="4">
        <v>194</v>
      </c>
      <c r="AF140" s="4">
        <v>32.479999999999997</v>
      </c>
      <c r="AG140" s="4">
        <v>10.26</v>
      </c>
      <c r="AH140" s="4">
        <v>5.6</v>
      </c>
      <c r="AI140" s="4">
        <v>9.2200000000000006</v>
      </c>
      <c r="AJ140" s="4">
        <v>3.5</v>
      </c>
      <c r="AK140" s="4">
        <v>5.8</v>
      </c>
      <c r="AL140" s="4">
        <f t="shared" si="1"/>
        <v>66.86</v>
      </c>
      <c r="AN140" s="4">
        <v>138</v>
      </c>
      <c r="AO140" s="4" t="s">
        <v>504</v>
      </c>
      <c r="AP140" s="4">
        <v>1046</v>
      </c>
      <c r="AQ140" s="4">
        <v>69.77000000000001</v>
      </c>
      <c r="AR140" s="4" t="s">
        <v>516</v>
      </c>
    </row>
    <row r="141" spans="1:44" ht="15.75" customHeight="1" x14ac:dyDescent="0.3">
      <c r="A141" s="4" t="s">
        <v>270</v>
      </c>
      <c r="B141" s="116">
        <v>1239</v>
      </c>
      <c r="C141" s="4">
        <v>70.320000000000007</v>
      </c>
      <c r="AC141" s="4">
        <v>139</v>
      </c>
      <c r="AD141" s="4" t="s">
        <v>481</v>
      </c>
      <c r="AE141" s="4">
        <v>684</v>
      </c>
      <c r="AF141" s="4">
        <v>32.549999999999997</v>
      </c>
      <c r="AG141" s="4">
        <v>12.16</v>
      </c>
      <c r="AH141" s="4">
        <v>5.14</v>
      </c>
      <c r="AI141" s="4">
        <v>7.1</v>
      </c>
      <c r="AJ141" s="4">
        <v>3.2</v>
      </c>
      <c r="AK141" s="4">
        <v>6.64</v>
      </c>
      <c r="AL141" s="4">
        <f t="shared" si="1"/>
        <v>66.789999999999992</v>
      </c>
      <c r="AN141" s="4">
        <v>139</v>
      </c>
      <c r="AO141" s="4" t="s">
        <v>452</v>
      </c>
      <c r="AP141" s="4">
        <v>551</v>
      </c>
      <c r="AQ141" s="4">
        <v>69.789999999999992</v>
      </c>
      <c r="AR141" s="4" t="s">
        <v>516</v>
      </c>
    </row>
    <row r="142" spans="1:44" ht="15.75" customHeight="1" x14ac:dyDescent="0.3">
      <c r="A142" s="4" t="s">
        <v>270</v>
      </c>
      <c r="B142" s="14">
        <v>54</v>
      </c>
      <c r="C142" s="4">
        <v>70.33</v>
      </c>
      <c r="AC142" s="4">
        <v>140</v>
      </c>
      <c r="AD142" s="4" t="s">
        <v>463</v>
      </c>
      <c r="AE142" s="4">
        <v>461</v>
      </c>
      <c r="AF142" s="4">
        <v>29.73</v>
      </c>
      <c r="AG142" s="4">
        <v>10.18</v>
      </c>
      <c r="AH142" s="4">
        <v>7.71</v>
      </c>
      <c r="AI142" s="4">
        <v>10.25</v>
      </c>
      <c r="AJ142" s="4">
        <v>3.5</v>
      </c>
      <c r="AK142" s="4">
        <v>7.15</v>
      </c>
      <c r="AL142" s="4">
        <f t="shared" si="1"/>
        <v>68.52</v>
      </c>
      <c r="AN142" s="4">
        <v>140</v>
      </c>
      <c r="AO142" s="4" t="s">
        <v>381</v>
      </c>
      <c r="AP142" s="4">
        <v>1185</v>
      </c>
      <c r="AQ142" s="4">
        <v>69.969999999999985</v>
      </c>
      <c r="AR142" s="4" t="s">
        <v>516</v>
      </c>
    </row>
    <row r="143" spans="1:44" ht="15.75" customHeight="1" x14ac:dyDescent="0.3">
      <c r="A143" s="4" t="s">
        <v>270</v>
      </c>
      <c r="B143" s="14">
        <v>23</v>
      </c>
      <c r="C143" s="4">
        <v>71.19</v>
      </c>
      <c r="AC143" s="4">
        <v>141</v>
      </c>
      <c r="AD143" s="4" t="s">
        <v>484</v>
      </c>
      <c r="AE143" s="4">
        <v>1554</v>
      </c>
      <c r="AF143" s="4">
        <v>32.68</v>
      </c>
      <c r="AG143" s="4">
        <v>10.130000000000001</v>
      </c>
      <c r="AH143" s="4">
        <v>7.69</v>
      </c>
      <c r="AI143" s="4">
        <v>11.18</v>
      </c>
      <c r="AJ143" s="4">
        <v>3.5</v>
      </c>
      <c r="AK143" s="4">
        <v>8.2799999999999994</v>
      </c>
      <c r="AL143" s="4">
        <f t="shared" si="1"/>
        <v>73.460000000000008</v>
      </c>
      <c r="AN143" s="4">
        <v>141</v>
      </c>
      <c r="AO143" s="4" t="s">
        <v>458</v>
      </c>
      <c r="AP143" s="4">
        <v>42</v>
      </c>
      <c r="AQ143" s="4">
        <v>70.02000000000001</v>
      </c>
      <c r="AR143" s="4" t="s">
        <v>270</v>
      </c>
    </row>
    <row r="144" spans="1:44" ht="15.75" customHeight="1" x14ac:dyDescent="0.3">
      <c r="A144" s="4" t="s">
        <v>270</v>
      </c>
      <c r="B144" s="29">
        <v>777</v>
      </c>
      <c r="C144" s="4">
        <v>71.33</v>
      </c>
      <c r="AC144" s="4">
        <v>142</v>
      </c>
      <c r="AD144" s="4" t="s">
        <v>453</v>
      </c>
      <c r="AE144" s="4">
        <v>745</v>
      </c>
      <c r="AF144" s="4">
        <v>28.63</v>
      </c>
      <c r="AG144" s="4">
        <v>10.16</v>
      </c>
      <c r="AH144" s="4">
        <v>5.34</v>
      </c>
      <c r="AI144" s="4">
        <v>11.53</v>
      </c>
      <c r="AJ144" s="4">
        <v>4.0999999999999996</v>
      </c>
      <c r="AK144" s="4">
        <v>7</v>
      </c>
      <c r="AL144" s="4">
        <f t="shared" si="1"/>
        <v>66.759999999999991</v>
      </c>
      <c r="AN144" s="4">
        <v>142</v>
      </c>
      <c r="AO144" s="4" t="s">
        <v>455</v>
      </c>
      <c r="AP144" s="4">
        <v>2946</v>
      </c>
      <c r="AQ144" s="4">
        <v>70.25</v>
      </c>
      <c r="AR144" s="4" t="s">
        <v>270</v>
      </c>
    </row>
    <row r="145" spans="1:44" ht="15.75" customHeight="1" x14ac:dyDescent="0.3">
      <c r="A145" s="4" t="s">
        <v>270</v>
      </c>
      <c r="B145" s="14">
        <v>1182</v>
      </c>
      <c r="C145" s="4">
        <v>71.41</v>
      </c>
      <c r="AC145" s="4">
        <v>143</v>
      </c>
      <c r="AD145" s="4" t="s">
        <v>422</v>
      </c>
      <c r="AE145" s="4">
        <v>230</v>
      </c>
      <c r="AF145" s="4">
        <v>26.37</v>
      </c>
      <c r="AG145" s="4">
        <v>13.38</v>
      </c>
      <c r="AH145" s="4">
        <v>4.25</v>
      </c>
      <c r="AI145" s="4">
        <v>12.11</v>
      </c>
      <c r="AJ145" s="4">
        <v>4.25</v>
      </c>
      <c r="AK145" s="4">
        <v>7.38</v>
      </c>
      <c r="AL145" s="4">
        <f t="shared" si="1"/>
        <v>67.739999999999995</v>
      </c>
      <c r="AN145" s="4">
        <v>143</v>
      </c>
      <c r="AO145" s="4" t="s">
        <v>456</v>
      </c>
      <c r="AP145" s="4">
        <v>54</v>
      </c>
      <c r="AQ145" s="4">
        <v>70.33</v>
      </c>
      <c r="AR145" s="4" t="s">
        <v>270</v>
      </c>
    </row>
    <row r="146" spans="1:44" ht="15.75" customHeight="1" x14ac:dyDescent="0.3">
      <c r="A146" s="4" t="s">
        <v>270</v>
      </c>
      <c r="B146" s="13">
        <v>309</v>
      </c>
      <c r="C146" s="4">
        <v>72.219999999999985</v>
      </c>
      <c r="AC146" s="4">
        <v>144</v>
      </c>
      <c r="AD146" s="4" t="s">
        <v>407</v>
      </c>
      <c r="AE146" s="4">
        <v>215</v>
      </c>
      <c r="AF146" s="4">
        <v>25.35</v>
      </c>
      <c r="AG146" s="4">
        <v>5.77</v>
      </c>
      <c r="AH146" s="4">
        <v>7</v>
      </c>
      <c r="AI146" s="4">
        <v>12.27</v>
      </c>
      <c r="AJ146" s="4">
        <v>3.5</v>
      </c>
      <c r="AK146" s="4">
        <v>7</v>
      </c>
      <c r="AL146" s="4">
        <f t="shared" si="1"/>
        <v>60.89</v>
      </c>
      <c r="AN146" s="4">
        <v>144</v>
      </c>
      <c r="AO146" s="4" t="s">
        <v>299</v>
      </c>
      <c r="AP146" s="4">
        <v>1094</v>
      </c>
      <c r="AQ146" s="4">
        <v>70.819999999999993</v>
      </c>
      <c r="AR146" s="4" t="s">
        <v>270</v>
      </c>
    </row>
    <row r="147" spans="1:44" ht="15.75" customHeight="1" x14ac:dyDescent="0.3">
      <c r="A147" s="4" t="s">
        <v>270</v>
      </c>
      <c r="B147" s="116">
        <v>1057</v>
      </c>
      <c r="C147" s="4">
        <v>72.59</v>
      </c>
      <c r="AC147" s="4">
        <v>145</v>
      </c>
      <c r="AD147" s="4" t="s">
        <v>328</v>
      </c>
      <c r="AE147" s="4">
        <v>165</v>
      </c>
      <c r="AF147" s="4">
        <v>20.22</v>
      </c>
      <c r="AG147" s="4">
        <v>11.76</v>
      </c>
      <c r="AH147" s="4">
        <v>7</v>
      </c>
      <c r="AI147" s="4">
        <v>12.63</v>
      </c>
      <c r="AJ147" s="4">
        <v>3.5</v>
      </c>
      <c r="AK147" s="4">
        <v>7</v>
      </c>
      <c r="AL147" s="4">
        <f t="shared" si="1"/>
        <v>62.11</v>
      </c>
      <c r="AN147" s="4">
        <v>145</v>
      </c>
      <c r="AO147" s="4" t="s">
        <v>471</v>
      </c>
      <c r="AP147" s="4">
        <v>661</v>
      </c>
      <c r="AQ147" s="4">
        <v>70.829999999999984</v>
      </c>
      <c r="AR147" s="4" t="s">
        <v>270</v>
      </c>
    </row>
    <row r="148" spans="1:44" ht="15.75" customHeight="1" x14ac:dyDescent="0.3">
      <c r="A148" s="4" t="s">
        <v>270</v>
      </c>
      <c r="B148" s="116">
        <v>1449</v>
      </c>
      <c r="C148" s="4">
        <v>72.739999999999995</v>
      </c>
      <c r="AC148" s="4">
        <v>146</v>
      </c>
      <c r="AD148" s="4" t="s">
        <v>321</v>
      </c>
      <c r="AE148" s="4">
        <v>629</v>
      </c>
      <c r="AF148" s="4">
        <v>19.66</v>
      </c>
      <c r="AG148" s="4">
        <v>7.1</v>
      </c>
      <c r="AH148" s="4">
        <v>5.75</v>
      </c>
      <c r="AI148" s="4">
        <v>10.050000000000001</v>
      </c>
      <c r="AJ148" s="4">
        <v>4.03</v>
      </c>
      <c r="AK148" s="4">
        <v>7</v>
      </c>
      <c r="AL148" s="4">
        <f t="shared" si="1"/>
        <v>53.59</v>
      </c>
      <c r="AN148" s="4">
        <v>146</v>
      </c>
      <c r="AO148" s="4" t="s">
        <v>340</v>
      </c>
      <c r="AP148" s="4">
        <v>2184</v>
      </c>
      <c r="AQ148" s="4">
        <v>71.16</v>
      </c>
      <c r="AR148" s="4" t="s">
        <v>270</v>
      </c>
    </row>
    <row r="149" spans="1:44" ht="15.75" customHeight="1" x14ac:dyDescent="0.3">
      <c r="A149" s="4" t="s">
        <v>270</v>
      </c>
      <c r="B149" s="117">
        <v>1086</v>
      </c>
      <c r="C149" s="4">
        <v>73.100000000000009</v>
      </c>
      <c r="AC149" s="4">
        <v>147</v>
      </c>
      <c r="AD149" s="4" t="s">
        <v>487</v>
      </c>
      <c r="AE149" s="4">
        <v>2340</v>
      </c>
      <c r="AF149" s="4">
        <v>33.08</v>
      </c>
      <c r="AG149" s="4">
        <v>11.7</v>
      </c>
      <c r="AH149" s="4">
        <v>4</v>
      </c>
      <c r="AI149" s="4">
        <v>7.3</v>
      </c>
      <c r="AJ149" s="4">
        <v>3.58</v>
      </c>
      <c r="AK149" s="4">
        <v>5.8</v>
      </c>
      <c r="AL149" s="4">
        <f t="shared" si="1"/>
        <v>65.459999999999994</v>
      </c>
      <c r="AN149" s="4">
        <v>147</v>
      </c>
      <c r="AO149" s="4" t="s">
        <v>457</v>
      </c>
      <c r="AP149" s="4">
        <v>23</v>
      </c>
      <c r="AQ149" s="4">
        <v>71.19</v>
      </c>
      <c r="AR149" s="4" t="s">
        <v>270</v>
      </c>
    </row>
    <row r="150" spans="1:44" ht="15.75" customHeight="1" x14ac:dyDescent="0.3">
      <c r="A150" s="4" t="s">
        <v>270</v>
      </c>
      <c r="B150" s="13">
        <v>1088</v>
      </c>
      <c r="C150" s="4">
        <v>73.210000000000008</v>
      </c>
      <c r="AC150" s="4">
        <v>148</v>
      </c>
      <c r="AD150" s="4" t="s">
        <v>413</v>
      </c>
      <c r="AE150" s="4">
        <v>789</v>
      </c>
      <c r="AF150" s="4">
        <v>25.65</v>
      </c>
      <c r="AG150" s="4">
        <v>7.99</v>
      </c>
      <c r="AH150" s="4">
        <v>6.93</v>
      </c>
      <c r="AI150" s="4">
        <v>10.79</v>
      </c>
      <c r="AJ150" s="4">
        <v>4.0999999999999996</v>
      </c>
      <c r="AK150" s="4">
        <v>6.84</v>
      </c>
      <c r="AL150" s="4">
        <f t="shared" si="1"/>
        <v>62.3</v>
      </c>
      <c r="AN150" s="4">
        <v>148</v>
      </c>
      <c r="AO150" s="4" t="s">
        <v>412</v>
      </c>
      <c r="AP150" s="4">
        <v>1292</v>
      </c>
      <c r="AQ150" s="4">
        <v>71.219999999999985</v>
      </c>
      <c r="AR150" s="4" t="s">
        <v>270</v>
      </c>
    </row>
    <row r="151" spans="1:44" ht="15.75" customHeight="1" x14ac:dyDescent="0.3">
      <c r="A151" s="4" t="s">
        <v>270</v>
      </c>
      <c r="B151" s="13">
        <v>1499</v>
      </c>
      <c r="C151" s="4">
        <v>73.600000000000009</v>
      </c>
      <c r="AC151" s="4">
        <v>149</v>
      </c>
      <c r="AD151" s="4" t="s">
        <v>300</v>
      </c>
      <c r="AE151" s="4">
        <v>209</v>
      </c>
      <c r="AF151" s="4">
        <v>15.05</v>
      </c>
      <c r="AG151" s="4">
        <v>11</v>
      </c>
      <c r="AH151" s="4">
        <v>7</v>
      </c>
      <c r="AI151" s="4">
        <v>12.63</v>
      </c>
      <c r="AJ151" s="4">
        <v>3.5</v>
      </c>
      <c r="AK151" s="4">
        <v>3</v>
      </c>
      <c r="AL151" s="4">
        <f t="shared" si="1"/>
        <v>52.18</v>
      </c>
      <c r="AN151" s="4">
        <v>149</v>
      </c>
      <c r="AO151" s="4" t="s">
        <v>374</v>
      </c>
      <c r="AP151" s="4">
        <v>1182</v>
      </c>
      <c r="AQ151" s="4">
        <v>71.41</v>
      </c>
      <c r="AR151" s="4" t="s">
        <v>270</v>
      </c>
    </row>
    <row r="152" spans="1:44" ht="15.75" customHeight="1" x14ac:dyDescent="0.3">
      <c r="A152" s="4" t="s">
        <v>270</v>
      </c>
      <c r="B152" s="13">
        <v>63</v>
      </c>
      <c r="C152" s="4">
        <v>73.62</v>
      </c>
      <c r="AC152" s="4">
        <v>150</v>
      </c>
      <c r="AD152" s="4" t="s">
        <v>295</v>
      </c>
      <c r="AE152" s="4">
        <v>13</v>
      </c>
      <c r="AF152" s="4">
        <v>13.9</v>
      </c>
      <c r="AG152" s="4">
        <v>14.25</v>
      </c>
      <c r="AH152" s="4">
        <v>7.08</v>
      </c>
      <c r="AI152" s="4">
        <v>12.63</v>
      </c>
      <c r="AJ152" s="4">
        <v>3.5</v>
      </c>
      <c r="AK152" s="4">
        <v>7</v>
      </c>
      <c r="AL152" s="4">
        <f t="shared" si="1"/>
        <v>58.36</v>
      </c>
      <c r="AN152" s="4">
        <v>150</v>
      </c>
      <c r="AO152" s="4" t="s">
        <v>494</v>
      </c>
      <c r="AP152" s="4">
        <v>777</v>
      </c>
      <c r="AQ152" s="4">
        <v>71.489999999999995</v>
      </c>
      <c r="AR152" s="4" t="s">
        <v>270</v>
      </c>
    </row>
    <row r="153" spans="1:44" ht="15.75" customHeight="1" x14ac:dyDescent="0.3">
      <c r="A153" s="4" t="s">
        <v>270</v>
      </c>
      <c r="B153" s="116">
        <v>2188</v>
      </c>
      <c r="C153" s="4">
        <v>73.72</v>
      </c>
      <c r="AC153" s="4">
        <v>151</v>
      </c>
      <c r="AD153" s="4" t="s">
        <v>449</v>
      </c>
      <c r="AE153" s="4">
        <v>20</v>
      </c>
      <c r="AF153" s="4">
        <v>28</v>
      </c>
      <c r="AG153" s="4">
        <v>10</v>
      </c>
      <c r="AH153" s="4">
        <v>4</v>
      </c>
      <c r="AI153" s="4">
        <v>7.5</v>
      </c>
      <c r="AJ153" s="4">
        <v>2.5</v>
      </c>
      <c r="AK153" s="4">
        <v>5</v>
      </c>
      <c r="AL153" s="4">
        <f t="shared" si="1"/>
        <v>57</v>
      </c>
      <c r="AN153" s="4">
        <v>151</v>
      </c>
      <c r="AO153" s="4" t="s">
        <v>394</v>
      </c>
      <c r="AP153" s="4">
        <v>1246</v>
      </c>
      <c r="AQ153" s="4">
        <v>71.539999999999992</v>
      </c>
      <c r="AR153" s="4" t="s">
        <v>270</v>
      </c>
    </row>
    <row r="154" spans="1:44" ht="15.75" customHeight="1" x14ac:dyDescent="0.3">
      <c r="A154" s="4" t="s">
        <v>270</v>
      </c>
      <c r="B154" s="14">
        <v>1637</v>
      </c>
      <c r="C154" s="4">
        <v>74.990000000000009</v>
      </c>
      <c r="AC154" s="4">
        <v>152</v>
      </c>
      <c r="AD154" s="4" t="s">
        <v>398</v>
      </c>
      <c r="AE154" s="4">
        <v>54</v>
      </c>
      <c r="AF154" s="4">
        <v>24.64</v>
      </c>
      <c r="AG154" s="4">
        <v>13.4</v>
      </c>
      <c r="AH154" s="4">
        <v>4.28</v>
      </c>
      <c r="AI154" s="4">
        <v>10.3</v>
      </c>
      <c r="AJ154" s="4">
        <v>4.25</v>
      </c>
      <c r="AK154" s="4">
        <v>7</v>
      </c>
      <c r="AL154" s="4">
        <f t="shared" si="1"/>
        <v>63.870000000000005</v>
      </c>
      <c r="AN154" s="4">
        <v>152</v>
      </c>
      <c r="AO154" s="4" t="s">
        <v>291</v>
      </c>
      <c r="AP154" s="4">
        <v>1763</v>
      </c>
      <c r="AQ154" s="4">
        <v>72.05</v>
      </c>
      <c r="AR154" s="4" t="s">
        <v>270</v>
      </c>
    </row>
    <row r="155" spans="1:44" ht="15.75" customHeight="1" x14ac:dyDescent="0.3">
      <c r="A155" s="4" t="s">
        <v>270</v>
      </c>
      <c r="B155" s="14">
        <v>1812</v>
      </c>
      <c r="C155" s="4">
        <v>75.22</v>
      </c>
      <c r="AC155" s="4">
        <v>153</v>
      </c>
      <c r="AD155" s="4" t="s">
        <v>332</v>
      </c>
      <c r="AE155" s="4">
        <v>2143</v>
      </c>
      <c r="AF155" s="4">
        <v>20.46</v>
      </c>
      <c r="AG155" s="4">
        <v>7.39</v>
      </c>
      <c r="AH155" s="4">
        <v>7</v>
      </c>
      <c r="AI155" s="4">
        <v>11.27</v>
      </c>
      <c r="AJ155" s="4">
        <v>3.5</v>
      </c>
      <c r="AK155" s="4">
        <v>7.54</v>
      </c>
      <c r="AL155" s="4">
        <f t="shared" si="1"/>
        <v>57.160000000000004</v>
      </c>
      <c r="AN155" s="4">
        <v>153</v>
      </c>
      <c r="AO155" s="4" t="s">
        <v>343</v>
      </c>
      <c r="AP155" s="4">
        <v>1523</v>
      </c>
      <c r="AQ155" s="4">
        <v>72.089999999999989</v>
      </c>
      <c r="AR155" s="4" t="s">
        <v>270</v>
      </c>
    </row>
    <row r="156" spans="1:44" ht="15.75" customHeight="1" x14ac:dyDescent="0.3">
      <c r="A156" s="4" t="s">
        <v>270</v>
      </c>
      <c r="B156" s="13">
        <v>1370</v>
      </c>
      <c r="C156" s="4">
        <v>76.819999999999993</v>
      </c>
      <c r="AC156" s="4">
        <v>154</v>
      </c>
      <c r="AD156" s="4" t="s">
        <v>489</v>
      </c>
      <c r="AE156" s="4">
        <v>2721</v>
      </c>
      <c r="AF156" s="4">
        <v>32.25</v>
      </c>
      <c r="AG156" s="4">
        <v>13.42</v>
      </c>
      <c r="AH156" s="4">
        <v>7.6</v>
      </c>
      <c r="AI156" s="4">
        <v>11.57</v>
      </c>
      <c r="AJ156" s="4">
        <v>3.95</v>
      </c>
      <c r="AK156" s="4">
        <v>6.8</v>
      </c>
      <c r="AL156" s="4">
        <f t="shared" si="1"/>
        <v>75.59</v>
      </c>
      <c r="AN156" s="4">
        <v>154</v>
      </c>
      <c r="AO156" s="4" t="s">
        <v>419</v>
      </c>
      <c r="AP156" s="4">
        <v>309</v>
      </c>
      <c r="AQ156" s="4">
        <v>72.219999999999985</v>
      </c>
      <c r="AR156" s="4" t="s">
        <v>270</v>
      </c>
    </row>
    <row r="157" spans="1:44" ht="15.75" customHeight="1" x14ac:dyDescent="0.3">
      <c r="A157" s="4" t="s">
        <v>522</v>
      </c>
      <c r="B157" s="117">
        <v>2522</v>
      </c>
      <c r="C157" s="4">
        <v>81.5</v>
      </c>
      <c r="AC157" s="4">
        <v>155</v>
      </c>
      <c r="AD157" s="4" t="s">
        <v>378</v>
      </c>
      <c r="AE157" s="4">
        <v>1146</v>
      </c>
      <c r="AF157" s="4">
        <v>23.24</v>
      </c>
      <c r="AG157" s="4">
        <v>13.67</v>
      </c>
      <c r="AH157" s="4">
        <v>7</v>
      </c>
      <c r="AI157" s="4">
        <v>10.5</v>
      </c>
      <c r="AJ157" s="4">
        <v>3.5</v>
      </c>
      <c r="AK157" s="4">
        <v>7</v>
      </c>
      <c r="AL157" s="4">
        <f t="shared" si="1"/>
        <v>64.91</v>
      </c>
      <c r="AN157" s="4">
        <v>155</v>
      </c>
      <c r="AO157" s="4" t="s">
        <v>358</v>
      </c>
      <c r="AP157" s="4">
        <v>1057</v>
      </c>
      <c r="AQ157" s="4">
        <v>72.59</v>
      </c>
      <c r="AR157" s="4" t="s">
        <v>270</v>
      </c>
    </row>
    <row r="158" spans="1:44" ht="15.75" customHeight="1" x14ac:dyDescent="0.3">
      <c r="A158" s="4" t="s">
        <v>522</v>
      </c>
      <c r="B158" s="116">
        <v>1244</v>
      </c>
      <c r="C158" s="4">
        <v>82.660000000000011</v>
      </c>
      <c r="AC158" s="4">
        <v>156</v>
      </c>
      <c r="AD158" s="4" t="s">
        <v>482</v>
      </c>
      <c r="AE158" s="4">
        <v>1151</v>
      </c>
      <c r="AF158" s="4">
        <v>31.51</v>
      </c>
      <c r="AG158" s="4">
        <v>9.35</v>
      </c>
      <c r="AH158" s="4">
        <v>8.4499999999999993</v>
      </c>
      <c r="AI158" s="4">
        <v>13.21</v>
      </c>
      <c r="AJ158" s="4">
        <v>4.75</v>
      </c>
      <c r="AK158" s="4">
        <v>8.5</v>
      </c>
      <c r="AL158" s="4">
        <f t="shared" si="1"/>
        <v>75.77000000000001</v>
      </c>
      <c r="AN158" s="4">
        <v>156</v>
      </c>
      <c r="AO158" s="4" t="s">
        <v>430</v>
      </c>
      <c r="AP158" s="4">
        <v>2462</v>
      </c>
      <c r="AQ158" s="4">
        <v>72.8</v>
      </c>
      <c r="AR158" s="4" t="s">
        <v>270</v>
      </c>
    </row>
    <row r="159" spans="1:44" ht="15.75" customHeight="1" x14ac:dyDescent="0.3">
      <c r="A159" s="4" t="s">
        <v>522</v>
      </c>
      <c r="B159" s="122">
        <v>1393</v>
      </c>
      <c r="C159" s="4">
        <v>83.089999999999989</v>
      </c>
      <c r="AC159" s="4">
        <v>157</v>
      </c>
      <c r="AD159" s="4" t="s">
        <v>492</v>
      </c>
      <c r="AE159" s="4">
        <v>319</v>
      </c>
      <c r="AF159" s="4">
        <v>32.479999999999997</v>
      </c>
      <c r="AG159" s="4">
        <v>13.4</v>
      </c>
      <c r="AH159" s="4">
        <v>5.0599999999999996</v>
      </c>
      <c r="AI159" s="4">
        <v>10.71</v>
      </c>
      <c r="AJ159" s="4">
        <v>3.5</v>
      </c>
      <c r="AK159" s="4">
        <v>7.95</v>
      </c>
      <c r="AL159" s="4">
        <f t="shared" si="1"/>
        <v>73.100000000000009</v>
      </c>
      <c r="AN159" s="4">
        <v>157</v>
      </c>
      <c r="AO159" s="4" t="s">
        <v>497</v>
      </c>
      <c r="AP159" s="4">
        <v>2581</v>
      </c>
      <c r="AQ159" s="4">
        <v>72.87</v>
      </c>
      <c r="AR159" s="4" t="s">
        <v>270</v>
      </c>
    </row>
    <row r="160" spans="1:44" ht="15.75" customHeight="1" x14ac:dyDescent="0.3">
      <c r="AC160" s="4">
        <v>158</v>
      </c>
      <c r="AD160" s="4" t="s">
        <v>419</v>
      </c>
      <c r="AE160" s="4">
        <v>309</v>
      </c>
      <c r="AF160" s="4">
        <v>26.08</v>
      </c>
      <c r="AG160" s="4">
        <v>14.97</v>
      </c>
      <c r="AH160" s="4">
        <v>6.31</v>
      </c>
      <c r="AI160" s="4">
        <v>13.15</v>
      </c>
      <c r="AJ160" s="4">
        <v>4.25</v>
      </c>
      <c r="AK160" s="4">
        <v>7.46</v>
      </c>
      <c r="AL160" s="4">
        <f t="shared" si="1"/>
        <v>72.219999999999985</v>
      </c>
      <c r="AN160" s="4">
        <v>158</v>
      </c>
      <c r="AO160" s="4" t="s">
        <v>492</v>
      </c>
      <c r="AP160" s="4">
        <v>319</v>
      </c>
      <c r="AQ160" s="4">
        <v>73.100000000000009</v>
      </c>
      <c r="AR160" s="4" t="s">
        <v>270</v>
      </c>
    </row>
    <row r="161" spans="29:44" ht="15.75" customHeight="1" x14ac:dyDescent="0.3">
      <c r="AC161" s="4">
        <v>159</v>
      </c>
      <c r="AD161" s="4" t="s">
        <v>313</v>
      </c>
      <c r="AE161" s="4">
        <v>350</v>
      </c>
      <c r="AF161" s="4">
        <v>19.32</v>
      </c>
      <c r="AG161" s="4">
        <v>4.95</v>
      </c>
      <c r="AH161" s="4">
        <v>7.66</v>
      </c>
      <c r="AI161" s="4">
        <v>12.75</v>
      </c>
      <c r="AJ161" s="4">
        <v>4.25</v>
      </c>
      <c r="AK161" s="4">
        <v>8.41</v>
      </c>
      <c r="AL161" s="4">
        <f t="shared" si="1"/>
        <v>57.34</v>
      </c>
      <c r="AN161" s="4">
        <v>159</v>
      </c>
      <c r="AO161" s="4" t="s">
        <v>377</v>
      </c>
      <c r="AP161" s="4">
        <v>1211</v>
      </c>
      <c r="AQ161" s="4">
        <v>73.259999999999991</v>
      </c>
      <c r="AR161" s="4" t="s">
        <v>270</v>
      </c>
    </row>
    <row r="162" spans="29:44" ht="15.75" customHeight="1" x14ac:dyDescent="0.3">
      <c r="AC162" s="4">
        <v>160</v>
      </c>
      <c r="AD162" s="4" t="s">
        <v>404</v>
      </c>
      <c r="AE162" s="4">
        <v>63</v>
      </c>
      <c r="AF162" s="4">
        <v>24.78</v>
      </c>
      <c r="AG162" s="4">
        <v>14.94</v>
      </c>
      <c r="AH162" s="4">
        <v>8.6999999999999993</v>
      </c>
      <c r="AI162" s="4">
        <v>12.75</v>
      </c>
      <c r="AJ162" s="4">
        <v>4.75</v>
      </c>
      <c r="AK162" s="4">
        <v>7.7</v>
      </c>
      <c r="AL162" s="4">
        <f t="shared" si="1"/>
        <v>73.62</v>
      </c>
      <c r="AN162" s="4">
        <v>160</v>
      </c>
      <c r="AO162" s="4" t="s">
        <v>484</v>
      </c>
      <c r="AP162" s="4">
        <v>1554</v>
      </c>
      <c r="AQ162" s="4">
        <v>73.460000000000008</v>
      </c>
      <c r="AR162" s="4" t="s">
        <v>270</v>
      </c>
    </row>
    <row r="163" spans="29:44" ht="15.75" customHeight="1" x14ac:dyDescent="0.3">
      <c r="AC163" s="4">
        <v>161</v>
      </c>
      <c r="AD163" s="4" t="s">
        <v>494</v>
      </c>
      <c r="AE163" s="4">
        <v>777</v>
      </c>
      <c r="AF163" s="4">
        <v>32.61</v>
      </c>
      <c r="AG163" s="4">
        <v>11.01</v>
      </c>
      <c r="AH163" s="4">
        <v>6</v>
      </c>
      <c r="AI163" s="4">
        <v>12.12</v>
      </c>
      <c r="AJ163" s="4">
        <v>3.4</v>
      </c>
      <c r="AK163" s="4">
        <v>6.35</v>
      </c>
      <c r="AL163" s="4">
        <f t="shared" si="1"/>
        <v>71.489999999999995</v>
      </c>
      <c r="AN163" s="4">
        <v>161</v>
      </c>
      <c r="AO163" s="4" t="s">
        <v>338</v>
      </c>
      <c r="AP163" s="4">
        <v>1499</v>
      </c>
      <c r="AQ163" s="4">
        <v>73.600000000000009</v>
      </c>
      <c r="AR163" s="4" t="s">
        <v>270</v>
      </c>
    </row>
    <row r="164" spans="29:44" ht="15.75" customHeight="1" x14ac:dyDescent="0.3">
      <c r="AC164" s="4">
        <v>162</v>
      </c>
      <c r="AD164" s="4" t="s">
        <v>488</v>
      </c>
      <c r="AE164" s="4">
        <v>80</v>
      </c>
      <c r="AF164" s="4">
        <v>32</v>
      </c>
      <c r="AG164" s="4">
        <v>5.29</v>
      </c>
      <c r="AH164" s="4">
        <v>3.8</v>
      </c>
      <c r="AI164" s="4">
        <v>12.75</v>
      </c>
      <c r="AJ164" s="4">
        <v>4.25</v>
      </c>
      <c r="AK164" s="4">
        <v>6.7</v>
      </c>
      <c r="AL164" s="4">
        <f t="shared" si="1"/>
        <v>64.789999999999992</v>
      </c>
      <c r="AN164" s="4">
        <v>162</v>
      </c>
      <c r="AO164" s="4" t="s">
        <v>404</v>
      </c>
      <c r="AP164" s="4">
        <v>63</v>
      </c>
      <c r="AQ164" s="4">
        <v>73.62</v>
      </c>
      <c r="AR164" s="4" t="s">
        <v>270</v>
      </c>
    </row>
    <row r="165" spans="29:44" ht="15.75" customHeight="1" x14ac:dyDescent="0.3">
      <c r="AC165" s="4">
        <v>163</v>
      </c>
      <c r="AD165" s="4" t="s">
        <v>425</v>
      </c>
      <c r="AE165" s="4">
        <v>190</v>
      </c>
      <c r="AF165" s="4">
        <v>26.75</v>
      </c>
      <c r="AG165" s="4">
        <v>14.63</v>
      </c>
      <c r="AH165" s="4">
        <v>4.3</v>
      </c>
      <c r="AI165" s="4">
        <v>9.3000000000000007</v>
      </c>
      <c r="AJ165" s="4">
        <v>3.5</v>
      </c>
      <c r="AK165" s="4">
        <v>3</v>
      </c>
      <c r="AL165" s="4">
        <f t="shared" si="1"/>
        <v>61.480000000000004</v>
      </c>
      <c r="AN165" s="4">
        <v>163</v>
      </c>
      <c r="AO165" s="4" t="s">
        <v>310</v>
      </c>
      <c r="AP165" s="4">
        <v>2188</v>
      </c>
      <c r="AQ165" s="4">
        <v>73.72</v>
      </c>
      <c r="AR165" s="4" t="s">
        <v>270</v>
      </c>
    </row>
    <row r="166" spans="29:44" ht="15.75" customHeight="1" x14ac:dyDescent="0.3">
      <c r="AC166" s="4">
        <v>164</v>
      </c>
      <c r="AD166" s="4" t="s">
        <v>281</v>
      </c>
      <c r="AE166" s="4">
        <v>151</v>
      </c>
      <c r="AF166" s="4">
        <v>12.05</v>
      </c>
      <c r="AG166" s="4">
        <v>13.64</v>
      </c>
      <c r="AH166" s="4">
        <v>7</v>
      </c>
      <c r="AI166" s="4">
        <v>10.5</v>
      </c>
      <c r="AJ166" s="4">
        <v>3.5</v>
      </c>
      <c r="AK166" s="4">
        <v>3</v>
      </c>
      <c r="AL166" s="4">
        <f t="shared" si="1"/>
        <v>49.69</v>
      </c>
      <c r="AN166" s="4">
        <v>164</v>
      </c>
      <c r="AO166" s="4" t="s">
        <v>297</v>
      </c>
      <c r="AP166" s="4">
        <v>1086</v>
      </c>
      <c r="AQ166" s="4">
        <v>73.820000000000007</v>
      </c>
      <c r="AR166" s="4" t="s">
        <v>270</v>
      </c>
    </row>
    <row r="167" spans="29:44" ht="15.75" customHeight="1" x14ac:dyDescent="0.3">
      <c r="AC167" s="4">
        <v>165</v>
      </c>
      <c r="AD167" s="4" t="s">
        <v>302</v>
      </c>
      <c r="AE167" s="4">
        <v>62</v>
      </c>
      <c r="AF167" s="4">
        <v>15.95</v>
      </c>
      <c r="AG167" s="4">
        <v>12.99</v>
      </c>
      <c r="AH167" s="4">
        <v>7.41</v>
      </c>
      <c r="AI167" s="4">
        <v>12.75</v>
      </c>
      <c r="AJ167" s="4">
        <v>3.95</v>
      </c>
      <c r="AK167" s="4">
        <v>3</v>
      </c>
      <c r="AL167" s="4">
        <f t="shared" si="1"/>
        <v>56.05</v>
      </c>
      <c r="AN167" s="4">
        <v>165</v>
      </c>
      <c r="AO167" s="4" t="s">
        <v>460</v>
      </c>
      <c r="AP167" s="4">
        <v>332</v>
      </c>
      <c r="AQ167" s="4">
        <v>74.88</v>
      </c>
      <c r="AR167" s="4" t="s">
        <v>270</v>
      </c>
    </row>
    <row r="168" spans="29:44" ht="15.75" customHeight="1" x14ac:dyDescent="0.3">
      <c r="AC168" s="4">
        <v>166</v>
      </c>
      <c r="AD168" s="4" t="s">
        <v>462</v>
      </c>
      <c r="AE168" s="4">
        <v>696</v>
      </c>
      <c r="AF168" s="4">
        <v>29.64</v>
      </c>
      <c r="AG168" s="4">
        <v>14.5</v>
      </c>
      <c r="AH168" s="4">
        <v>7.41</v>
      </c>
      <c r="AI168" s="4">
        <v>4.5</v>
      </c>
      <c r="AJ168" s="4">
        <v>1.5</v>
      </c>
      <c r="AK168" s="4">
        <v>8.5</v>
      </c>
      <c r="AL168" s="4">
        <f t="shared" si="1"/>
        <v>66.05</v>
      </c>
      <c r="AN168" s="4">
        <v>166</v>
      </c>
      <c r="AO168" s="4" t="s">
        <v>294</v>
      </c>
      <c r="AP168" s="4">
        <v>1637</v>
      </c>
      <c r="AQ168" s="4">
        <v>74.990000000000009</v>
      </c>
      <c r="AR168" s="4" t="s">
        <v>270</v>
      </c>
    </row>
    <row r="169" spans="29:44" ht="15.75" customHeight="1" x14ac:dyDescent="0.3">
      <c r="AC169" s="4">
        <v>167</v>
      </c>
      <c r="AD169" s="4" t="s">
        <v>446</v>
      </c>
      <c r="AE169" s="4">
        <v>598</v>
      </c>
      <c r="AF169" s="4">
        <v>27.75</v>
      </c>
      <c r="AG169" s="4">
        <v>14.38</v>
      </c>
      <c r="AH169" s="4">
        <v>7.41</v>
      </c>
      <c r="AI169" s="4">
        <v>12.75</v>
      </c>
      <c r="AJ169" s="4">
        <v>4.25</v>
      </c>
      <c r="AK169" s="4">
        <v>8.5</v>
      </c>
      <c r="AL169" s="4">
        <f t="shared" si="1"/>
        <v>75.040000000000006</v>
      </c>
      <c r="AN169" s="4">
        <v>167</v>
      </c>
      <c r="AO169" s="4" t="s">
        <v>446</v>
      </c>
      <c r="AP169" s="4">
        <v>598</v>
      </c>
      <c r="AQ169" s="4">
        <v>75.040000000000006</v>
      </c>
      <c r="AR169" s="4" t="s">
        <v>270</v>
      </c>
    </row>
    <row r="170" spans="29:44" ht="15.75" customHeight="1" x14ac:dyDescent="0.3">
      <c r="AC170" s="4">
        <v>168</v>
      </c>
      <c r="AD170" s="4" t="s">
        <v>475</v>
      </c>
      <c r="AE170" s="4">
        <v>445</v>
      </c>
      <c r="AF170" s="4">
        <v>30.65</v>
      </c>
      <c r="AG170" s="4">
        <v>14.63</v>
      </c>
      <c r="AH170" s="4">
        <v>7.41</v>
      </c>
      <c r="AI170" s="4">
        <v>12.45</v>
      </c>
      <c r="AJ170" s="4">
        <v>3.5</v>
      </c>
      <c r="AK170" s="4">
        <v>8.5</v>
      </c>
      <c r="AL170" s="4">
        <f t="shared" si="1"/>
        <v>77.14</v>
      </c>
      <c r="AN170" s="4">
        <v>168</v>
      </c>
      <c r="AO170" s="4" t="s">
        <v>371</v>
      </c>
      <c r="AP170" s="4">
        <v>1812</v>
      </c>
      <c r="AQ170" s="4">
        <v>75.22</v>
      </c>
      <c r="AR170" s="4" t="s">
        <v>270</v>
      </c>
    </row>
    <row r="171" spans="29:44" ht="15.75" customHeight="1" x14ac:dyDescent="0.3">
      <c r="AC171" s="4">
        <v>169</v>
      </c>
      <c r="AD171" s="4" t="s">
        <v>459</v>
      </c>
      <c r="AE171" s="4">
        <v>64</v>
      </c>
      <c r="AF171" s="4">
        <v>28.94</v>
      </c>
      <c r="AG171" s="4">
        <v>14.1</v>
      </c>
      <c r="AH171" s="4">
        <v>4.0999999999999996</v>
      </c>
      <c r="AI171" s="4">
        <v>4.5</v>
      </c>
      <c r="AJ171" s="4">
        <v>2.7</v>
      </c>
      <c r="AK171" s="4">
        <v>3</v>
      </c>
      <c r="AL171" s="4">
        <f t="shared" si="1"/>
        <v>57.34</v>
      </c>
      <c r="AN171" s="4">
        <v>169</v>
      </c>
      <c r="AO171" s="4" t="s">
        <v>312</v>
      </c>
      <c r="AP171" s="4">
        <v>1239</v>
      </c>
      <c r="AQ171" s="4">
        <v>75.42</v>
      </c>
      <c r="AR171" s="4" t="s">
        <v>270</v>
      </c>
    </row>
    <row r="172" spans="29:44" ht="15.75" customHeight="1" x14ac:dyDescent="0.3">
      <c r="AC172" s="4">
        <v>170</v>
      </c>
      <c r="AD172" s="4" t="s">
        <v>365</v>
      </c>
      <c r="AE172" s="4">
        <v>695</v>
      </c>
      <c r="AF172" s="4">
        <v>22.73</v>
      </c>
      <c r="AG172" s="4">
        <v>14.96</v>
      </c>
      <c r="AH172" s="4">
        <v>6.88</v>
      </c>
      <c r="AI172" s="4">
        <v>9.68</v>
      </c>
      <c r="AJ172" s="4">
        <v>2.9</v>
      </c>
      <c r="AK172" s="4">
        <v>6.1</v>
      </c>
      <c r="AL172" s="4">
        <f t="shared" si="1"/>
        <v>63.25</v>
      </c>
      <c r="AN172" s="4">
        <v>170</v>
      </c>
      <c r="AO172" s="4" t="s">
        <v>489</v>
      </c>
      <c r="AP172" s="4">
        <v>2721</v>
      </c>
      <c r="AQ172" s="4">
        <v>75.59</v>
      </c>
      <c r="AR172" s="4" t="s">
        <v>270</v>
      </c>
    </row>
    <row r="173" spans="29:44" ht="15.75" customHeight="1" x14ac:dyDescent="0.3">
      <c r="AC173" s="4">
        <v>171</v>
      </c>
      <c r="AD173" s="4" t="s">
        <v>386</v>
      </c>
      <c r="AE173" s="4">
        <v>463</v>
      </c>
      <c r="AF173" s="4">
        <v>23.63</v>
      </c>
      <c r="AG173" s="4">
        <v>5.15</v>
      </c>
      <c r="AH173" s="4">
        <v>5.36</v>
      </c>
      <c r="AI173" s="4">
        <v>8.5299999999999994</v>
      </c>
      <c r="AJ173" s="4">
        <v>3.35</v>
      </c>
      <c r="AK173" s="4">
        <v>7.9</v>
      </c>
      <c r="AL173" s="4">
        <f t="shared" si="1"/>
        <v>53.92</v>
      </c>
      <c r="AN173" s="4">
        <v>171</v>
      </c>
      <c r="AO173" s="4" t="s">
        <v>482</v>
      </c>
      <c r="AP173" s="4">
        <v>1151</v>
      </c>
      <c r="AQ173" s="4">
        <v>75.77000000000001</v>
      </c>
      <c r="AR173" s="4" t="s">
        <v>270</v>
      </c>
    </row>
    <row r="174" spans="29:44" ht="15.75" customHeight="1" x14ac:dyDescent="0.3">
      <c r="AC174" s="4">
        <v>172</v>
      </c>
      <c r="AD174" s="4" t="s">
        <v>478</v>
      </c>
      <c r="AE174" s="4">
        <v>296</v>
      </c>
      <c r="AF174" s="4">
        <v>30.77</v>
      </c>
      <c r="AG174" s="4">
        <v>7.71</v>
      </c>
      <c r="AH174" s="4">
        <v>4.33</v>
      </c>
      <c r="AI174" s="4">
        <v>8.84</v>
      </c>
      <c r="AJ174" s="4">
        <v>3.93</v>
      </c>
      <c r="AK174" s="4">
        <v>3.2</v>
      </c>
      <c r="AL174" s="4">
        <f t="shared" si="1"/>
        <v>58.779999999999994</v>
      </c>
      <c r="AN174" s="4">
        <v>172</v>
      </c>
      <c r="AO174" s="4" t="s">
        <v>280</v>
      </c>
      <c r="AP174" s="4">
        <v>1370</v>
      </c>
      <c r="AQ174" s="4">
        <v>76.819999999999993</v>
      </c>
      <c r="AR174" s="4" t="s">
        <v>270</v>
      </c>
    </row>
    <row r="175" spans="29:44" ht="15.75" customHeight="1" x14ac:dyDescent="0.3">
      <c r="AC175" s="4">
        <v>173</v>
      </c>
      <c r="AD175" s="4" t="s">
        <v>497</v>
      </c>
      <c r="AE175" s="4">
        <v>2581</v>
      </c>
      <c r="AF175" s="4">
        <v>32.97</v>
      </c>
      <c r="AG175" s="4">
        <v>13.4</v>
      </c>
      <c r="AH175" s="4">
        <v>7</v>
      </c>
      <c r="AI175" s="4">
        <v>9</v>
      </c>
      <c r="AJ175" s="4">
        <v>3.5</v>
      </c>
      <c r="AK175" s="4">
        <v>7</v>
      </c>
      <c r="AL175" s="4">
        <f t="shared" si="1"/>
        <v>72.87</v>
      </c>
      <c r="AN175" s="4">
        <v>173</v>
      </c>
      <c r="AO175" s="4" t="s">
        <v>361</v>
      </c>
      <c r="AP175" s="4">
        <v>1449</v>
      </c>
      <c r="AQ175" s="4">
        <v>76.89</v>
      </c>
      <c r="AR175" s="4" t="s">
        <v>270</v>
      </c>
    </row>
    <row r="176" spans="29:44" ht="15.75" customHeight="1" x14ac:dyDescent="0.3">
      <c r="AC176" s="4">
        <v>174</v>
      </c>
      <c r="AD176" s="4" t="s">
        <v>420</v>
      </c>
      <c r="AE176" s="4">
        <v>876</v>
      </c>
      <c r="AF176" s="4">
        <v>26.13</v>
      </c>
      <c r="AG176" s="4">
        <v>12.13</v>
      </c>
      <c r="AH176" s="4">
        <v>3</v>
      </c>
      <c r="AI176" s="4">
        <v>6.5</v>
      </c>
      <c r="AJ176" s="4">
        <v>1.5</v>
      </c>
      <c r="AK176" s="4">
        <v>3</v>
      </c>
      <c r="AL176" s="4">
        <f t="shared" si="1"/>
        <v>52.26</v>
      </c>
      <c r="AN176" s="4">
        <v>174</v>
      </c>
      <c r="AO176" s="4" t="s">
        <v>475</v>
      </c>
      <c r="AP176" s="4">
        <v>445</v>
      </c>
      <c r="AQ176" s="4">
        <v>77.14</v>
      </c>
      <c r="AR176" s="4" t="s">
        <v>270</v>
      </c>
    </row>
    <row r="177" spans="29:44" ht="15.75" customHeight="1" x14ac:dyDescent="0.3">
      <c r="AC177" s="4">
        <v>175</v>
      </c>
      <c r="AD177" s="4" t="s">
        <v>502</v>
      </c>
      <c r="AE177" s="4">
        <v>148</v>
      </c>
      <c r="AF177" s="4">
        <v>29.82</v>
      </c>
      <c r="AG177" s="4">
        <v>13.38</v>
      </c>
      <c r="AH177" s="4">
        <v>6</v>
      </c>
      <c r="AI177" s="4">
        <v>6.5</v>
      </c>
      <c r="AJ177" s="4">
        <v>3.1</v>
      </c>
      <c r="AK177" s="4">
        <v>3.4</v>
      </c>
      <c r="AL177" s="4">
        <f t="shared" si="1"/>
        <v>62.2</v>
      </c>
      <c r="AN177" s="4">
        <v>175</v>
      </c>
      <c r="AO177" s="4" t="s">
        <v>325</v>
      </c>
      <c r="AP177" s="4">
        <v>1244</v>
      </c>
      <c r="AQ177" s="4">
        <v>77.930000000000007</v>
      </c>
      <c r="AR177" s="4" t="s">
        <v>270</v>
      </c>
    </row>
    <row r="178" spans="29:44" ht="15.75" customHeight="1" x14ac:dyDescent="0.3">
      <c r="AC178" s="4">
        <v>176</v>
      </c>
      <c r="AD178" s="4" t="s">
        <v>504</v>
      </c>
      <c r="AE178" s="4">
        <v>1046</v>
      </c>
      <c r="AF178" s="4">
        <v>30</v>
      </c>
      <c r="AG178" s="4">
        <v>9.64</v>
      </c>
      <c r="AH178" s="4">
        <v>7</v>
      </c>
      <c r="AI178" s="4">
        <v>12.63</v>
      </c>
      <c r="AJ178" s="4">
        <v>3.5</v>
      </c>
      <c r="AK178" s="4">
        <v>7</v>
      </c>
      <c r="AL178" s="4">
        <f t="shared" si="1"/>
        <v>69.77000000000001</v>
      </c>
      <c r="AN178" s="4">
        <v>176</v>
      </c>
      <c r="AO178" s="4" t="s">
        <v>327</v>
      </c>
      <c r="AP178" s="4">
        <v>1393</v>
      </c>
      <c r="AQ178" s="4">
        <v>78.069999999999993</v>
      </c>
      <c r="AR178" s="4" t="s">
        <v>270</v>
      </c>
    </row>
    <row r="179" spans="29:44" ht="15.75" customHeight="1" x14ac:dyDescent="0.3">
      <c r="AC179" s="4">
        <v>177</v>
      </c>
      <c r="AD179" s="4" t="s">
        <v>506</v>
      </c>
      <c r="AE179" s="4">
        <v>367</v>
      </c>
      <c r="AF179" s="4">
        <v>20.94</v>
      </c>
      <c r="AG179" s="4">
        <v>11.4</v>
      </c>
      <c r="AH179" s="4">
        <v>7</v>
      </c>
      <c r="AI179" s="4">
        <v>12.63</v>
      </c>
      <c r="AJ179" s="4">
        <v>3.5</v>
      </c>
      <c r="AK179" s="4">
        <v>3</v>
      </c>
      <c r="AL179" s="4">
        <f t="shared" si="1"/>
        <v>58.470000000000006</v>
      </c>
      <c r="AN179" s="4">
        <v>177</v>
      </c>
      <c r="AO179" s="4" t="s">
        <v>301</v>
      </c>
      <c r="AP179" s="4">
        <v>1867</v>
      </c>
      <c r="AQ179" s="4">
        <v>78.72</v>
      </c>
      <c r="AR179" s="4" t="s">
        <v>270</v>
      </c>
    </row>
    <row r="180" spans="29:44" ht="15.75" customHeight="1" x14ac:dyDescent="0.3">
      <c r="AC180" s="4">
        <v>178</v>
      </c>
      <c r="AD180" s="4" t="s">
        <v>346</v>
      </c>
      <c r="AE180" s="4">
        <v>1372</v>
      </c>
      <c r="AF180" s="4">
        <v>21.51</v>
      </c>
      <c r="AG180" s="4">
        <v>8.18</v>
      </c>
      <c r="AH180" s="4">
        <v>7</v>
      </c>
      <c r="AI180" s="4">
        <v>12.63</v>
      </c>
      <c r="AJ180" s="4">
        <v>3.5</v>
      </c>
      <c r="AK180" s="4">
        <v>7</v>
      </c>
      <c r="AL180" s="4">
        <f t="shared" si="1"/>
        <v>59.82</v>
      </c>
      <c r="AN180" s="4">
        <v>178</v>
      </c>
      <c r="AO180" s="4" t="s">
        <v>322</v>
      </c>
      <c r="AP180" s="4">
        <v>1879</v>
      </c>
      <c r="AQ180" s="4">
        <v>79.739999999999995</v>
      </c>
      <c r="AR180" s="4" t="s">
        <v>270</v>
      </c>
    </row>
    <row r="181" spans="29:44" ht="15.75" customHeight="1" x14ac:dyDescent="0.3"/>
    <row r="182" spans="29:44" ht="15.75" customHeight="1" x14ac:dyDescent="0.3"/>
    <row r="183" spans="29:44" ht="15.75" customHeight="1" x14ac:dyDescent="0.3"/>
    <row r="184" spans="29:44" ht="15.75" customHeight="1" x14ac:dyDescent="0.3"/>
    <row r="185" spans="29:44" ht="15.75" customHeight="1" x14ac:dyDescent="0.3"/>
    <row r="186" spans="29:44" ht="15.75" customHeight="1" x14ac:dyDescent="0.3"/>
    <row r="187" spans="29:44" ht="15.75" customHeight="1" x14ac:dyDescent="0.3"/>
    <row r="188" spans="29:44" ht="15.75" customHeight="1" x14ac:dyDescent="0.3"/>
    <row r="189" spans="29:44" ht="15.75" customHeight="1" x14ac:dyDescent="0.3"/>
    <row r="190" spans="29:44" ht="15.75" customHeight="1" x14ac:dyDescent="0.3"/>
    <row r="191" spans="29:44" ht="15.75" customHeight="1" x14ac:dyDescent="0.3"/>
    <row r="192" spans="29:4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AO1000"/>
  <sheetViews>
    <sheetView workbookViewId="0"/>
  </sheetViews>
  <sheetFormatPr defaultColWidth="14.44140625" defaultRowHeight="15" customHeight="1" x14ac:dyDescent="0.3"/>
  <cols>
    <col min="1" max="2" width="8.6640625" customWidth="1"/>
    <col min="3" max="3" width="18.88671875" customWidth="1"/>
    <col min="4" max="24" width="8.6640625" customWidth="1"/>
    <col min="25" max="25" width="36.88671875" customWidth="1"/>
    <col min="26" max="26" width="8.6640625" hidden="1" customWidth="1"/>
    <col min="27" max="27" width="8.6640625" customWidth="1"/>
    <col min="28" max="28" width="12.109375" customWidth="1"/>
    <col min="29" max="29" width="15.33203125" customWidth="1"/>
    <col min="30" max="30" width="18.88671875" customWidth="1"/>
    <col min="31" max="31" width="12.109375" customWidth="1"/>
    <col min="32" max="32" width="14.6640625" customWidth="1"/>
    <col min="33" max="35" width="8.6640625" customWidth="1"/>
    <col min="36" max="36" width="12.109375" customWidth="1"/>
    <col min="37" max="37" width="15.33203125" customWidth="1"/>
    <col min="38" max="38" width="18.88671875" customWidth="1"/>
    <col min="39" max="39" width="12.109375" customWidth="1"/>
    <col min="40" max="40" width="14.6640625" customWidth="1"/>
    <col min="41" max="41" width="8.6640625" customWidth="1"/>
  </cols>
  <sheetData>
    <row r="1" spans="2:40" ht="14.4" x14ac:dyDescent="0.3">
      <c r="C1" s="3" t="s">
        <v>523</v>
      </c>
      <c r="D1" s="3" t="s">
        <v>524</v>
      </c>
      <c r="E1" s="3" t="s">
        <v>525</v>
      </c>
      <c r="F1" s="3" t="s">
        <v>526</v>
      </c>
      <c r="G1" s="3" t="s">
        <v>527</v>
      </c>
    </row>
    <row r="2" spans="2:40" ht="14.25" customHeight="1" x14ac:dyDescent="0.3">
      <c r="B2" s="109"/>
      <c r="C2" s="4" t="s">
        <v>528</v>
      </c>
      <c r="D2" s="109">
        <f>+AI181</f>
        <v>28.132069551481514</v>
      </c>
      <c r="E2" s="109">
        <v>45</v>
      </c>
      <c r="F2" s="109">
        <v>25</v>
      </c>
      <c r="G2" s="109">
        <v>35</v>
      </c>
      <c r="X2" s="130" t="s">
        <v>519</v>
      </c>
      <c r="Y2" s="130" t="s">
        <v>520</v>
      </c>
      <c r="Z2" s="130" t="s">
        <v>262</v>
      </c>
      <c r="AA2" s="130" t="s">
        <v>521</v>
      </c>
      <c r="AB2" s="130" t="s">
        <v>507</v>
      </c>
      <c r="AC2" s="130" t="s">
        <v>508</v>
      </c>
      <c r="AD2" s="130" t="s">
        <v>509</v>
      </c>
      <c r="AE2" s="130" t="s">
        <v>510</v>
      </c>
      <c r="AF2" s="130" t="s">
        <v>511</v>
      </c>
      <c r="AG2" s="130" t="s">
        <v>518</v>
      </c>
      <c r="AI2" s="130" t="s">
        <v>521</v>
      </c>
      <c r="AJ2" s="130" t="s">
        <v>507</v>
      </c>
      <c r="AK2" s="130" t="s">
        <v>508</v>
      </c>
      <c r="AL2" s="130" t="s">
        <v>509</v>
      </c>
      <c r="AM2" s="130" t="s">
        <v>510</v>
      </c>
      <c r="AN2" s="130" t="s">
        <v>511</v>
      </c>
    </row>
    <row r="3" spans="2:40" ht="14.25" customHeight="1" x14ac:dyDescent="0.3">
      <c r="B3" s="109"/>
      <c r="C3" s="4" t="s">
        <v>507</v>
      </c>
      <c r="D3" s="109">
        <f>+AJ181</f>
        <v>11.854102185151497</v>
      </c>
      <c r="E3" s="109">
        <v>15</v>
      </c>
      <c r="F3" s="109">
        <v>10</v>
      </c>
      <c r="G3" s="109">
        <v>12.5</v>
      </c>
      <c r="X3" s="4">
        <v>1</v>
      </c>
      <c r="Y3" s="131" t="s">
        <v>273</v>
      </c>
      <c r="Z3" s="4">
        <v>1000</v>
      </c>
      <c r="AA3" s="4">
        <v>30</v>
      </c>
      <c r="AB3" s="4">
        <v>9.6300000000000008</v>
      </c>
      <c r="AC3" s="4">
        <v>7.23</v>
      </c>
      <c r="AD3" s="4">
        <v>11.72</v>
      </c>
      <c r="AE3" s="4">
        <v>4.18</v>
      </c>
      <c r="AF3" s="4">
        <v>7</v>
      </c>
      <c r="AG3" s="4">
        <v>69.759999999999991</v>
      </c>
      <c r="AI3" s="132">
        <f t="shared" ref="AI3:AI180" si="0">+AA3*Z3/$Z$181</f>
        <v>0.17950313532143028</v>
      </c>
      <c r="AJ3" s="132">
        <f t="shared" ref="AJ3:AJ180" si="1">+AB3*Z3/$Z$181</f>
        <v>5.762050643817912E-2</v>
      </c>
      <c r="AK3" s="132">
        <f t="shared" ref="AK3:AK180" si="2">+AC3*Z3/$Z$181</f>
        <v>4.3260255612464694E-2</v>
      </c>
      <c r="AL3" s="132">
        <f t="shared" ref="AL3:AL180" si="3">+AD3*Z3/$Z$181</f>
        <v>7.0125891532238763E-2</v>
      </c>
      <c r="AM3" s="132">
        <f t="shared" ref="AM3:AM180" si="4">+AE3*Z3/$Z$181</f>
        <v>2.5010770188119286E-2</v>
      </c>
      <c r="AN3" s="132">
        <f t="shared" ref="AN3:AN180" si="5">+AF3*Z3/$Z$181</f>
        <v>4.1884064908333733E-2</v>
      </c>
    </row>
    <row r="4" spans="2:40" ht="14.25" customHeight="1" x14ac:dyDescent="0.3">
      <c r="B4" s="109"/>
      <c r="C4" s="4" t="s">
        <v>508</v>
      </c>
      <c r="D4" s="109">
        <f>+AK181</f>
        <v>6.2055456296969966</v>
      </c>
      <c r="E4" s="109">
        <v>10</v>
      </c>
      <c r="F4" s="109">
        <v>5</v>
      </c>
      <c r="G4" s="109">
        <v>7.5</v>
      </c>
      <c r="X4" s="4">
        <v>2</v>
      </c>
      <c r="Y4" s="131" t="s">
        <v>277</v>
      </c>
      <c r="Z4" s="4">
        <v>1403</v>
      </c>
      <c r="AA4" s="4">
        <v>21.53</v>
      </c>
      <c r="AB4" s="4">
        <v>14.91</v>
      </c>
      <c r="AC4" s="4">
        <v>8.5</v>
      </c>
      <c r="AD4" s="4">
        <v>11.1</v>
      </c>
      <c r="AE4" s="4">
        <v>4.25</v>
      </c>
      <c r="AF4" s="4">
        <v>6.55</v>
      </c>
      <c r="AG4" s="4">
        <v>66.84</v>
      </c>
      <c r="AI4" s="132">
        <f t="shared" si="0"/>
        <v>0.1807392537456321</v>
      </c>
      <c r="AJ4" s="132">
        <f t="shared" si="1"/>
        <v>0.12516592073141544</v>
      </c>
      <c r="AK4" s="132">
        <f t="shared" si="2"/>
        <v>7.135548800919056E-2</v>
      </c>
      <c r="AL4" s="132">
        <f t="shared" si="3"/>
        <v>9.3181872576707667E-2</v>
      </c>
      <c r="AM4" s="132">
        <f t="shared" si="4"/>
        <v>3.567774400459528E-2</v>
      </c>
      <c r="AN4" s="132">
        <f t="shared" si="5"/>
        <v>5.4985699583552726E-2</v>
      </c>
    </row>
    <row r="5" spans="2:40" ht="14.25" customHeight="1" x14ac:dyDescent="0.3">
      <c r="B5" s="109"/>
      <c r="C5" s="4" t="s">
        <v>509</v>
      </c>
      <c r="D5" s="109">
        <f>+AL181</f>
        <v>9.9658698721937693</v>
      </c>
      <c r="E5" s="109">
        <v>15</v>
      </c>
      <c r="F5" s="109">
        <v>7.5</v>
      </c>
      <c r="G5" s="109">
        <v>10</v>
      </c>
      <c r="X5" s="4">
        <v>3</v>
      </c>
      <c r="Y5" s="131" t="s">
        <v>280</v>
      </c>
      <c r="Z5" s="4">
        <v>1370</v>
      </c>
      <c r="AA5" s="4">
        <v>30.94</v>
      </c>
      <c r="AB5" s="4">
        <v>15</v>
      </c>
      <c r="AC5" s="4">
        <v>7.23</v>
      </c>
      <c r="AD5" s="4">
        <v>11.72</v>
      </c>
      <c r="AE5" s="4">
        <v>4.18</v>
      </c>
      <c r="AF5" s="4">
        <v>7.75</v>
      </c>
      <c r="AG5" s="4">
        <v>76.819999999999993</v>
      </c>
      <c r="AI5" s="132">
        <f t="shared" si="0"/>
        <v>0.25362476664592409</v>
      </c>
      <c r="AJ5" s="132">
        <f t="shared" si="1"/>
        <v>0.12295964769517974</v>
      </c>
      <c r="AK5" s="132">
        <f t="shared" si="2"/>
        <v>5.9266550189076637E-2</v>
      </c>
      <c r="AL5" s="132">
        <f t="shared" si="3"/>
        <v>9.6072471399167109E-2</v>
      </c>
      <c r="AM5" s="132">
        <f t="shared" si="4"/>
        <v>3.4264755157723419E-2</v>
      </c>
      <c r="AN5" s="132">
        <f t="shared" si="5"/>
        <v>6.3529151309176204E-2</v>
      </c>
    </row>
    <row r="6" spans="2:40" ht="14.25" customHeight="1" x14ac:dyDescent="0.3">
      <c r="B6" s="109"/>
      <c r="C6" s="4" t="s">
        <v>510</v>
      </c>
      <c r="D6" s="109">
        <f>+AM181</f>
        <v>3.4962514360250818</v>
      </c>
      <c r="E6" s="109">
        <v>5</v>
      </c>
      <c r="F6" s="109">
        <v>2.5</v>
      </c>
      <c r="G6" s="109">
        <v>5</v>
      </c>
      <c r="X6" s="4">
        <v>4</v>
      </c>
      <c r="Y6" s="131" t="s">
        <v>282</v>
      </c>
      <c r="Z6" s="4">
        <v>1787</v>
      </c>
      <c r="AA6" s="4">
        <v>27.97</v>
      </c>
      <c r="AB6" s="4">
        <v>12.78</v>
      </c>
      <c r="AC6" s="4">
        <v>4.1399999999999997</v>
      </c>
      <c r="AD6" s="4">
        <v>7.22</v>
      </c>
      <c r="AE6" s="4">
        <v>2.9</v>
      </c>
      <c r="AF6" s="4">
        <v>4.96</v>
      </c>
      <c r="AG6" s="4">
        <v>59.97</v>
      </c>
      <c r="AI6" s="132">
        <f t="shared" si="0"/>
        <v>0.2990665238619501</v>
      </c>
      <c r="AJ6" s="132">
        <f t="shared" si="1"/>
        <v>0.13664891580106267</v>
      </c>
      <c r="AK6" s="132">
        <f t="shared" si="2"/>
        <v>4.4266550189076631E-2</v>
      </c>
      <c r="AL6" s="132">
        <f t="shared" si="3"/>
        <v>7.7199152745201283E-2</v>
      </c>
      <c r="AM6" s="132">
        <f t="shared" si="4"/>
        <v>3.1007969939208273E-2</v>
      </c>
      <c r="AN6" s="132">
        <f t="shared" si="5"/>
        <v>5.3034320999473458E-2</v>
      </c>
    </row>
    <row r="7" spans="2:40" ht="14.25" customHeight="1" x14ac:dyDescent="0.3">
      <c r="B7" s="109"/>
      <c r="C7" s="4" t="s">
        <v>511</v>
      </c>
      <c r="D7" s="109">
        <f>+AN181</f>
        <v>6.1105783591020062</v>
      </c>
      <c r="E7" s="109">
        <v>10</v>
      </c>
      <c r="F7" s="109">
        <v>5</v>
      </c>
      <c r="G7" s="109">
        <v>7.5</v>
      </c>
      <c r="X7" s="4">
        <v>5</v>
      </c>
      <c r="Y7" s="131" t="s">
        <v>285</v>
      </c>
      <c r="Z7" s="4">
        <v>1096</v>
      </c>
      <c r="AA7" s="4">
        <v>25.69</v>
      </c>
      <c r="AB7" s="4">
        <v>13</v>
      </c>
      <c r="AC7" s="4">
        <v>6.15</v>
      </c>
      <c r="AD7" s="4">
        <v>9.64</v>
      </c>
      <c r="AE7" s="4">
        <v>3.8</v>
      </c>
      <c r="AF7" s="4">
        <v>7</v>
      </c>
      <c r="AG7" s="4">
        <v>65.28</v>
      </c>
      <c r="AI7" s="132">
        <f t="shared" si="0"/>
        <v>0.16847111196208894</v>
      </c>
      <c r="AJ7" s="132">
        <f t="shared" si="1"/>
        <v>8.5252022401991284E-2</v>
      </c>
      <c r="AK7" s="132">
        <f t="shared" si="2"/>
        <v>4.0330764444018959E-2</v>
      </c>
      <c r="AL7" s="132">
        <f t="shared" si="3"/>
        <v>6.3217653535015086E-2</v>
      </c>
      <c r="AM7" s="132">
        <f t="shared" si="4"/>
        <v>2.4919821932889764E-2</v>
      </c>
      <c r="AN7" s="132">
        <f t="shared" si="5"/>
        <v>4.5904935139533767E-2</v>
      </c>
    </row>
    <row r="8" spans="2:40" ht="14.25" customHeight="1" x14ac:dyDescent="0.3">
      <c r="B8" s="109"/>
      <c r="C8" s="4" t="s">
        <v>529</v>
      </c>
      <c r="D8" s="109">
        <f t="shared" ref="D8:G8" si="6">SUM(D2:D7)</f>
        <v>65.764417033650872</v>
      </c>
      <c r="E8" s="109">
        <f t="shared" si="6"/>
        <v>100</v>
      </c>
      <c r="F8" s="109">
        <f t="shared" si="6"/>
        <v>55</v>
      </c>
      <c r="G8" s="109">
        <f t="shared" si="6"/>
        <v>77.5</v>
      </c>
      <c r="X8" s="4">
        <v>6</v>
      </c>
      <c r="Y8" s="131" t="s">
        <v>287</v>
      </c>
      <c r="Z8" s="4">
        <v>1727</v>
      </c>
      <c r="AA8" s="4">
        <v>29.38</v>
      </c>
      <c r="AB8" s="4">
        <v>13.2</v>
      </c>
      <c r="AC8" s="4">
        <v>5.14</v>
      </c>
      <c r="AD8" s="4">
        <v>9.1300000000000008</v>
      </c>
      <c r="AE8" s="4">
        <v>3.33</v>
      </c>
      <c r="AF8" s="4">
        <v>5.7</v>
      </c>
      <c r="AG8" s="4">
        <v>65.88</v>
      </c>
      <c r="AI8" s="132">
        <f t="shared" si="0"/>
        <v>0.30359520846297444</v>
      </c>
      <c r="AJ8" s="132">
        <f t="shared" si="1"/>
        <v>0.13640084246804843</v>
      </c>
      <c r="AK8" s="132">
        <f t="shared" si="2"/>
        <v>5.3113661385285525E-2</v>
      </c>
      <c r="AL8" s="132">
        <f t="shared" si="3"/>
        <v>9.4343916040400183E-2</v>
      </c>
      <c r="AM8" s="132">
        <f t="shared" si="4"/>
        <v>3.4410212531712218E-2</v>
      </c>
      <c r="AN8" s="132">
        <f t="shared" si="5"/>
        <v>5.8900363793020917E-2</v>
      </c>
    </row>
    <row r="9" spans="2:40" ht="14.4" x14ac:dyDescent="0.3">
      <c r="X9" s="4">
        <v>7</v>
      </c>
      <c r="Y9" s="131" t="s">
        <v>289</v>
      </c>
      <c r="Z9" s="4">
        <v>1378</v>
      </c>
      <c r="AA9" s="4">
        <v>23.96</v>
      </c>
      <c r="AB9" s="4">
        <v>9</v>
      </c>
      <c r="AC9" s="4">
        <v>8.0500000000000007</v>
      </c>
      <c r="AD9" s="4">
        <v>11.19</v>
      </c>
      <c r="AE9" s="4">
        <v>3.5</v>
      </c>
      <c r="AF9" s="4">
        <v>7</v>
      </c>
      <c r="AG9" s="4">
        <v>62.7</v>
      </c>
      <c r="AI9" s="132">
        <f t="shared" si="0"/>
        <v>0.19755444928438087</v>
      </c>
      <c r="AJ9" s="132">
        <f t="shared" si="1"/>
        <v>7.4206596141879272E-2</v>
      </c>
      <c r="AK9" s="132">
        <f t="shared" si="2"/>
        <v>6.6373677660236469E-2</v>
      </c>
      <c r="AL9" s="132">
        <f t="shared" si="3"/>
        <v>9.2263534536403236E-2</v>
      </c>
      <c r="AM9" s="132">
        <f t="shared" si="4"/>
        <v>2.8858120721841941E-2</v>
      </c>
      <c r="AN9" s="132">
        <f t="shared" si="5"/>
        <v>5.7716241443683883E-2</v>
      </c>
    </row>
    <row r="10" spans="2:40" ht="14.25" customHeight="1" x14ac:dyDescent="0.3">
      <c r="X10" s="4">
        <v>8</v>
      </c>
      <c r="Y10" s="131" t="s">
        <v>291</v>
      </c>
      <c r="Z10" s="4">
        <v>1763</v>
      </c>
      <c r="AA10" s="4">
        <v>33.18</v>
      </c>
      <c r="AB10" s="4">
        <v>14.47</v>
      </c>
      <c r="AC10" s="4">
        <v>6.5</v>
      </c>
      <c r="AD10" s="4">
        <v>8</v>
      </c>
      <c r="AE10" s="4">
        <v>3.3</v>
      </c>
      <c r="AF10" s="4">
        <v>6.6</v>
      </c>
      <c r="AG10" s="4">
        <v>72.05</v>
      </c>
      <c r="AI10" s="132">
        <f t="shared" si="0"/>
        <v>0.3500092144942798</v>
      </c>
      <c r="AJ10" s="132">
        <f t="shared" si="1"/>
        <v>0.15264114929874109</v>
      </c>
      <c r="AK10" s="132">
        <f t="shared" si="2"/>
        <v>6.8567205973864342E-2</v>
      </c>
      <c r="AL10" s="132">
        <f t="shared" si="3"/>
        <v>8.4390407352448418E-2</v>
      </c>
      <c r="AM10" s="132">
        <f t="shared" si="4"/>
        <v>3.4811043032884972E-2</v>
      </c>
      <c r="AN10" s="132">
        <f t="shared" si="5"/>
        <v>6.9622086065769945E-2</v>
      </c>
    </row>
    <row r="11" spans="2:40" ht="14.4" x14ac:dyDescent="0.3">
      <c r="X11" s="4">
        <v>9</v>
      </c>
      <c r="Y11" s="131" t="s">
        <v>294</v>
      </c>
      <c r="Z11" s="4">
        <v>1637</v>
      </c>
      <c r="AA11" s="4">
        <v>32</v>
      </c>
      <c r="AB11" s="4">
        <v>12.5</v>
      </c>
      <c r="AC11" s="4">
        <v>7.29</v>
      </c>
      <c r="AD11" s="4">
        <v>11.49</v>
      </c>
      <c r="AE11" s="4">
        <v>4.03</v>
      </c>
      <c r="AF11" s="4">
        <v>7.68</v>
      </c>
      <c r="AG11" s="4">
        <v>74.990000000000009</v>
      </c>
      <c r="AI11" s="132">
        <f t="shared" si="0"/>
        <v>0.31343640802259348</v>
      </c>
      <c r="AJ11" s="132">
        <f t="shared" si="1"/>
        <v>0.12243609688382558</v>
      </c>
      <c r="AK11" s="132">
        <f t="shared" si="2"/>
        <v>7.1404731702647065E-2</v>
      </c>
      <c r="AL11" s="132">
        <f t="shared" si="3"/>
        <v>0.11254326025561247</v>
      </c>
      <c r="AM11" s="132">
        <f t="shared" si="4"/>
        <v>3.9473397635345367E-2</v>
      </c>
      <c r="AN11" s="132">
        <f t="shared" si="5"/>
        <v>7.5224737925422433E-2</v>
      </c>
    </row>
    <row r="12" spans="2:40" ht="14.4" x14ac:dyDescent="0.3">
      <c r="X12" s="4">
        <v>10</v>
      </c>
      <c r="Y12" s="131" t="s">
        <v>297</v>
      </c>
      <c r="Z12" s="4">
        <v>1086</v>
      </c>
      <c r="AA12" s="4">
        <v>30</v>
      </c>
      <c r="AB12" s="4">
        <v>13.42</v>
      </c>
      <c r="AC12" s="4">
        <v>7.71</v>
      </c>
      <c r="AD12" s="4">
        <v>11.42</v>
      </c>
      <c r="AE12" s="4">
        <v>3.88</v>
      </c>
      <c r="AF12" s="4">
        <v>7.39</v>
      </c>
      <c r="AG12" s="4">
        <v>73.820000000000007</v>
      </c>
      <c r="AI12" s="132">
        <f t="shared" si="0"/>
        <v>0.19494040495907328</v>
      </c>
      <c r="AJ12" s="132">
        <f t="shared" si="1"/>
        <v>8.7203341151692121E-2</v>
      </c>
      <c r="AK12" s="132">
        <f t="shared" si="2"/>
        <v>5.0099684074481829E-2</v>
      </c>
      <c r="AL12" s="132">
        <f t="shared" si="3"/>
        <v>7.420731415442057E-2</v>
      </c>
      <c r="AM12" s="132">
        <f t="shared" si="4"/>
        <v>2.5212292374706815E-2</v>
      </c>
      <c r="AN12" s="132">
        <f t="shared" si="5"/>
        <v>4.8020319754918384E-2</v>
      </c>
    </row>
    <row r="13" spans="2:40" ht="14.4" x14ac:dyDescent="0.3">
      <c r="X13" s="4">
        <v>11</v>
      </c>
      <c r="Y13" s="131" t="s">
        <v>299</v>
      </c>
      <c r="Z13" s="4">
        <v>1094</v>
      </c>
      <c r="AA13" s="4">
        <v>32.119999999999997</v>
      </c>
      <c r="AB13" s="4">
        <v>10.7</v>
      </c>
      <c r="AC13" s="4">
        <v>7</v>
      </c>
      <c r="AD13" s="4">
        <v>10.5</v>
      </c>
      <c r="AE13" s="4">
        <v>3.5</v>
      </c>
      <c r="AF13" s="4">
        <v>7</v>
      </c>
      <c r="AG13" s="4">
        <v>70.819999999999993</v>
      </c>
      <c r="AI13" s="132">
        <f t="shared" si="0"/>
        <v>0.2102536977645876</v>
      </c>
      <c r="AJ13" s="132">
        <f t="shared" si="1"/>
        <v>7.0040926714853277E-2</v>
      </c>
      <c r="AK13" s="132">
        <f t="shared" si="2"/>
        <v>4.5821167009717105E-2</v>
      </c>
      <c r="AL13" s="132">
        <f t="shared" si="3"/>
        <v>6.8731750514575654E-2</v>
      </c>
      <c r="AM13" s="132">
        <f t="shared" si="4"/>
        <v>2.2910583504858553E-2</v>
      </c>
      <c r="AN13" s="132">
        <f t="shared" si="5"/>
        <v>4.5821167009717105E-2</v>
      </c>
    </row>
    <row r="14" spans="2:40" ht="14.4" x14ac:dyDescent="0.3">
      <c r="X14" s="4">
        <v>12</v>
      </c>
      <c r="Y14" s="131" t="s">
        <v>301</v>
      </c>
      <c r="Z14" s="4">
        <v>1867</v>
      </c>
      <c r="AA14" s="4">
        <v>33.119999999999997</v>
      </c>
      <c r="AB14" s="4">
        <v>11.6</v>
      </c>
      <c r="AC14" s="4">
        <v>8.5</v>
      </c>
      <c r="AD14" s="4">
        <v>12.75</v>
      </c>
      <c r="AE14" s="4">
        <v>4.25</v>
      </c>
      <c r="AF14" s="4">
        <v>8.5</v>
      </c>
      <c r="AG14" s="4">
        <v>78.72</v>
      </c>
      <c r="AI14" s="132">
        <f t="shared" si="0"/>
        <v>0.36998611842420176</v>
      </c>
      <c r="AJ14" s="132">
        <f t="shared" si="1"/>
        <v>0.12958451007610933</v>
      </c>
      <c r="AK14" s="132">
        <f t="shared" si="2"/>
        <v>9.4954166866114589E-2</v>
      </c>
      <c r="AL14" s="132">
        <f t="shared" si="3"/>
        <v>0.14243125029917189</v>
      </c>
      <c r="AM14" s="132">
        <f t="shared" si="4"/>
        <v>4.7477083433057295E-2</v>
      </c>
      <c r="AN14" s="132">
        <f t="shared" si="5"/>
        <v>9.4954166866114589E-2</v>
      </c>
    </row>
    <row r="15" spans="2:40" ht="14.4" x14ac:dyDescent="0.3">
      <c r="X15" s="4">
        <v>13</v>
      </c>
      <c r="Y15" s="131" t="s">
        <v>303</v>
      </c>
      <c r="Z15" s="4">
        <v>1088</v>
      </c>
      <c r="AA15" s="4">
        <v>21.64</v>
      </c>
      <c r="AB15" s="4">
        <v>14.86</v>
      </c>
      <c r="AC15" s="4">
        <v>7.7</v>
      </c>
      <c r="AD15" s="4">
        <v>11.15</v>
      </c>
      <c r="AE15" s="4">
        <v>3.95</v>
      </c>
      <c r="AF15" s="4">
        <v>7.8</v>
      </c>
      <c r="AG15" s="4">
        <v>67.100000000000009</v>
      </c>
      <c r="AI15" s="132">
        <f t="shared" si="0"/>
        <v>0.14087597530036858</v>
      </c>
      <c r="AJ15" s="132">
        <f t="shared" si="1"/>
        <v>9.673830836245273E-2</v>
      </c>
      <c r="AK15" s="132">
        <f t="shared" si="2"/>
        <v>5.0126848882293816E-2</v>
      </c>
      <c r="AL15" s="132">
        <f t="shared" si="3"/>
        <v>7.2586281173711173E-2</v>
      </c>
      <c r="AM15" s="132">
        <f t="shared" si="4"/>
        <v>2.5714422478579295E-2</v>
      </c>
      <c r="AN15" s="132">
        <f t="shared" si="5"/>
        <v>5.0777846919726193E-2</v>
      </c>
    </row>
    <row r="16" spans="2:40" ht="14.4" x14ac:dyDescent="0.3">
      <c r="X16" s="4">
        <v>14</v>
      </c>
      <c r="Y16" s="131" t="s">
        <v>305</v>
      </c>
      <c r="Z16" s="4">
        <v>1920</v>
      </c>
      <c r="AA16" s="4">
        <v>22.26</v>
      </c>
      <c r="AB16" s="4">
        <v>13</v>
      </c>
      <c r="AC16" s="4">
        <v>7.86</v>
      </c>
      <c r="AD16" s="4">
        <v>11.36</v>
      </c>
      <c r="AE16" s="4">
        <v>3.95</v>
      </c>
      <c r="AF16" s="4">
        <v>7</v>
      </c>
      <c r="AG16" s="4">
        <v>65.430000000000007</v>
      </c>
      <c r="AI16" s="132">
        <f t="shared" si="0"/>
        <v>0.25572734670432246</v>
      </c>
      <c r="AJ16" s="132">
        <f t="shared" si="1"/>
        <v>0.14934660858742999</v>
      </c>
      <c r="AK16" s="132">
        <f t="shared" si="2"/>
        <v>9.0297257192092292E-2</v>
      </c>
      <c r="AL16" s="132">
        <f t="shared" si="3"/>
        <v>0.13050595950409266</v>
      </c>
      <c r="AM16" s="132">
        <f t="shared" si="4"/>
        <v>4.5378392609257578E-2</v>
      </c>
      <c r="AN16" s="132">
        <f t="shared" si="5"/>
        <v>8.0417404624000766E-2</v>
      </c>
    </row>
    <row r="17" spans="24:40" ht="14.4" x14ac:dyDescent="0.3">
      <c r="X17" s="4">
        <v>15</v>
      </c>
      <c r="Y17" s="131" t="s">
        <v>308</v>
      </c>
      <c r="Z17" s="4">
        <v>1262</v>
      </c>
      <c r="AA17" s="4">
        <v>23.34</v>
      </c>
      <c r="AB17" s="4">
        <v>13.36</v>
      </c>
      <c r="AC17" s="4">
        <v>7.88</v>
      </c>
      <c r="AD17" s="4">
        <v>12.03</v>
      </c>
      <c r="AE17" s="4">
        <v>4.03</v>
      </c>
      <c r="AF17" s="4">
        <v>7.62</v>
      </c>
      <c r="AG17" s="4">
        <v>68.260000000000005</v>
      </c>
      <c r="AI17" s="132">
        <f t="shared" si="0"/>
        <v>0.17624264037145182</v>
      </c>
      <c r="AJ17" s="132">
        <f t="shared" si="1"/>
        <v>0.10088267675075391</v>
      </c>
      <c r="AK17" s="132">
        <f t="shared" si="2"/>
        <v>5.9502656646402752E-2</v>
      </c>
      <c r="AL17" s="132">
        <f t="shared" si="3"/>
        <v>9.0839715667033638E-2</v>
      </c>
      <c r="AM17" s="132">
        <f t="shared" si="4"/>
        <v>3.0430927193528318E-2</v>
      </c>
      <c r="AN17" s="132">
        <f t="shared" si="5"/>
        <v>5.7539371021013835E-2</v>
      </c>
    </row>
    <row r="18" spans="24:40" ht="14.4" x14ac:dyDescent="0.3">
      <c r="X18" s="4">
        <v>16</v>
      </c>
      <c r="Y18" s="131" t="s">
        <v>310</v>
      </c>
      <c r="Z18" s="4">
        <v>2188</v>
      </c>
      <c r="AA18" s="4">
        <v>30.37</v>
      </c>
      <c r="AB18" s="4">
        <v>13.02</v>
      </c>
      <c r="AC18" s="4">
        <v>7.77</v>
      </c>
      <c r="AD18" s="4">
        <v>11.61</v>
      </c>
      <c r="AE18" s="4">
        <v>3.95</v>
      </c>
      <c r="AF18" s="4">
        <v>7</v>
      </c>
      <c r="AG18" s="4">
        <v>73.72</v>
      </c>
      <c r="AI18" s="132">
        <f t="shared" si="0"/>
        <v>0.39759681202431668</v>
      </c>
      <c r="AJ18" s="132">
        <f t="shared" si="1"/>
        <v>0.17045474127614763</v>
      </c>
      <c r="AK18" s="132">
        <f t="shared" si="2"/>
        <v>0.10172299076157196</v>
      </c>
      <c r="AL18" s="132">
        <f t="shared" si="3"/>
        <v>0.15199535685223303</v>
      </c>
      <c r="AM18" s="132">
        <f t="shared" si="4"/>
        <v>5.171245991096645E-2</v>
      </c>
      <c r="AN18" s="132">
        <f t="shared" si="5"/>
        <v>9.164233401943421E-2</v>
      </c>
    </row>
    <row r="19" spans="24:40" ht="14.4" x14ac:dyDescent="0.3">
      <c r="X19" s="4">
        <v>17</v>
      </c>
      <c r="Y19" s="131" t="s">
        <v>312</v>
      </c>
      <c r="Z19" s="4">
        <v>1239</v>
      </c>
      <c r="AA19" s="4">
        <v>30</v>
      </c>
      <c r="AB19" s="4">
        <v>14.53</v>
      </c>
      <c r="AC19" s="4">
        <v>8.0500000000000007</v>
      </c>
      <c r="AD19" s="4">
        <v>11.9</v>
      </c>
      <c r="AE19" s="4">
        <v>3.88</v>
      </c>
      <c r="AF19" s="4">
        <v>7.06</v>
      </c>
      <c r="AG19" s="4">
        <v>75.42</v>
      </c>
      <c r="AI19" s="132">
        <f t="shared" si="0"/>
        <v>0.22240438466325213</v>
      </c>
      <c r="AJ19" s="132">
        <f t="shared" si="1"/>
        <v>0.10771785697190177</v>
      </c>
      <c r="AK19" s="132">
        <f t="shared" si="2"/>
        <v>5.9678509884639325E-2</v>
      </c>
      <c r="AL19" s="132">
        <f t="shared" si="3"/>
        <v>8.8220405916423342E-2</v>
      </c>
      <c r="AM19" s="132">
        <f t="shared" si="4"/>
        <v>2.8764300416447272E-2</v>
      </c>
      <c r="AN19" s="132">
        <f t="shared" si="5"/>
        <v>5.2339165190751998E-2</v>
      </c>
    </row>
    <row r="20" spans="24:40" ht="14.4" x14ac:dyDescent="0.3">
      <c r="X20" s="4">
        <v>18</v>
      </c>
      <c r="Y20" s="131" t="s">
        <v>315</v>
      </c>
      <c r="Z20" s="4">
        <v>2323</v>
      </c>
      <c r="AA20" s="4">
        <v>20.18</v>
      </c>
      <c r="AB20" s="4">
        <v>12.05</v>
      </c>
      <c r="AC20" s="4">
        <v>7.56</v>
      </c>
      <c r="AD20" s="4">
        <v>11.37</v>
      </c>
      <c r="AE20" s="4">
        <v>3.65</v>
      </c>
      <c r="AF20" s="4">
        <v>8.0500000000000007</v>
      </c>
      <c r="AG20" s="4">
        <v>62.86</v>
      </c>
      <c r="AI20" s="132">
        <f t="shared" si="0"/>
        <v>0.2804924369345651</v>
      </c>
      <c r="AJ20" s="132">
        <f t="shared" si="1"/>
        <v>0.16748928964625917</v>
      </c>
      <c r="AK20" s="132">
        <f t="shared" si="2"/>
        <v>0.10508041740462398</v>
      </c>
      <c r="AL20" s="132">
        <f t="shared" si="3"/>
        <v>0.15803761189028767</v>
      </c>
      <c r="AM20" s="132">
        <f t="shared" si="4"/>
        <v>5.0733270307788035E-2</v>
      </c>
      <c r="AN20" s="132">
        <f t="shared" si="5"/>
        <v>0.11189118519936815</v>
      </c>
    </row>
    <row r="21" spans="24:40" ht="15.75" customHeight="1" x14ac:dyDescent="0.3">
      <c r="X21" s="4">
        <v>19</v>
      </c>
      <c r="Y21" s="131" t="s">
        <v>317</v>
      </c>
      <c r="Z21" s="4">
        <v>1447</v>
      </c>
      <c r="AA21" s="4">
        <v>28.1</v>
      </c>
      <c r="AB21" s="4">
        <v>11.53</v>
      </c>
      <c r="AC21" s="4">
        <v>7.56</v>
      </c>
      <c r="AD21" s="4">
        <v>11.25</v>
      </c>
      <c r="AE21" s="4">
        <v>3.73</v>
      </c>
      <c r="AF21" s="4">
        <v>7.53</v>
      </c>
      <c r="AG21" s="4">
        <v>69.7</v>
      </c>
      <c r="AI21" s="132">
        <f t="shared" si="0"/>
        <v>0.24329077114546938</v>
      </c>
      <c r="AJ21" s="132">
        <f t="shared" si="1"/>
        <v>9.9827138480685459E-2</v>
      </c>
      <c r="AK21" s="132">
        <f t="shared" si="2"/>
        <v>6.5454741276147616E-2</v>
      </c>
      <c r="AL21" s="132">
        <f t="shared" si="3"/>
        <v>9.740288880379111E-2</v>
      </c>
      <c r="AM21" s="132">
        <f t="shared" si="4"/>
        <v>3.2294468910056967E-2</v>
      </c>
      <c r="AN21" s="132">
        <f t="shared" si="5"/>
        <v>6.5195000239337511E-2</v>
      </c>
    </row>
    <row r="22" spans="24:40" ht="15.75" customHeight="1" x14ac:dyDescent="0.3">
      <c r="X22" s="4">
        <v>20</v>
      </c>
      <c r="Y22" s="131" t="s">
        <v>320</v>
      </c>
      <c r="Z22" s="4">
        <v>2056</v>
      </c>
      <c r="AA22" s="4">
        <v>28.8</v>
      </c>
      <c r="AB22" s="4">
        <v>10.56</v>
      </c>
      <c r="AC22" s="4">
        <v>7.8</v>
      </c>
      <c r="AD22" s="4">
        <v>11.61</v>
      </c>
      <c r="AE22" s="4">
        <v>3.8</v>
      </c>
      <c r="AF22" s="4">
        <v>7</v>
      </c>
      <c r="AG22" s="4">
        <v>69.569999999999993</v>
      </c>
      <c r="AI22" s="132">
        <f t="shared" si="0"/>
        <v>0.35429610837202624</v>
      </c>
      <c r="AJ22" s="132">
        <f t="shared" si="1"/>
        <v>0.12990857306974296</v>
      </c>
      <c r="AK22" s="132">
        <f t="shared" si="2"/>
        <v>9.5955196017423763E-2</v>
      </c>
      <c r="AL22" s="132">
        <f t="shared" si="3"/>
        <v>0.14282561868747307</v>
      </c>
      <c r="AM22" s="132">
        <f t="shared" si="4"/>
        <v>4.6747403187975677E-2</v>
      </c>
      <c r="AN22" s="132">
        <f t="shared" si="5"/>
        <v>8.611363745153415E-2</v>
      </c>
    </row>
    <row r="23" spans="24:40" ht="15.75" customHeight="1" x14ac:dyDescent="0.3">
      <c r="X23" s="4">
        <v>21</v>
      </c>
      <c r="Y23" s="131" t="s">
        <v>322</v>
      </c>
      <c r="Z23" s="4">
        <v>1879</v>
      </c>
      <c r="AA23" s="4">
        <v>32.979999999999997</v>
      </c>
      <c r="AB23" s="4">
        <v>13.37</v>
      </c>
      <c r="AC23" s="4">
        <v>7.27</v>
      </c>
      <c r="AD23" s="4">
        <v>12.87</v>
      </c>
      <c r="AE23" s="4">
        <v>4.25</v>
      </c>
      <c r="AF23" s="4">
        <v>9</v>
      </c>
      <c r="AG23" s="4">
        <v>79.739999999999995</v>
      </c>
      <c r="AI23" s="132">
        <f t="shared" si="0"/>
        <v>0.37079017280168486</v>
      </c>
      <c r="AJ23" s="132">
        <f t="shared" si="1"/>
        <v>0.15031730170886984</v>
      </c>
      <c r="AK23" s="132">
        <f t="shared" si="2"/>
        <v>8.1735735484179783E-2</v>
      </c>
      <c r="AL23" s="132">
        <f t="shared" si="3"/>
        <v>0.14469586185438704</v>
      </c>
      <c r="AM23" s="132">
        <f t="shared" si="4"/>
        <v>4.7782238763103731E-2</v>
      </c>
      <c r="AN23" s="132">
        <f t="shared" si="5"/>
        <v>0.10118591738069024</v>
      </c>
    </row>
    <row r="24" spans="24:40" ht="15.75" customHeight="1" x14ac:dyDescent="0.3">
      <c r="X24" s="4">
        <v>22</v>
      </c>
      <c r="Y24" s="131" t="s">
        <v>325</v>
      </c>
      <c r="Z24" s="4">
        <v>1244</v>
      </c>
      <c r="AA24" s="4">
        <v>32.25</v>
      </c>
      <c r="AB24" s="4">
        <v>14.66</v>
      </c>
      <c r="AC24" s="4">
        <v>7.88</v>
      </c>
      <c r="AD24" s="4">
        <v>11.58</v>
      </c>
      <c r="AE24" s="4">
        <v>4.03</v>
      </c>
      <c r="AF24" s="4">
        <v>7.53</v>
      </c>
      <c r="AG24" s="4">
        <v>77.930000000000007</v>
      </c>
      <c r="AI24" s="132">
        <f t="shared" si="0"/>
        <v>0.24004954286534871</v>
      </c>
      <c r="AJ24" s="132">
        <f t="shared" si="1"/>
        <v>0.10912019529941124</v>
      </c>
      <c r="AK24" s="132">
        <f t="shared" si="2"/>
        <v>5.865396582260303E-2</v>
      </c>
      <c r="AL24" s="132">
        <f t="shared" si="3"/>
        <v>8.6194533531185683E-2</v>
      </c>
      <c r="AM24" s="132">
        <f t="shared" si="4"/>
        <v>2.9996888612321099E-2</v>
      </c>
      <c r="AN24" s="132">
        <f t="shared" si="5"/>
        <v>5.6048776985304673E-2</v>
      </c>
    </row>
    <row r="25" spans="24:40" ht="15.75" customHeight="1" x14ac:dyDescent="0.3">
      <c r="X25" s="4">
        <v>23</v>
      </c>
      <c r="Y25" s="131" t="s">
        <v>327</v>
      </c>
      <c r="Z25" s="4">
        <v>1393</v>
      </c>
      <c r="AA25" s="4">
        <v>33.1</v>
      </c>
      <c r="AB25" s="4">
        <v>14.2</v>
      </c>
      <c r="AC25" s="4">
        <v>8.15</v>
      </c>
      <c r="AD25" s="4">
        <v>11.51</v>
      </c>
      <c r="AE25" s="4">
        <v>3.88</v>
      </c>
      <c r="AF25" s="4">
        <v>7.23</v>
      </c>
      <c r="AG25" s="4">
        <v>78.069999999999993</v>
      </c>
      <c r="AI25" s="132">
        <f t="shared" si="0"/>
        <v>0.2758861471447035</v>
      </c>
      <c r="AJ25" s="132">
        <f t="shared" si="1"/>
        <v>0.11835599061796945</v>
      </c>
      <c r="AK25" s="132">
        <f t="shared" si="2"/>
        <v>6.7929670671581066E-2</v>
      </c>
      <c r="AL25" s="132">
        <f t="shared" si="3"/>
        <v>9.5935031831889325E-2</v>
      </c>
      <c r="AM25" s="132">
        <f t="shared" si="4"/>
        <v>3.2339524197022643E-2</v>
      </c>
      <c r="AN25" s="132">
        <f t="shared" si="5"/>
        <v>6.0261536068163334E-2</v>
      </c>
    </row>
    <row r="26" spans="24:40" ht="15.75" customHeight="1" x14ac:dyDescent="0.3">
      <c r="X26" s="4">
        <v>24</v>
      </c>
      <c r="Y26" s="131" t="s">
        <v>329</v>
      </c>
      <c r="Z26" s="4">
        <v>1523</v>
      </c>
      <c r="AA26" s="4">
        <v>32.229999999999997</v>
      </c>
      <c r="AB26" s="4">
        <v>5.29</v>
      </c>
      <c r="AC26" s="4">
        <v>4.24</v>
      </c>
      <c r="AD26" s="4">
        <v>8.58</v>
      </c>
      <c r="AE26" s="4">
        <v>3.5</v>
      </c>
      <c r="AF26" s="4">
        <v>5.8</v>
      </c>
      <c r="AG26" s="4">
        <v>59.639999999999993</v>
      </c>
      <c r="AI26" s="132">
        <f t="shared" si="0"/>
        <v>0.29370476520989897</v>
      </c>
      <c r="AJ26" s="132">
        <f t="shared" si="1"/>
        <v>4.8206584175003592E-2</v>
      </c>
      <c r="AK26" s="132">
        <f t="shared" si="2"/>
        <v>3.8638169546694752E-2</v>
      </c>
      <c r="AL26" s="132">
        <f t="shared" si="3"/>
        <v>7.8187616677037955E-2</v>
      </c>
      <c r="AM26" s="132">
        <f t="shared" si="4"/>
        <v>3.1894715427696139E-2</v>
      </c>
      <c r="AN26" s="132">
        <f t="shared" si="5"/>
        <v>5.2854099851610742E-2</v>
      </c>
    </row>
    <row r="27" spans="24:40" ht="15.75" customHeight="1" x14ac:dyDescent="0.3">
      <c r="X27" s="4">
        <v>25</v>
      </c>
      <c r="Y27" s="131" t="s">
        <v>331</v>
      </c>
      <c r="Z27" s="4">
        <v>1736</v>
      </c>
      <c r="AA27" s="4">
        <v>24.43</v>
      </c>
      <c r="AB27" s="4">
        <v>11.81</v>
      </c>
      <c r="AC27" s="4">
        <v>4.2</v>
      </c>
      <c r="AD27" s="4">
        <v>7.3</v>
      </c>
      <c r="AE27" s="4">
        <v>3.58</v>
      </c>
      <c r="AF27" s="4">
        <v>4.16</v>
      </c>
      <c r="AG27" s="4">
        <v>55.480000000000004</v>
      </c>
      <c r="AI27" s="132">
        <f t="shared" si="0"/>
        <v>0.25376047101622706</v>
      </c>
      <c r="AJ27" s="132">
        <f t="shared" si="1"/>
        <v>0.1226734000287205</v>
      </c>
      <c r="AK27" s="132">
        <f t="shared" si="2"/>
        <v>4.3626442008520422E-2</v>
      </c>
      <c r="AL27" s="132">
        <f t="shared" si="3"/>
        <v>7.5826911110047385E-2</v>
      </c>
      <c r="AM27" s="132">
        <f t="shared" si="4"/>
        <v>3.7186348188215021E-2</v>
      </c>
      <c r="AN27" s="132">
        <f t="shared" si="5"/>
        <v>4.3210952084629745E-2</v>
      </c>
    </row>
    <row r="28" spans="24:40" ht="15.75" customHeight="1" x14ac:dyDescent="0.3">
      <c r="X28" s="4">
        <v>26</v>
      </c>
      <c r="Y28" s="131" t="s">
        <v>334</v>
      </c>
      <c r="Z28" s="4">
        <v>1074</v>
      </c>
      <c r="AA28" s="4">
        <v>27.37</v>
      </c>
      <c r="AB28" s="4">
        <v>10.6</v>
      </c>
      <c r="AC28" s="4">
        <v>6.63</v>
      </c>
      <c r="AD28" s="4">
        <v>11.49</v>
      </c>
      <c r="AE28" s="4">
        <v>3.7</v>
      </c>
      <c r="AF28" s="4">
        <v>6</v>
      </c>
      <c r="AG28" s="4">
        <v>65.790000000000006</v>
      </c>
      <c r="AI28" s="132">
        <f t="shared" si="0"/>
        <v>0.17588542913216218</v>
      </c>
      <c r="AJ28" s="132">
        <f t="shared" si="1"/>
        <v>6.8117849791776361E-2</v>
      </c>
      <c r="AK28" s="132">
        <f t="shared" si="2"/>
        <v>4.2605787181082759E-2</v>
      </c>
      <c r="AL28" s="132">
        <f t="shared" si="3"/>
        <v>7.3837178689387772E-2</v>
      </c>
      <c r="AM28" s="132">
        <f t="shared" si="4"/>
        <v>2.3776985304676656E-2</v>
      </c>
      <c r="AN28" s="132">
        <f t="shared" si="5"/>
        <v>3.8557273467043227E-2</v>
      </c>
    </row>
    <row r="29" spans="24:40" ht="15.75" customHeight="1" x14ac:dyDescent="0.3">
      <c r="X29" s="4">
        <v>27</v>
      </c>
      <c r="Y29" s="131" t="s">
        <v>336</v>
      </c>
      <c r="Z29" s="4">
        <v>1074</v>
      </c>
      <c r="AA29" s="4">
        <v>23.65</v>
      </c>
      <c r="AB29" s="4">
        <v>10.16</v>
      </c>
      <c r="AC29" s="4">
        <v>5</v>
      </c>
      <c r="AD29" s="4">
        <v>9.8000000000000007</v>
      </c>
      <c r="AE29" s="4">
        <v>3.38</v>
      </c>
      <c r="AF29" s="4">
        <v>5.16</v>
      </c>
      <c r="AG29" s="4">
        <v>57.150000000000006</v>
      </c>
      <c r="AI29" s="132">
        <f t="shared" si="0"/>
        <v>0.15197991958259538</v>
      </c>
      <c r="AJ29" s="132">
        <f t="shared" si="1"/>
        <v>6.5290316404193194E-2</v>
      </c>
      <c r="AK29" s="132">
        <f t="shared" si="2"/>
        <v>3.213106122253602E-2</v>
      </c>
      <c r="AL29" s="132">
        <f t="shared" si="3"/>
        <v>6.2976879996170604E-2</v>
      </c>
      <c r="AM29" s="132">
        <f t="shared" si="4"/>
        <v>2.1720597386434348E-2</v>
      </c>
      <c r="AN29" s="132">
        <f t="shared" si="5"/>
        <v>3.3159255181657174E-2</v>
      </c>
    </row>
    <row r="30" spans="24:40" ht="15.75" customHeight="1" x14ac:dyDescent="0.3">
      <c r="X30" s="4">
        <v>28</v>
      </c>
      <c r="Y30" s="131" t="s">
        <v>338</v>
      </c>
      <c r="Z30" s="4">
        <v>1499</v>
      </c>
      <c r="AA30" s="4">
        <v>27.53</v>
      </c>
      <c r="AB30" s="4">
        <v>15</v>
      </c>
      <c r="AC30" s="4">
        <v>7.14</v>
      </c>
      <c r="AD30" s="4">
        <v>11.57</v>
      </c>
      <c r="AE30" s="4">
        <v>4.25</v>
      </c>
      <c r="AF30" s="4">
        <v>8.11</v>
      </c>
      <c r="AG30" s="4">
        <v>73.600000000000009</v>
      </c>
      <c r="AI30" s="132">
        <f t="shared" si="0"/>
        <v>0.24692134172610217</v>
      </c>
      <c r="AJ30" s="132">
        <f t="shared" si="1"/>
        <v>0.13453759992341199</v>
      </c>
      <c r="AK30" s="132">
        <f t="shared" si="2"/>
        <v>6.4039897563544099E-2</v>
      </c>
      <c r="AL30" s="132">
        <f t="shared" si="3"/>
        <v>0.10377333540759179</v>
      </c>
      <c r="AM30" s="132">
        <f t="shared" si="4"/>
        <v>3.8118986644966733E-2</v>
      </c>
      <c r="AN30" s="132">
        <f t="shared" si="5"/>
        <v>7.2739995691924755E-2</v>
      </c>
    </row>
    <row r="31" spans="24:40" ht="15.75" customHeight="1" x14ac:dyDescent="0.3">
      <c r="X31" s="4">
        <v>29</v>
      </c>
      <c r="Y31" s="131" t="s">
        <v>340</v>
      </c>
      <c r="Z31" s="4">
        <v>2184</v>
      </c>
      <c r="AA31" s="4">
        <v>34</v>
      </c>
      <c r="AB31" s="4">
        <v>13</v>
      </c>
      <c r="AC31" s="4">
        <v>6</v>
      </c>
      <c r="AD31" s="4">
        <v>9.5</v>
      </c>
      <c r="AE31" s="4">
        <v>3.1</v>
      </c>
      <c r="AF31" s="4">
        <v>5.56</v>
      </c>
      <c r="AG31" s="4">
        <v>71.16</v>
      </c>
      <c r="AI31" s="132">
        <f t="shared" si="0"/>
        <v>0.44430616054760425</v>
      </c>
      <c r="AJ31" s="132">
        <f t="shared" si="1"/>
        <v>0.16988176726820162</v>
      </c>
      <c r="AK31" s="132">
        <f t="shared" si="2"/>
        <v>7.8406969508400745E-2</v>
      </c>
      <c r="AL31" s="132">
        <f t="shared" si="3"/>
        <v>0.12414436838830119</v>
      </c>
      <c r="AM31" s="132">
        <f t="shared" si="4"/>
        <v>4.0510267579340391E-2</v>
      </c>
      <c r="AN31" s="132">
        <f t="shared" si="5"/>
        <v>7.2657125077784684E-2</v>
      </c>
    </row>
    <row r="32" spans="24:40" ht="15.75" customHeight="1" x14ac:dyDescent="0.3">
      <c r="X32" s="4">
        <v>30</v>
      </c>
      <c r="Y32" s="131" t="s">
        <v>343</v>
      </c>
      <c r="Z32" s="4">
        <v>1523</v>
      </c>
      <c r="AA32" s="4">
        <v>31.88</v>
      </c>
      <c r="AB32" s="4">
        <v>13</v>
      </c>
      <c r="AC32" s="4">
        <v>6</v>
      </c>
      <c r="AD32" s="4">
        <v>11</v>
      </c>
      <c r="AE32" s="4">
        <v>3.8</v>
      </c>
      <c r="AF32" s="4">
        <v>6.41</v>
      </c>
      <c r="AG32" s="4">
        <v>72.089999999999989</v>
      </c>
      <c r="AI32" s="132">
        <f t="shared" si="0"/>
        <v>0.29051529366712936</v>
      </c>
      <c r="AJ32" s="132">
        <f t="shared" si="1"/>
        <v>0.11846608587429994</v>
      </c>
      <c r="AK32" s="132">
        <f t="shared" si="2"/>
        <v>5.4676655018907665E-2</v>
      </c>
      <c r="AL32" s="132">
        <f t="shared" si="3"/>
        <v>0.10024053420133072</v>
      </c>
      <c r="AM32" s="132">
        <f t="shared" si="4"/>
        <v>3.462854817864152E-2</v>
      </c>
      <c r="AN32" s="132">
        <f t="shared" si="5"/>
        <v>5.8412893111866357E-2</v>
      </c>
    </row>
    <row r="33" spans="24:40" ht="15.75" customHeight="1" x14ac:dyDescent="0.3">
      <c r="X33" s="4">
        <v>31</v>
      </c>
      <c r="Y33" s="131" t="s">
        <v>345</v>
      </c>
      <c r="Z33" s="4">
        <v>1744</v>
      </c>
      <c r="AA33" s="4">
        <v>31.21</v>
      </c>
      <c r="AB33" s="4">
        <v>11.54</v>
      </c>
      <c r="AC33" s="4">
        <v>4.54</v>
      </c>
      <c r="AD33" s="4">
        <v>7.66</v>
      </c>
      <c r="AE33" s="4">
        <v>2.2999999999999998</v>
      </c>
      <c r="AF33" s="4">
        <v>5.16</v>
      </c>
      <c r="AG33" s="4">
        <v>62.41</v>
      </c>
      <c r="AI33" s="132">
        <f t="shared" si="0"/>
        <v>0.32567995787659759</v>
      </c>
      <c r="AJ33" s="132">
        <f t="shared" si="1"/>
        <v>0.12042123402422095</v>
      </c>
      <c r="AK33" s="132">
        <f t="shared" si="2"/>
        <v>4.737542482408693E-2</v>
      </c>
      <c r="AL33" s="132">
        <f t="shared" si="3"/>
        <v>7.9932985496146677E-2</v>
      </c>
      <c r="AM33" s="132">
        <f t="shared" si="4"/>
        <v>2.4000765880044038E-2</v>
      </c>
      <c r="AN33" s="132">
        <f t="shared" si="5"/>
        <v>5.3845196496098806E-2</v>
      </c>
    </row>
    <row r="34" spans="24:40" ht="15.75" customHeight="1" x14ac:dyDescent="0.3">
      <c r="X34" s="4">
        <v>32</v>
      </c>
      <c r="Y34" s="131" t="s">
        <v>347</v>
      </c>
      <c r="Z34" s="4">
        <v>1126</v>
      </c>
      <c r="AA34" s="4">
        <v>32.32</v>
      </c>
      <c r="AB34" s="4">
        <v>13.28</v>
      </c>
      <c r="AC34" s="4">
        <v>5.08</v>
      </c>
      <c r="AD34" s="4">
        <v>10.6</v>
      </c>
      <c r="AE34" s="4">
        <v>3.18</v>
      </c>
      <c r="AF34" s="4">
        <v>5.31</v>
      </c>
      <c r="AG34" s="4">
        <v>69.77000000000001</v>
      </c>
      <c r="AI34" s="132">
        <f t="shared" si="0"/>
        <v>0.21775118472069313</v>
      </c>
      <c r="AJ34" s="132">
        <f t="shared" si="1"/>
        <v>8.9472021444641225E-2</v>
      </c>
      <c r="AK34" s="132">
        <f t="shared" si="2"/>
        <v>3.4225743142980228E-2</v>
      </c>
      <c r="AL34" s="132">
        <f t="shared" si="3"/>
        <v>7.141592073141545E-2</v>
      </c>
      <c r="AM34" s="132">
        <f t="shared" si="4"/>
        <v>2.1424776219424634E-2</v>
      </c>
      <c r="AN34" s="132">
        <f t="shared" si="5"/>
        <v>3.5775333875831698E-2</v>
      </c>
    </row>
    <row r="35" spans="24:40" ht="15.75" customHeight="1" x14ac:dyDescent="0.3">
      <c r="X35" s="4">
        <v>33</v>
      </c>
      <c r="Y35" s="131" t="s">
        <v>349</v>
      </c>
      <c r="Z35" s="4">
        <v>1909</v>
      </c>
      <c r="AA35" s="4">
        <v>28.37</v>
      </c>
      <c r="AB35" s="4">
        <v>11.03</v>
      </c>
      <c r="AC35" s="4">
        <v>4.3600000000000003</v>
      </c>
      <c r="AD35" s="4">
        <v>8.58</v>
      </c>
      <c r="AE35" s="4">
        <v>3.1</v>
      </c>
      <c r="AF35" s="4">
        <v>4.04</v>
      </c>
      <c r="AG35" s="4">
        <v>59.48</v>
      </c>
      <c r="AI35" s="132">
        <f t="shared" si="0"/>
        <v>0.32405300129242259</v>
      </c>
      <c r="AJ35" s="132">
        <f t="shared" si="1"/>
        <v>0.12598888277248577</v>
      </c>
      <c r="AK35" s="132">
        <f t="shared" si="2"/>
        <v>4.980158920109138E-2</v>
      </c>
      <c r="AL35" s="132">
        <f t="shared" si="3"/>
        <v>9.8004044803982573E-2</v>
      </c>
      <c r="AM35" s="132">
        <f t="shared" si="4"/>
        <v>3.5409386817289744E-2</v>
      </c>
      <c r="AN35" s="132">
        <f t="shared" si="5"/>
        <v>4.6146426690919534E-2</v>
      </c>
    </row>
    <row r="36" spans="24:40" ht="15.75" customHeight="1" x14ac:dyDescent="0.3">
      <c r="X36" s="4">
        <v>34</v>
      </c>
      <c r="Y36" s="131" t="s">
        <v>352</v>
      </c>
      <c r="Z36" s="4">
        <v>1513</v>
      </c>
      <c r="AA36" s="4">
        <v>23.99</v>
      </c>
      <c r="AB36" s="4">
        <v>14.58</v>
      </c>
      <c r="AC36" s="4">
        <v>7.35</v>
      </c>
      <c r="AD36" s="4">
        <v>4.5</v>
      </c>
      <c r="AE36" s="4">
        <v>3.5</v>
      </c>
      <c r="AF36" s="4">
        <v>8.5</v>
      </c>
      <c r="AG36" s="4">
        <v>62.42</v>
      </c>
      <c r="AI36" s="132">
        <f t="shared" si="0"/>
        <v>0.21718006557847874</v>
      </c>
      <c r="AJ36" s="132">
        <f t="shared" si="1"/>
        <v>0.13199188645828347</v>
      </c>
      <c r="AK36" s="132">
        <f t="shared" si="2"/>
        <v>6.6539119716624379E-2</v>
      </c>
      <c r="AL36" s="132">
        <f t="shared" si="3"/>
        <v>4.0738236561198606E-2</v>
      </c>
      <c r="AM36" s="132">
        <f t="shared" si="4"/>
        <v>3.1685295103154466E-2</v>
      </c>
      <c r="AN36" s="132">
        <f t="shared" si="5"/>
        <v>7.6950002393375141E-2</v>
      </c>
    </row>
    <row r="37" spans="24:40" ht="15.75" customHeight="1" x14ac:dyDescent="0.3">
      <c r="X37" s="4">
        <v>35</v>
      </c>
      <c r="Y37" s="131" t="s">
        <v>354</v>
      </c>
      <c r="Z37" s="4">
        <v>1843</v>
      </c>
      <c r="AA37" s="4">
        <v>31</v>
      </c>
      <c r="AB37" s="4">
        <v>12.03</v>
      </c>
      <c r="AC37" s="4">
        <v>4.5999999999999996</v>
      </c>
      <c r="AD37" s="4">
        <v>8.18</v>
      </c>
      <c r="AE37" s="4">
        <v>3.5</v>
      </c>
      <c r="AF37" s="4">
        <v>5.64</v>
      </c>
      <c r="AG37" s="4">
        <v>64.95</v>
      </c>
      <c r="AI37" s="132">
        <f t="shared" si="0"/>
        <v>0.34185175434397586</v>
      </c>
      <c r="AJ37" s="132">
        <f t="shared" si="1"/>
        <v>0.13266053563735578</v>
      </c>
      <c r="AK37" s="132">
        <f t="shared" si="2"/>
        <v>5.0726389354267383E-2</v>
      </c>
      <c r="AL37" s="132">
        <f t="shared" si="3"/>
        <v>9.0204753243023308E-2</v>
      </c>
      <c r="AM37" s="132">
        <f t="shared" si="4"/>
        <v>3.8596165813029534E-2</v>
      </c>
      <c r="AN37" s="132">
        <f t="shared" si="5"/>
        <v>6.219496433871044E-2</v>
      </c>
    </row>
    <row r="38" spans="24:40" ht="15.75" customHeight="1" x14ac:dyDescent="0.3">
      <c r="X38" s="4">
        <v>36</v>
      </c>
      <c r="Y38" s="131" t="s">
        <v>356</v>
      </c>
      <c r="Z38" s="4">
        <v>1613</v>
      </c>
      <c r="AA38" s="4">
        <v>28.11</v>
      </c>
      <c r="AB38" s="4">
        <v>11.89</v>
      </c>
      <c r="AC38" s="4">
        <v>3</v>
      </c>
      <c r="AD38" s="4">
        <v>6.5</v>
      </c>
      <c r="AE38" s="4">
        <v>1.5</v>
      </c>
      <c r="AF38" s="4">
        <v>3</v>
      </c>
      <c r="AG38" s="4">
        <v>54</v>
      </c>
      <c r="AI38" s="132">
        <f t="shared" si="0"/>
        <v>0.27129762816523861</v>
      </c>
      <c r="AJ38" s="132">
        <f t="shared" si="1"/>
        <v>0.11475378153271744</v>
      </c>
      <c r="AK38" s="132">
        <f t="shared" si="2"/>
        <v>2.8953855727346704E-2</v>
      </c>
      <c r="AL38" s="132">
        <f t="shared" si="3"/>
        <v>6.273335407591786E-2</v>
      </c>
      <c r="AM38" s="132">
        <f t="shared" si="4"/>
        <v>1.4476927863673352E-2</v>
      </c>
      <c r="AN38" s="132">
        <f t="shared" si="5"/>
        <v>2.8953855727346704E-2</v>
      </c>
    </row>
    <row r="39" spans="24:40" ht="15.75" customHeight="1" x14ac:dyDescent="0.3">
      <c r="X39" s="4">
        <v>37</v>
      </c>
      <c r="Y39" s="131" t="s">
        <v>358</v>
      </c>
      <c r="Z39" s="4">
        <v>1057</v>
      </c>
      <c r="AA39" s="4">
        <v>31.79</v>
      </c>
      <c r="AB39" s="4">
        <v>13.64</v>
      </c>
      <c r="AC39" s="4">
        <v>6.48</v>
      </c>
      <c r="AD39" s="4">
        <v>8.5299999999999994</v>
      </c>
      <c r="AE39" s="4">
        <v>4.25</v>
      </c>
      <c r="AF39" s="4">
        <v>7.9</v>
      </c>
      <c r="AG39" s="4">
        <v>72.59</v>
      </c>
      <c r="AI39" s="132">
        <f t="shared" si="0"/>
        <v>0.20105565793882532</v>
      </c>
      <c r="AJ39" s="132">
        <f t="shared" si="1"/>
        <v>8.6266095447800492E-2</v>
      </c>
      <c r="AK39" s="132">
        <f t="shared" si="2"/>
        <v>4.0982719831506392E-2</v>
      </c>
      <c r="AL39" s="132">
        <f t="shared" si="3"/>
        <v>5.394793212388109E-2</v>
      </c>
      <c r="AM39" s="132">
        <f t="shared" si="4"/>
        <v>2.6879098654923172E-2</v>
      </c>
      <c r="AN39" s="132">
        <f t="shared" si="5"/>
        <v>4.9963501029151314E-2</v>
      </c>
    </row>
    <row r="40" spans="24:40" ht="15.75" customHeight="1" x14ac:dyDescent="0.3">
      <c r="X40" s="4">
        <v>38</v>
      </c>
      <c r="Y40" s="131" t="s">
        <v>360</v>
      </c>
      <c r="Z40" s="4">
        <v>1008</v>
      </c>
      <c r="AA40" s="4">
        <v>30.41</v>
      </c>
      <c r="AB40" s="4">
        <v>12.27</v>
      </c>
      <c r="AC40" s="4">
        <v>4.5999999999999996</v>
      </c>
      <c r="AD40" s="4">
        <v>7.54</v>
      </c>
      <c r="AE40" s="4">
        <v>3.18</v>
      </c>
      <c r="AF40" s="4">
        <v>5</v>
      </c>
      <c r="AG40" s="4">
        <v>63</v>
      </c>
      <c r="AI40" s="132">
        <f t="shared" si="0"/>
        <v>0.18341199559618973</v>
      </c>
      <c r="AJ40" s="132">
        <f t="shared" si="1"/>
        <v>7.4004116605236703E-2</v>
      </c>
      <c r="AK40" s="132">
        <f t="shared" si="2"/>
        <v>2.7744004595280258E-2</v>
      </c>
      <c r="AL40" s="132">
        <f t="shared" si="3"/>
        <v>4.5476042314872428E-2</v>
      </c>
      <c r="AM40" s="132">
        <f t="shared" si="4"/>
        <v>1.9179551002824181E-2</v>
      </c>
      <c r="AN40" s="132">
        <f t="shared" si="5"/>
        <v>3.0156526734000287E-2</v>
      </c>
    </row>
    <row r="41" spans="24:40" ht="15.75" customHeight="1" x14ac:dyDescent="0.3">
      <c r="X41" s="4">
        <v>39</v>
      </c>
      <c r="Y41" s="131" t="s">
        <v>361</v>
      </c>
      <c r="Z41" s="4">
        <v>1449</v>
      </c>
      <c r="AA41" s="4">
        <v>37.79</v>
      </c>
      <c r="AB41" s="4">
        <v>13.5</v>
      </c>
      <c r="AC41" s="4">
        <v>6.5</v>
      </c>
      <c r="AD41" s="4">
        <v>8.1</v>
      </c>
      <c r="AE41" s="4">
        <v>3.5</v>
      </c>
      <c r="AF41" s="4">
        <v>7.5</v>
      </c>
      <c r="AG41" s="4">
        <v>76.89</v>
      </c>
      <c r="AI41" s="132">
        <f t="shared" si="0"/>
        <v>0.32763935426738788</v>
      </c>
      <c r="AJ41" s="132">
        <f t="shared" si="1"/>
        <v>0.11704501938633861</v>
      </c>
      <c r="AK41" s="132">
        <f t="shared" si="2"/>
        <v>5.6355009334163035E-2</v>
      </c>
      <c r="AL41" s="132">
        <f t="shared" si="3"/>
        <v>7.0227011631803171E-2</v>
      </c>
      <c r="AM41" s="132">
        <f t="shared" si="4"/>
        <v>3.0345005026087789E-2</v>
      </c>
      <c r="AN41" s="132">
        <f t="shared" si="5"/>
        <v>6.5025010770188116E-2</v>
      </c>
    </row>
    <row r="42" spans="24:40" ht="15.75" customHeight="1" x14ac:dyDescent="0.3">
      <c r="X42" s="4">
        <v>40</v>
      </c>
      <c r="Y42" s="131" t="s">
        <v>323</v>
      </c>
      <c r="Z42" s="4">
        <v>1085</v>
      </c>
      <c r="AA42" s="4">
        <v>20.16</v>
      </c>
      <c r="AB42" s="4">
        <v>5.41</v>
      </c>
      <c r="AC42" s="4">
        <v>3</v>
      </c>
      <c r="AD42" s="4">
        <v>6.1</v>
      </c>
      <c r="AE42" s="4">
        <v>1.5</v>
      </c>
      <c r="AF42" s="4">
        <v>3</v>
      </c>
      <c r="AG42" s="4">
        <v>39.17</v>
      </c>
      <c r="AI42" s="132">
        <f t="shared" si="0"/>
        <v>0.13087932602556124</v>
      </c>
      <c r="AJ42" s="132">
        <f t="shared" si="1"/>
        <v>3.5121882628883251E-2</v>
      </c>
      <c r="AK42" s="132">
        <f t="shared" si="2"/>
        <v>1.9476090182375186E-2</v>
      </c>
      <c r="AL42" s="132">
        <f t="shared" si="3"/>
        <v>3.9601383370829545E-2</v>
      </c>
      <c r="AM42" s="132">
        <f t="shared" si="4"/>
        <v>9.7380450911875929E-3</v>
      </c>
      <c r="AN42" s="132">
        <f t="shared" si="5"/>
        <v>1.9476090182375186E-2</v>
      </c>
    </row>
    <row r="43" spans="24:40" ht="15.75" customHeight="1" x14ac:dyDescent="0.3">
      <c r="X43" s="4">
        <v>41</v>
      </c>
      <c r="Y43" s="131" t="s">
        <v>364</v>
      </c>
      <c r="Z43" s="4">
        <v>1090</v>
      </c>
      <c r="AA43" s="4">
        <v>30.5</v>
      </c>
      <c r="AB43" s="4">
        <v>12.88</v>
      </c>
      <c r="AC43" s="4">
        <v>3.94</v>
      </c>
      <c r="AD43" s="4">
        <v>7.3</v>
      </c>
      <c r="AE43" s="4">
        <v>3.18</v>
      </c>
      <c r="AF43" s="4">
        <v>5</v>
      </c>
      <c r="AG43" s="4">
        <v>62.8</v>
      </c>
      <c r="AI43" s="132">
        <f t="shared" si="0"/>
        <v>0.198919391125365</v>
      </c>
      <c r="AJ43" s="132">
        <f t="shared" si="1"/>
        <v>8.4002680580154143E-2</v>
      </c>
      <c r="AK43" s="132">
        <f t="shared" si="2"/>
        <v>2.5696472165047151E-2</v>
      </c>
      <c r="AL43" s="132">
        <f t="shared" si="3"/>
        <v>4.7610214925087359E-2</v>
      </c>
      <c r="AM43" s="132">
        <f t="shared" si="4"/>
        <v>2.0739792255038057E-2</v>
      </c>
      <c r="AN43" s="132">
        <f t="shared" si="5"/>
        <v>3.2609736250059834E-2</v>
      </c>
    </row>
    <row r="44" spans="24:40" ht="15.75" customHeight="1" x14ac:dyDescent="0.3">
      <c r="X44" s="4">
        <v>42</v>
      </c>
      <c r="Y44" s="131" t="s">
        <v>366</v>
      </c>
      <c r="Z44" s="4">
        <v>1132</v>
      </c>
      <c r="AA44" s="4">
        <v>25.4</v>
      </c>
      <c r="AB44" s="4">
        <v>5.8</v>
      </c>
      <c r="AC44" s="4">
        <v>3</v>
      </c>
      <c r="AD44" s="4">
        <v>6.5</v>
      </c>
      <c r="AE44" s="4">
        <v>1.5</v>
      </c>
      <c r="AF44" s="4">
        <v>3</v>
      </c>
      <c r="AG44" s="4">
        <v>45.2</v>
      </c>
      <c r="AI44" s="132">
        <f t="shared" si="0"/>
        <v>0.17204059164233401</v>
      </c>
      <c r="AJ44" s="132">
        <f t="shared" si="1"/>
        <v>3.9284859508879416E-2</v>
      </c>
      <c r="AK44" s="132">
        <f t="shared" si="2"/>
        <v>2.0319754918385908E-2</v>
      </c>
      <c r="AL44" s="132">
        <f t="shared" si="3"/>
        <v>4.4026135656502798E-2</v>
      </c>
      <c r="AM44" s="132">
        <f t="shared" si="4"/>
        <v>1.0159877459192954E-2</v>
      </c>
      <c r="AN44" s="132">
        <f t="shared" si="5"/>
        <v>2.0319754918385908E-2</v>
      </c>
    </row>
    <row r="45" spans="24:40" ht="15.75" customHeight="1" x14ac:dyDescent="0.3">
      <c r="X45" s="4">
        <v>43</v>
      </c>
      <c r="Y45" s="131" t="s">
        <v>368</v>
      </c>
      <c r="Z45" s="4">
        <v>1055</v>
      </c>
      <c r="AA45" s="4">
        <v>32.380000000000003</v>
      </c>
      <c r="AB45" s="4">
        <v>14.96</v>
      </c>
      <c r="AC45" s="4">
        <v>4.8</v>
      </c>
      <c r="AD45" s="4">
        <v>9.6999999999999993</v>
      </c>
      <c r="AE45" s="4">
        <v>2.98</v>
      </c>
      <c r="AF45" s="4">
        <v>4.3600000000000003</v>
      </c>
      <c r="AG45" s="4">
        <v>69.180000000000007</v>
      </c>
      <c r="AI45" s="132">
        <f t="shared" si="0"/>
        <v>0.20439962184672827</v>
      </c>
      <c r="AJ45" s="132">
        <f t="shared" si="1"/>
        <v>9.4435402805035665E-2</v>
      </c>
      <c r="AK45" s="132">
        <f t="shared" si="2"/>
        <v>3.0300129242257431E-2</v>
      </c>
      <c r="AL45" s="132">
        <f t="shared" si="3"/>
        <v>6.1231511177061895E-2</v>
      </c>
      <c r="AM45" s="132">
        <f t="shared" si="4"/>
        <v>1.8811330237901488E-2</v>
      </c>
      <c r="AN45" s="132">
        <f t="shared" si="5"/>
        <v>2.7522617395050502E-2</v>
      </c>
    </row>
    <row r="46" spans="24:40" ht="15.75" customHeight="1" x14ac:dyDescent="0.3">
      <c r="X46" s="4">
        <v>44</v>
      </c>
      <c r="Y46" s="131" t="s">
        <v>371</v>
      </c>
      <c r="Z46" s="4">
        <v>1812</v>
      </c>
      <c r="AA46" s="4">
        <v>30.8</v>
      </c>
      <c r="AB46" s="4">
        <v>14.34</v>
      </c>
      <c r="AC46" s="4">
        <v>7.3</v>
      </c>
      <c r="AD46" s="4">
        <v>11.16</v>
      </c>
      <c r="AE46" s="4">
        <v>4.03</v>
      </c>
      <c r="AF46" s="4">
        <v>7.59</v>
      </c>
      <c r="AG46" s="4">
        <v>75.22</v>
      </c>
      <c r="AI46" s="132">
        <f t="shared" si="0"/>
        <v>0.33393327270116319</v>
      </c>
      <c r="AJ46" s="132">
        <f t="shared" si="1"/>
        <v>0.15547412761476231</v>
      </c>
      <c r="AK46" s="132">
        <f t="shared" si="2"/>
        <v>7.9146522425925042E-2</v>
      </c>
      <c r="AL46" s="132">
        <f t="shared" si="3"/>
        <v>0.12099660140730459</v>
      </c>
      <c r="AM46" s="132">
        <f t="shared" si="4"/>
        <v>4.3693217174859994E-2</v>
      </c>
      <c r="AN46" s="132">
        <f t="shared" si="5"/>
        <v>8.2290699344215207E-2</v>
      </c>
    </row>
    <row r="47" spans="24:40" ht="15.75" customHeight="1" x14ac:dyDescent="0.3">
      <c r="X47" s="4">
        <v>45</v>
      </c>
      <c r="Y47" s="131" t="s">
        <v>374</v>
      </c>
      <c r="Z47" s="4">
        <v>1182</v>
      </c>
      <c r="AA47" s="4">
        <v>27.41</v>
      </c>
      <c r="AB47" s="4">
        <v>13.17</v>
      </c>
      <c r="AC47" s="4">
        <v>7.74</v>
      </c>
      <c r="AD47" s="4">
        <v>11.45</v>
      </c>
      <c r="AE47" s="4">
        <v>3.8</v>
      </c>
      <c r="AF47" s="4">
        <v>7.84</v>
      </c>
      <c r="AG47" s="4">
        <v>71.41</v>
      </c>
      <c r="AI47" s="132">
        <f t="shared" si="0"/>
        <v>0.1938551290029199</v>
      </c>
      <c r="AJ47" s="132">
        <f t="shared" si="1"/>
        <v>9.3143817912019533E-2</v>
      </c>
      <c r="AK47" s="132">
        <f t="shared" si="2"/>
        <v>5.4740558135082093E-2</v>
      </c>
      <c r="AL47" s="132">
        <f t="shared" si="3"/>
        <v>8.0979249437556841E-2</v>
      </c>
      <c r="AM47" s="132">
        <f t="shared" si="4"/>
        <v>2.687520942032454E-2</v>
      </c>
      <c r="AN47" s="132">
        <f t="shared" si="5"/>
        <v>5.5447800488248523E-2</v>
      </c>
    </row>
    <row r="48" spans="24:40" ht="15.75" customHeight="1" x14ac:dyDescent="0.3">
      <c r="X48" s="4">
        <v>46</v>
      </c>
      <c r="Y48" s="131" t="s">
        <v>377</v>
      </c>
      <c r="Z48" s="4">
        <v>1211</v>
      </c>
      <c r="AA48" s="4">
        <v>32.61</v>
      </c>
      <c r="AB48" s="4">
        <v>15</v>
      </c>
      <c r="AC48" s="4">
        <v>7</v>
      </c>
      <c r="AD48" s="4">
        <v>9.9499999999999993</v>
      </c>
      <c r="AE48" s="4">
        <v>4.0999999999999996</v>
      </c>
      <c r="AF48" s="4">
        <v>4.5999999999999996</v>
      </c>
      <c r="AG48" s="4">
        <v>73.259999999999991</v>
      </c>
      <c r="AI48" s="132">
        <f t="shared" si="0"/>
        <v>0.23629020870231199</v>
      </c>
      <c r="AJ48" s="132">
        <f t="shared" si="1"/>
        <v>0.10868914843712603</v>
      </c>
      <c r="AK48" s="132">
        <f t="shared" si="2"/>
        <v>5.0721602603992152E-2</v>
      </c>
      <c r="AL48" s="132">
        <f t="shared" si="3"/>
        <v>7.2097135129960258E-2</v>
      </c>
      <c r="AM48" s="132">
        <f t="shared" si="4"/>
        <v>2.9708367239481111E-2</v>
      </c>
      <c r="AN48" s="132">
        <f t="shared" si="5"/>
        <v>3.3331338854051984E-2</v>
      </c>
    </row>
    <row r="49" spans="24:40" ht="15.75" customHeight="1" x14ac:dyDescent="0.3">
      <c r="X49" s="4">
        <v>47</v>
      </c>
      <c r="Y49" s="131" t="s">
        <v>380</v>
      </c>
      <c r="Z49" s="4">
        <v>1470</v>
      </c>
      <c r="AA49" s="4">
        <v>30</v>
      </c>
      <c r="AB49" s="4">
        <v>11.24</v>
      </c>
      <c r="AC49" s="4">
        <v>4.34</v>
      </c>
      <c r="AD49" s="4">
        <v>8.58</v>
      </c>
      <c r="AE49" s="4">
        <v>2.9</v>
      </c>
      <c r="AF49" s="4">
        <v>3.84</v>
      </c>
      <c r="AG49" s="4">
        <v>60.899999999999991</v>
      </c>
      <c r="AI49" s="132">
        <f t="shared" si="0"/>
        <v>0.2638696089225025</v>
      </c>
      <c r="AJ49" s="132">
        <f t="shared" si="1"/>
        <v>9.8863146809630931E-2</v>
      </c>
      <c r="AK49" s="132">
        <f t="shared" si="2"/>
        <v>3.8173136757455366E-2</v>
      </c>
      <c r="AL49" s="132">
        <f t="shared" si="3"/>
        <v>7.5466708151835718E-2</v>
      </c>
      <c r="AM49" s="132">
        <f t="shared" si="4"/>
        <v>2.5507395529175244E-2</v>
      </c>
      <c r="AN49" s="132">
        <f t="shared" si="5"/>
        <v>3.377530994208032E-2</v>
      </c>
    </row>
    <row r="50" spans="24:40" ht="15.75" customHeight="1" x14ac:dyDescent="0.3">
      <c r="X50" s="4">
        <v>48</v>
      </c>
      <c r="Y50" s="131" t="s">
        <v>381</v>
      </c>
      <c r="Z50" s="4">
        <v>1185</v>
      </c>
      <c r="AA50" s="4">
        <v>31.3</v>
      </c>
      <c r="AB50" s="4">
        <v>11.77</v>
      </c>
      <c r="AC50" s="4">
        <v>7</v>
      </c>
      <c r="AD50" s="4">
        <v>11.2</v>
      </c>
      <c r="AE50" s="4">
        <v>4.0999999999999996</v>
      </c>
      <c r="AF50" s="4">
        <v>4.5999999999999996</v>
      </c>
      <c r="AG50" s="4">
        <v>69.969999999999985</v>
      </c>
      <c r="AI50" s="132">
        <f t="shared" si="0"/>
        <v>0.22192870135465032</v>
      </c>
      <c r="AJ50" s="132">
        <f t="shared" si="1"/>
        <v>8.3453700157962746E-2</v>
      </c>
      <c r="AK50" s="132">
        <f t="shared" si="2"/>
        <v>4.9632616916375473E-2</v>
      </c>
      <c r="AL50" s="132">
        <f t="shared" si="3"/>
        <v>7.9412187066200762E-2</v>
      </c>
      <c r="AM50" s="132">
        <f t="shared" si="4"/>
        <v>2.9070532765305634E-2</v>
      </c>
      <c r="AN50" s="132">
        <f t="shared" si="5"/>
        <v>3.2615719687903881E-2</v>
      </c>
    </row>
    <row r="51" spans="24:40" ht="15.75" customHeight="1" x14ac:dyDescent="0.3">
      <c r="X51" s="4">
        <v>49</v>
      </c>
      <c r="Y51" s="131" t="s">
        <v>383</v>
      </c>
      <c r="Z51" s="4">
        <v>1058</v>
      </c>
      <c r="AA51" s="4">
        <v>27.41</v>
      </c>
      <c r="AB51" s="4">
        <v>14.34</v>
      </c>
      <c r="AC51" s="4">
        <v>6.48</v>
      </c>
      <c r="AD51" s="4">
        <v>10.51</v>
      </c>
      <c r="AE51" s="4">
        <v>3.73</v>
      </c>
      <c r="AF51" s="4">
        <v>6.2</v>
      </c>
      <c r="AG51" s="4">
        <v>68.67</v>
      </c>
      <c r="AI51" s="132">
        <f t="shared" si="0"/>
        <v>0.17351838112105691</v>
      </c>
      <c r="AJ51" s="132">
        <f t="shared" si="1"/>
        <v>9.077904360729501E-2</v>
      </c>
      <c r="AK51" s="132">
        <f t="shared" si="2"/>
        <v>4.1021492508735817E-2</v>
      </c>
      <c r="AL51" s="132">
        <f t="shared" si="3"/>
        <v>6.6533315781915653E-2</v>
      </c>
      <c r="AM51" s="132">
        <f t="shared" si="4"/>
        <v>2.3612680101479107E-2</v>
      </c>
      <c r="AN51" s="132">
        <f t="shared" si="5"/>
        <v>3.9248958881815135E-2</v>
      </c>
    </row>
    <row r="52" spans="24:40" ht="15.75" customHeight="1" x14ac:dyDescent="0.3">
      <c r="X52" s="4">
        <v>50</v>
      </c>
      <c r="Y52" s="131" t="s">
        <v>385</v>
      </c>
      <c r="Z52" s="4">
        <v>2433</v>
      </c>
      <c r="AA52" s="4">
        <v>33.46</v>
      </c>
      <c r="AB52" s="4">
        <v>12.33</v>
      </c>
      <c r="AC52" s="4">
        <v>4.46</v>
      </c>
      <c r="AD52" s="4">
        <v>8.02</v>
      </c>
      <c r="AE52" s="4">
        <v>3.65</v>
      </c>
      <c r="AF52" s="4">
        <v>5.56</v>
      </c>
      <c r="AG52" s="4">
        <v>67.47999999999999</v>
      </c>
      <c r="AI52" s="132">
        <f t="shared" si="0"/>
        <v>0.48710078502704518</v>
      </c>
      <c r="AJ52" s="132">
        <f t="shared" si="1"/>
        <v>0.17949649370542339</v>
      </c>
      <c r="AK52" s="132">
        <f t="shared" si="2"/>
        <v>6.4927361064573266E-2</v>
      </c>
      <c r="AL52" s="132">
        <f t="shared" si="3"/>
        <v>0.11675278828203532</v>
      </c>
      <c r="AM52" s="132">
        <f t="shared" si="4"/>
        <v>5.3135620602173181E-2</v>
      </c>
      <c r="AN52" s="132">
        <f t="shared" si="5"/>
        <v>8.0940835766598052E-2</v>
      </c>
    </row>
    <row r="53" spans="24:40" ht="15.75" customHeight="1" x14ac:dyDescent="0.3">
      <c r="X53" s="4">
        <v>51</v>
      </c>
      <c r="Y53" s="131" t="s">
        <v>384</v>
      </c>
      <c r="Z53" s="4">
        <v>1273</v>
      </c>
      <c r="AA53" s="4">
        <v>23.58</v>
      </c>
      <c r="AB53" s="4">
        <v>7.75</v>
      </c>
      <c r="AC53" s="4">
        <v>6.48</v>
      </c>
      <c r="AD53" s="4">
        <v>10.66</v>
      </c>
      <c r="AE53" s="4">
        <v>4.03</v>
      </c>
      <c r="AF53" s="4">
        <v>7</v>
      </c>
      <c r="AG53" s="4">
        <v>59.5</v>
      </c>
      <c r="AI53" s="132">
        <f t="shared" si="0"/>
        <v>0.17960688813364606</v>
      </c>
      <c r="AJ53" s="132">
        <f t="shared" si="1"/>
        <v>5.9031101909913362E-2</v>
      </c>
      <c r="AK53" s="132">
        <f t="shared" si="2"/>
        <v>4.9357618113063044E-2</v>
      </c>
      <c r="AL53" s="132">
        <f t="shared" si="3"/>
        <v>8.1196328562538889E-2</v>
      </c>
      <c r="AM53" s="132">
        <f t="shared" si="4"/>
        <v>3.0696172993154951E-2</v>
      </c>
      <c r="AN53" s="132">
        <f t="shared" si="5"/>
        <v>5.3318414628308844E-2</v>
      </c>
    </row>
    <row r="54" spans="24:40" ht="15.75" customHeight="1" x14ac:dyDescent="0.3">
      <c r="X54" s="4">
        <v>52</v>
      </c>
      <c r="Y54" s="131" t="s">
        <v>375</v>
      </c>
      <c r="Z54" s="4">
        <v>1332</v>
      </c>
      <c r="AA54" s="4">
        <v>23.17</v>
      </c>
      <c r="AB54" s="4">
        <v>11.2</v>
      </c>
      <c r="AC54" s="4">
        <v>6.48</v>
      </c>
      <c r="AD54" s="4">
        <v>11.18</v>
      </c>
      <c r="AE54" s="4">
        <v>4.03</v>
      </c>
      <c r="AF54" s="4">
        <v>8.0500000000000007</v>
      </c>
      <c r="AG54" s="4">
        <v>64.110000000000014</v>
      </c>
      <c r="AI54" s="132">
        <f t="shared" si="0"/>
        <v>0.18466349145565078</v>
      </c>
      <c r="AJ54" s="132">
        <f t="shared" si="1"/>
        <v>8.926331913264085E-2</v>
      </c>
      <c r="AK54" s="132">
        <f t="shared" si="2"/>
        <v>5.1645206069599353E-2</v>
      </c>
      <c r="AL54" s="132">
        <f t="shared" si="3"/>
        <v>8.9103920348475418E-2</v>
      </c>
      <c r="AM54" s="132">
        <f t="shared" si="4"/>
        <v>3.211885500933416E-2</v>
      </c>
      <c r="AN54" s="132">
        <f t="shared" si="5"/>
        <v>6.4158010626585618E-2</v>
      </c>
    </row>
    <row r="55" spans="24:40" ht="15.75" customHeight="1" x14ac:dyDescent="0.3">
      <c r="X55" s="4">
        <v>53</v>
      </c>
      <c r="Y55" s="131" t="s">
        <v>389</v>
      </c>
      <c r="Z55" s="4">
        <v>1045</v>
      </c>
      <c r="AA55" s="4">
        <v>27.22</v>
      </c>
      <c r="AB55" s="4">
        <v>13.31</v>
      </c>
      <c r="AC55" s="4">
        <v>6</v>
      </c>
      <c r="AD55" s="4">
        <v>8.68</v>
      </c>
      <c r="AE55" s="4">
        <v>4.03</v>
      </c>
      <c r="AF55" s="4">
        <v>7.08</v>
      </c>
      <c r="AG55" s="4">
        <v>66.320000000000007</v>
      </c>
      <c r="AI55" s="132">
        <f t="shared" si="0"/>
        <v>0.17019829113015172</v>
      </c>
      <c r="AJ55" s="132">
        <f t="shared" si="1"/>
        <v>8.3223337800966926E-2</v>
      </c>
      <c r="AK55" s="132">
        <f t="shared" si="2"/>
        <v>3.7516155282178928E-2</v>
      </c>
      <c r="AL55" s="132">
        <f t="shared" si="3"/>
        <v>5.4273371308218854E-2</v>
      </c>
      <c r="AM55" s="132">
        <f t="shared" si="4"/>
        <v>2.5198350964530183E-2</v>
      </c>
      <c r="AN55" s="132">
        <f t="shared" si="5"/>
        <v>4.426906323297114E-2</v>
      </c>
    </row>
    <row r="56" spans="24:40" ht="15.75" customHeight="1" x14ac:dyDescent="0.3">
      <c r="X56" s="4">
        <v>54</v>
      </c>
      <c r="Y56" s="131" t="s">
        <v>367</v>
      </c>
      <c r="Z56" s="4">
        <v>1921</v>
      </c>
      <c r="AA56" s="4">
        <v>22.88</v>
      </c>
      <c r="AB56" s="4">
        <v>13.76</v>
      </c>
      <c r="AC56" s="4">
        <v>7</v>
      </c>
      <c r="AD56" s="4">
        <v>12.63</v>
      </c>
      <c r="AE56" s="4">
        <v>3.5</v>
      </c>
      <c r="AF56" s="4">
        <v>7</v>
      </c>
      <c r="AG56" s="4">
        <v>66.77000000000001</v>
      </c>
      <c r="AI56" s="132">
        <f t="shared" si="0"/>
        <v>0.26298693217174857</v>
      </c>
      <c r="AJ56" s="132">
        <f t="shared" si="1"/>
        <v>0.15815997319419844</v>
      </c>
      <c r="AK56" s="132">
        <f t="shared" si="2"/>
        <v>8.04592886889091E-2</v>
      </c>
      <c r="AL56" s="132">
        <f t="shared" si="3"/>
        <v>0.14517154516298886</v>
      </c>
      <c r="AM56" s="132">
        <f t="shared" si="4"/>
        <v>4.022964434445455E-2</v>
      </c>
      <c r="AN56" s="132">
        <f t="shared" si="5"/>
        <v>8.04592886889091E-2</v>
      </c>
    </row>
    <row r="57" spans="24:40" ht="15.75" customHeight="1" x14ac:dyDescent="0.3">
      <c r="X57" s="4">
        <v>55</v>
      </c>
      <c r="Y57" s="131" t="s">
        <v>318</v>
      </c>
      <c r="Z57" s="4">
        <v>1593</v>
      </c>
      <c r="AA57" s="4">
        <v>19.649999999999999</v>
      </c>
      <c r="AB57" s="4">
        <v>9.86</v>
      </c>
      <c r="AC57" s="4">
        <v>6.8</v>
      </c>
      <c r="AD57" s="4">
        <v>12.63</v>
      </c>
      <c r="AE57" s="4">
        <v>3.5</v>
      </c>
      <c r="AF57" s="4">
        <v>6.16</v>
      </c>
      <c r="AG57" s="4">
        <v>58.599999999999994</v>
      </c>
      <c r="AI57" s="132">
        <f t="shared" si="0"/>
        <v>0.18729626394141016</v>
      </c>
      <c r="AJ57" s="132">
        <f t="shared" si="1"/>
        <v>9.3981738547699964E-2</v>
      </c>
      <c r="AK57" s="132">
        <f t="shared" si="2"/>
        <v>6.4814992101862048E-2</v>
      </c>
      <c r="AL57" s="132">
        <f t="shared" si="3"/>
        <v>0.12038431621272318</v>
      </c>
      <c r="AM57" s="132">
        <f t="shared" si="4"/>
        <v>3.3360657699487817E-2</v>
      </c>
      <c r="AN57" s="132">
        <f t="shared" si="5"/>
        <v>5.8714757551098562E-2</v>
      </c>
    </row>
    <row r="58" spans="24:40" ht="15.75" customHeight="1" x14ac:dyDescent="0.3">
      <c r="X58" s="4">
        <v>56</v>
      </c>
      <c r="Y58" s="131" t="s">
        <v>394</v>
      </c>
      <c r="Z58" s="4">
        <v>1246</v>
      </c>
      <c r="AA58" s="4">
        <v>31.44</v>
      </c>
      <c r="AB58" s="4">
        <v>7.28</v>
      </c>
      <c r="AC58" s="4">
        <v>8.2799999999999994</v>
      </c>
      <c r="AD58" s="4">
        <v>12.75</v>
      </c>
      <c r="AE58" s="4">
        <v>3.8</v>
      </c>
      <c r="AF58" s="4">
        <v>7.99</v>
      </c>
      <c r="AG58" s="4">
        <v>71.539999999999992</v>
      </c>
      <c r="AI58" s="132">
        <f t="shared" si="0"/>
        <v>0.23439663012780623</v>
      </c>
      <c r="AJ58" s="132">
        <f t="shared" si="1"/>
        <v>5.4275046670815189E-2</v>
      </c>
      <c r="AK58" s="132">
        <f t="shared" si="2"/>
        <v>6.1730410224498586E-2</v>
      </c>
      <c r="AL58" s="132">
        <f t="shared" si="3"/>
        <v>9.5055885309463406E-2</v>
      </c>
      <c r="AM58" s="132">
        <f t="shared" si="4"/>
        <v>2.8330381503996936E-2</v>
      </c>
      <c r="AN58" s="132">
        <f t="shared" si="5"/>
        <v>5.9568354793930405E-2</v>
      </c>
    </row>
    <row r="59" spans="24:40" ht="15.75" customHeight="1" x14ac:dyDescent="0.3">
      <c r="X59" s="4">
        <v>57</v>
      </c>
      <c r="Y59" s="131" t="s">
        <v>330</v>
      </c>
      <c r="Z59" s="4">
        <v>1341</v>
      </c>
      <c r="AA59" s="4">
        <v>20.32</v>
      </c>
      <c r="AB59" s="4">
        <v>11.61</v>
      </c>
      <c r="AC59" s="4">
        <v>7</v>
      </c>
      <c r="AD59" s="4">
        <v>12.63</v>
      </c>
      <c r="AE59" s="4">
        <v>3.5</v>
      </c>
      <c r="AF59" s="4">
        <v>7.17</v>
      </c>
      <c r="AG59" s="4">
        <v>62.230000000000004</v>
      </c>
      <c r="AI59" s="132">
        <f t="shared" si="0"/>
        <v>0.1630434158249964</v>
      </c>
      <c r="AJ59" s="132">
        <f t="shared" si="1"/>
        <v>9.3156203628356693E-2</v>
      </c>
      <c r="AK59" s="132">
        <f t="shared" si="2"/>
        <v>5.6166531042075536E-2</v>
      </c>
      <c r="AL59" s="132">
        <f t="shared" si="3"/>
        <v>0.10134046958020201</v>
      </c>
      <c r="AM59" s="132">
        <f t="shared" si="4"/>
        <v>2.8083265521037768E-2</v>
      </c>
      <c r="AN59" s="132">
        <f t="shared" si="5"/>
        <v>5.7530575367383083E-2</v>
      </c>
    </row>
    <row r="60" spans="24:40" ht="15.75" customHeight="1" x14ac:dyDescent="0.3">
      <c r="X60" s="4">
        <v>58</v>
      </c>
      <c r="Y60" s="131" t="s">
        <v>397</v>
      </c>
      <c r="Z60" s="4">
        <v>1884</v>
      </c>
      <c r="AA60" s="4">
        <v>27.13</v>
      </c>
      <c r="AB60" s="4">
        <v>8.3699999999999992</v>
      </c>
      <c r="AC60" s="4">
        <v>7.68</v>
      </c>
      <c r="AD60" s="4">
        <v>12.05</v>
      </c>
      <c r="AE60" s="4">
        <v>4.25</v>
      </c>
      <c r="AF60" s="4">
        <v>8.5</v>
      </c>
      <c r="AG60" s="4">
        <v>67.98</v>
      </c>
      <c r="AI60" s="132">
        <f t="shared" si="0"/>
        <v>0.30583097984778135</v>
      </c>
      <c r="AJ60" s="132">
        <f t="shared" si="1"/>
        <v>9.4353310037815316E-2</v>
      </c>
      <c r="AK60" s="132">
        <f t="shared" si="2"/>
        <v>8.6575080178067101E-2</v>
      </c>
      <c r="AL60" s="132">
        <f t="shared" si="3"/>
        <v>0.13583720262313914</v>
      </c>
      <c r="AM60" s="132">
        <f t="shared" si="4"/>
        <v>4.7909386817289741E-2</v>
      </c>
      <c r="AN60" s="132">
        <f t="shared" si="5"/>
        <v>9.5818773634579482E-2</v>
      </c>
    </row>
    <row r="61" spans="24:40" ht="15.75" customHeight="1" x14ac:dyDescent="0.3">
      <c r="X61" s="4">
        <v>59</v>
      </c>
      <c r="Y61" s="131" t="s">
        <v>400</v>
      </c>
      <c r="Z61" s="4">
        <v>1337</v>
      </c>
      <c r="AA61" s="4">
        <v>26.07</v>
      </c>
      <c r="AB61" s="4">
        <v>7.49</v>
      </c>
      <c r="AC61" s="4">
        <v>6.78</v>
      </c>
      <c r="AD61" s="4">
        <v>11.57</v>
      </c>
      <c r="AE61" s="4">
        <v>4.18</v>
      </c>
      <c r="AF61" s="4">
        <v>7.15</v>
      </c>
      <c r="AG61" s="4">
        <v>63.24</v>
      </c>
      <c r="AI61" s="132">
        <f t="shared" si="0"/>
        <v>0.20855625628260976</v>
      </c>
      <c r="AJ61" s="132">
        <f t="shared" si="1"/>
        <v>5.9918924417213158E-2</v>
      </c>
      <c r="AK61" s="132">
        <f t="shared" si="2"/>
        <v>5.4239026374994018E-2</v>
      </c>
      <c r="AL61" s="132">
        <f t="shared" si="3"/>
        <v>9.2558338518979461E-2</v>
      </c>
      <c r="AM61" s="132">
        <f t="shared" si="4"/>
        <v>3.3439399741515483E-2</v>
      </c>
      <c r="AN61" s="132">
        <f t="shared" si="5"/>
        <v>5.7198973242065965E-2</v>
      </c>
    </row>
    <row r="62" spans="24:40" ht="15.75" customHeight="1" x14ac:dyDescent="0.3">
      <c r="X62" s="4">
        <v>60</v>
      </c>
      <c r="Y62" s="131" t="s">
        <v>372</v>
      </c>
      <c r="Z62" s="4">
        <v>1733</v>
      </c>
      <c r="AA62" s="4">
        <v>23.01</v>
      </c>
      <c r="AB62" s="4">
        <v>13.37</v>
      </c>
      <c r="AC62" s="4">
        <v>7.21</v>
      </c>
      <c r="AD62" s="4">
        <v>12.51</v>
      </c>
      <c r="AE62" s="4">
        <v>3.5</v>
      </c>
      <c r="AF62" s="4">
        <v>7</v>
      </c>
      <c r="AG62" s="4">
        <v>66.599999999999994</v>
      </c>
      <c r="AI62" s="132">
        <f t="shared" si="0"/>
        <v>0.23859754200373368</v>
      </c>
      <c r="AJ62" s="132">
        <f t="shared" si="1"/>
        <v>0.13863751136853189</v>
      </c>
      <c r="AK62" s="132">
        <f t="shared" si="2"/>
        <v>7.4762637020726636E-2</v>
      </c>
      <c r="AL62" s="132">
        <f t="shared" si="3"/>
        <v>0.12971991527452012</v>
      </c>
      <c r="AM62" s="132">
        <f t="shared" si="4"/>
        <v>3.6292542243071178E-2</v>
      </c>
      <c r="AN62" s="132">
        <f t="shared" si="5"/>
        <v>7.2585084486142357E-2</v>
      </c>
    </row>
    <row r="63" spans="24:40" ht="15.75" customHeight="1" x14ac:dyDescent="0.3">
      <c r="X63" s="4">
        <v>61</v>
      </c>
      <c r="Y63" s="131" t="s">
        <v>403</v>
      </c>
      <c r="Z63" s="4">
        <v>1347</v>
      </c>
      <c r="AA63" s="4">
        <v>26.61</v>
      </c>
      <c r="AB63" s="4">
        <v>11.74</v>
      </c>
      <c r="AC63" s="4">
        <v>7.21</v>
      </c>
      <c r="AD63" s="4">
        <v>12.63</v>
      </c>
      <c r="AE63" s="4">
        <v>3.5</v>
      </c>
      <c r="AF63" s="4">
        <v>7</v>
      </c>
      <c r="AG63" s="4">
        <v>68.69</v>
      </c>
      <c r="AI63" s="132">
        <f t="shared" si="0"/>
        <v>0.21446837154755635</v>
      </c>
      <c r="AJ63" s="132">
        <f t="shared" si="1"/>
        <v>9.4620769709444261E-2</v>
      </c>
      <c r="AK63" s="132">
        <f t="shared" si="2"/>
        <v>5.8110370494471306E-2</v>
      </c>
      <c r="AL63" s="132">
        <f t="shared" si="3"/>
        <v>0.10179389450002393</v>
      </c>
      <c r="AM63" s="132">
        <f t="shared" si="4"/>
        <v>2.8208917715762769E-2</v>
      </c>
      <c r="AN63" s="132">
        <f t="shared" si="5"/>
        <v>5.6417835431525537E-2</v>
      </c>
    </row>
    <row r="64" spans="24:40" ht="15.75" customHeight="1" x14ac:dyDescent="0.3">
      <c r="X64" s="4">
        <v>62</v>
      </c>
      <c r="Y64" s="131" t="s">
        <v>405</v>
      </c>
      <c r="Z64" s="4">
        <v>1144</v>
      </c>
      <c r="AA64" s="4">
        <v>25.16</v>
      </c>
      <c r="AB64" s="4">
        <v>13.3</v>
      </c>
      <c r="AC64" s="4">
        <v>4.04</v>
      </c>
      <c r="AD64" s="4">
        <v>10.220000000000001</v>
      </c>
      <c r="AE64" s="4">
        <v>2.85</v>
      </c>
      <c r="AF64" s="4">
        <v>3.4</v>
      </c>
      <c r="AG64" s="4">
        <v>58.97</v>
      </c>
      <c r="AI64" s="132">
        <f t="shared" si="0"/>
        <v>0.17222153080273803</v>
      </c>
      <c r="AJ64" s="132">
        <f t="shared" si="1"/>
        <v>9.1039203484754208E-2</v>
      </c>
      <c r="AK64" s="132">
        <f t="shared" si="2"/>
        <v>2.765401369010579E-2</v>
      </c>
      <c r="AL64" s="132">
        <f t="shared" si="3"/>
        <v>6.9956440572495338E-2</v>
      </c>
      <c r="AM64" s="132">
        <f t="shared" si="4"/>
        <v>1.9508400746733042E-2</v>
      </c>
      <c r="AN64" s="132">
        <f t="shared" si="5"/>
        <v>2.3273179838207841E-2</v>
      </c>
    </row>
    <row r="65" spans="24:40" ht="15.75" customHeight="1" x14ac:dyDescent="0.3">
      <c r="X65" s="4">
        <v>63</v>
      </c>
      <c r="Y65" s="131" t="s">
        <v>406</v>
      </c>
      <c r="Z65" s="4">
        <v>2522</v>
      </c>
      <c r="AA65" s="4">
        <v>34.270000000000003</v>
      </c>
      <c r="AB65" s="4">
        <v>12.25</v>
      </c>
      <c r="AC65" s="4">
        <v>4.8</v>
      </c>
      <c r="AD65" s="4">
        <v>8.1</v>
      </c>
      <c r="AE65" s="4">
        <v>3.65</v>
      </c>
      <c r="AF65" s="4">
        <v>4.96</v>
      </c>
      <c r="AG65" s="4">
        <v>68.03</v>
      </c>
      <c r="AI65" s="132">
        <f t="shared" si="0"/>
        <v>0.517142190416926</v>
      </c>
      <c r="AJ65" s="132">
        <f t="shared" si="1"/>
        <v>0.18485532047293093</v>
      </c>
      <c r="AK65" s="132">
        <f t="shared" si="2"/>
        <v>7.2433105164903547E-2</v>
      </c>
      <c r="AL65" s="132">
        <f t="shared" si="3"/>
        <v>0.12223086496577475</v>
      </c>
      <c r="AM65" s="132">
        <f t="shared" si="4"/>
        <v>5.5079340385812067E-2</v>
      </c>
      <c r="AN65" s="132">
        <f t="shared" si="5"/>
        <v>7.4847542003733669E-2</v>
      </c>
    </row>
    <row r="66" spans="24:40" ht="15.75" customHeight="1" x14ac:dyDescent="0.3">
      <c r="X66" s="4">
        <v>64</v>
      </c>
      <c r="Y66" s="131" t="s">
        <v>409</v>
      </c>
      <c r="Z66" s="4">
        <v>1229</v>
      </c>
      <c r="AA66" s="4">
        <v>32.15</v>
      </c>
      <c r="AB66" s="4">
        <v>8.98</v>
      </c>
      <c r="AC66" s="4">
        <v>7.21</v>
      </c>
      <c r="AD66" s="4">
        <v>12.63</v>
      </c>
      <c r="AE66" s="4">
        <v>3.5</v>
      </c>
      <c r="AF66" s="4">
        <v>4.43</v>
      </c>
      <c r="AG66" s="4">
        <v>68.900000000000006</v>
      </c>
      <c r="AI66" s="132">
        <f t="shared" si="0"/>
        <v>0.23641969029725718</v>
      </c>
      <c r="AJ66" s="132">
        <f t="shared" si="1"/>
        <v>6.6035733090804655E-2</v>
      </c>
      <c r="AK66" s="132">
        <f t="shared" si="2"/>
        <v>5.3019781245512425E-2</v>
      </c>
      <c r="AL66" s="132">
        <f t="shared" si="3"/>
        <v>9.2876537743525917E-2</v>
      </c>
      <c r="AM66" s="132">
        <f t="shared" si="4"/>
        <v>2.5737757886171077E-2</v>
      </c>
      <c r="AN66" s="132">
        <f t="shared" si="5"/>
        <v>3.2576647838782245E-2</v>
      </c>
    </row>
    <row r="67" spans="24:40" ht="15.75" customHeight="1" x14ac:dyDescent="0.3">
      <c r="X67" s="4">
        <v>65</v>
      </c>
      <c r="Y67" s="131" t="s">
        <v>306</v>
      </c>
      <c r="Z67" s="4">
        <v>1475</v>
      </c>
      <c r="AA67" s="4">
        <v>16.59</v>
      </c>
      <c r="AB67" s="4">
        <v>10.16</v>
      </c>
      <c r="AC67" s="4">
        <v>4.29</v>
      </c>
      <c r="AD67" s="4">
        <v>11.25</v>
      </c>
      <c r="AE67" s="4">
        <v>3.18</v>
      </c>
      <c r="AF67" s="4">
        <v>3</v>
      </c>
      <c r="AG67" s="4">
        <v>48.47</v>
      </c>
      <c r="AI67" s="132">
        <f t="shared" si="0"/>
        <v>0.14641621990330764</v>
      </c>
      <c r="AJ67" s="132">
        <f t="shared" si="1"/>
        <v>8.966779953089847E-2</v>
      </c>
      <c r="AK67" s="132">
        <f t="shared" si="2"/>
        <v>3.7861698817672679E-2</v>
      </c>
      <c r="AL67" s="132">
        <f t="shared" si="3"/>
        <v>9.9287671724666127E-2</v>
      </c>
      <c r="AM67" s="132">
        <f t="shared" si="4"/>
        <v>2.8065315207505624E-2</v>
      </c>
      <c r="AN67" s="132">
        <f t="shared" si="5"/>
        <v>2.6476712459910966E-2</v>
      </c>
    </row>
    <row r="68" spans="24:40" ht="15.75" customHeight="1" x14ac:dyDescent="0.3">
      <c r="X68" s="4">
        <v>66</v>
      </c>
      <c r="Y68" s="131" t="s">
        <v>412</v>
      </c>
      <c r="Z68" s="4">
        <v>1292</v>
      </c>
      <c r="AA68" s="4">
        <v>27.83</v>
      </c>
      <c r="AB68" s="4">
        <v>13.87</v>
      </c>
      <c r="AC68" s="4">
        <v>8.9</v>
      </c>
      <c r="AD68" s="4">
        <v>11.01</v>
      </c>
      <c r="AE68" s="4">
        <v>3.5</v>
      </c>
      <c r="AF68" s="4">
        <v>6.11</v>
      </c>
      <c r="AG68" s="4">
        <v>71.219999999999985</v>
      </c>
      <c r="AI68" s="132">
        <f t="shared" si="0"/>
        <v>0.21514264515820211</v>
      </c>
      <c r="AJ68" s="132">
        <f t="shared" si="1"/>
        <v>0.1072234455028481</v>
      </c>
      <c r="AK68" s="132">
        <f t="shared" si="2"/>
        <v>6.8802355081135427E-2</v>
      </c>
      <c r="AL68" s="132">
        <f t="shared" si="3"/>
        <v>8.5113924656550669E-2</v>
      </c>
      <c r="AM68" s="132">
        <f t="shared" si="4"/>
        <v>2.7057105930783591E-2</v>
      </c>
      <c r="AN68" s="132">
        <f t="shared" si="5"/>
        <v>4.7233976353453645E-2</v>
      </c>
    </row>
    <row r="69" spans="24:40" ht="15.75" customHeight="1" x14ac:dyDescent="0.3">
      <c r="X69" s="4">
        <v>67</v>
      </c>
      <c r="Y69" s="131" t="s">
        <v>414</v>
      </c>
      <c r="Z69" s="4">
        <v>1274</v>
      </c>
      <c r="AA69" s="4">
        <v>30.14</v>
      </c>
      <c r="AB69" s="4">
        <v>10.42</v>
      </c>
      <c r="AC69" s="4">
        <v>7</v>
      </c>
      <c r="AD69" s="4">
        <v>10.5</v>
      </c>
      <c r="AE69" s="4">
        <v>3.5</v>
      </c>
      <c r="AF69" s="4">
        <v>7.23</v>
      </c>
      <c r="AG69" s="4">
        <v>68.790000000000006</v>
      </c>
      <c r="AI69" s="132">
        <f t="shared" si="0"/>
        <v>0.22975420037336652</v>
      </c>
      <c r="AJ69" s="132">
        <f t="shared" si="1"/>
        <v>7.9430616054760428E-2</v>
      </c>
      <c r="AK69" s="132">
        <f t="shared" si="2"/>
        <v>5.3360298693217172E-2</v>
      </c>
      <c r="AL69" s="132">
        <f t="shared" si="3"/>
        <v>8.0040448039825768E-2</v>
      </c>
      <c r="AM69" s="132">
        <f t="shared" si="4"/>
        <v>2.6680149346608586E-2</v>
      </c>
      <c r="AN69" s="132">
        <f t="shared" si="5"/>
        <v>5.5113565650280028E-2</v>
      </c>
    </row>
    <row r="70" spans="24:40" ht="15.75" customHeight="1" x14ac:dyDescent="0.3">
      <c r="X70" s="4">
        <v>68</v>
      </c>
      <c r="Y70" s="131" t="s">
        <v>298</v>
      </c>
      <c r="Z70" s="4">
        <v>1779</v>
      </c>
      <c r="AA70" s="4">
        <v>14.54</v>
      </c>
      <c r="AB70" s="4">
        <v>9.64</v>
      </c>
      <c r="AC70" s="4">
        <v>7</v>
      </c>
      <c r="AD70" s="4">
        <v>11.31</v>
      </c>
      <c r="AE70" s="4">
        <v>3.5</v>
      </c>
      <c r="AF70" s="4">
        <v>7.23</v>
      </c>
      <c r="AG70" s="4">
        <v>53.22</v>
      </c>
      <c r="AI70" s="132">
        <f t="shared" si="0"/>
        <v>0.15477155234311427</v>
      </c>
      <c r="AJ70" s="132">
        <f t="shared" si="1"/>
        <v>0.10261332631276628</v>
      </c>
      <c r="AK70" s="132">
        <f t="shared" si="2"/>
        <v>7.4511751471925708E-2</v>
      </c>
      <c r="AL70" s="132">
        <f t="shared" si="3"/>
        <v>0.12038970130678284</v>
      </c>
      <c r="AM70" s="132">
        <f t="shared" si="4"/>
        <v>3.7255875735962854E-2</v>
      </c>
      <c r="AN70" s="132">
        <f t="shared" si="5"/>
        <v>7.6959994734574697E-2</v>
      </c>
    </row>
    <row r="71" spans="24:40" ht="15.75" customHeight="1" x14ac:dyDescent="0.3">
      <c r="X71" s="4">
        <v>69</v>
      </c>
      <c r="Y71" s="131" t="s">
        <v>417</v>
      </c>
      <c r="Z71" s="4">
        <v>1661</v>
      </c>
      <c r="AA71" s="4">
        <v>31.54</v>
      </c>
      <c r="AB71" s="4">
        <v>10</v>
      </c>
      <c r="AC71" s="4">
        <v>7</v>
      </c>
      <c r="AD71" s="4">
        <v>10.5</v>
      </c>
      <c r="AE71" s="4">
        <v>3.5</v>
      </c>
      <c r="AF71" s="4">
        <v>6.4</v>
      </c>
      <c r="AG71" s="4">
        <v>68.94</v>
      </c>
      <c r="AI71" s="132">
        <f t="shared" si="0"/>
        <v>0.31345998276769899</v>
      </c>
      <c r="AJ71" s="132">
        <f t="shared" si="1"/>
        <v>9.9384902589631896E-2</v>
      </c>
      <c r="AK71" s="132">
        <f t="shared" si="2"/>
        <v>6.9569431812742333E-2</v>
      </c>
      <c r="AL71" s="132">
        <f t="shared" si="3"/>
        <v>0.1043541477191135</v>
      </c>
      <c r="AM71" s="132">
        <f t="shared" si="4"/>
        <v>3.4784715906371166E-2</v>
      </c>
      <c r="AN71" s="132">
        <f t="shared" si="5"/>
        <v>6.3606337657364426E-2</v>
      </c>
    </row>
    <row r="72" spans="24:40" ht="15.75" customHeight="1" x14ac:dyDescent="0.3">
      <c r="X72" s="4">
        <v>70</v>
      </c>
      <c r="Y72" s="131" t="s">
        <v>335</v>
      </c>
      <c r="Z72" s="4">
        <v>1044</v>
      </c>
      <c r="AA72" s="4">
        <v>20.72</v>
      </c>
      <c r="AB72" s="4">
        <v>10.77</v>
      </c>
      <c r="AC72" s="4">
        <v>8.5</v>
      </c>
      <c r="AD72" s="4">
        <v>12.31</v>
      </c>
      <c r="AE72" s="4">
        <v>4.25</v>
      </c>
      <c r="AF72" s="4">
        <v>7.4</v>
      </c>
      <c r="AG72" s="4">
        <v>63.949999999999996</v>
      </c>
      <c r="AI72" s="132">
        <f t="shared" si="0"/>
        <v>0.12943181274232923</v>
      </c>
      <c r="AJ72" s="132">
        <f t="shared" si="1"/>
        <v>6.7277057105930779E-2</v>
      </c>
      <c r="AK72" s="132">
        <f t="shared" si="2"/>
        <v>5.3097027428079077E-2</v>
      </c>
      <c r="AL72" s="132">
        <f t="shared" si="3"/>
        <v>7.6896989134076887E-2</v>
      </c>
      <c r="AM72" s="132">
        <f t="shared" si="4"/>
        <v>2.6548513714039539E-2</v>
      </c>
      <c r="AN72" s="132">
        <f t="shared" si="5"/>
        <v>4.6225647407974725E-2</v>
      </c>
    </row>
    <row r="73" spans="24:40" ht="15.75" customHeight="1" x14ac:dyDescent="0.3">
      <c r="X73" s="4">
        <v>71</v>
      </c>
      <c r="Y73" s="131" t="s">
        <v>418</v>
      </c>
      <c r="Z73" s="4">
        <v>1185</v>
      </c>
      <c r="AA73" s="4">
        <v>26</v>
      </c>
      <c r="AB73" s="4">
        <v>8</v>
      </c>
      <c r="AC73" s="4">
        <v>6</v>
      </c>
      <c r="AD73" s="4">
        <v>8</v>
      </c>
      <c r="AE73" s="4">
        <v>3</v>
      </c>
      <c r="AF73" s="4">
        <v>6</v>
      </c>
      <c r="AG73" s="4">
        <v>57</v>
      </c>
      <c r="AI73" s="132">
        <f t="shared" si="0"/>
        <v>0.18434971997510891</v>
      </c>
      <c r="AJ73" s="132">
        <f t="shared" si="1"/>
        <v>5.6722990761571966E-2</v>
      </c>
      <c r="AK73" s="132">
        <f t="shared" si="2"/>
        <v>4.254224307117898E-2</v>
      </c>
      <c r="AL73" s="132">
        <f t="shared" si="3"/>
        <v>5.6722990761571966E-2</v>
      </c>
      <c r="AM73" s="132">
        <f t="shared" si="4"/>
        <v>2.127112153558949E-2</v>
      </c>
      <c r="AN73" s="132">
        <f t="shared" si="5"/>
        <v>4.254224307117898E-2</v>
      </c>
    </row>
    <row r="74" spans="24:40" ht="15.75" customHeight="1" x14ac:dyDescent="0.3">
      <c r="X74" s="4">
        <v>72</v>
      </c>
      <c r="Y74" s="131" t="s">
        <v>286</v>
      </c>
      <c r="Z74" s="4">
        <v>1120</v>
      </c>
      <c r="AA74" s="4">
        <v>12.44</v>
      </c>
      <c r="AB74" s="4">
        <v>14.29</v>
      </c>
      <c r="AC74" s="4">
        <v>4.21</v>
      </c>
      <c r="AD74" s="4">
        <v>10.47</v>
      </c>
      <c r="AE74" s="4">
        <v>2.1800000000000002</v>
      </c>
      <c r="AF74" s="4">
        <v>4.4000000000000004</v>
      </c>
      <c r="AG74" s="4">
        <v>47.989999999999995</v>
      </c>
      <c r="AI74" s="132">
        <f t="shared" si="0"/>
        <v>8.3366042793547451E-2</v>
      </c>
      <c r="AJ74" s="132">
        <f t="shared" si="1"/>
        <v>9.5763726006414238E-2</v>
      </c>
      <c r="AK74" s="132">
        <f t="shared" si="2"/>
        <v>2.8213106122253601E-2</v>
      </c>
      <c r="AL74" s="132">
        <f t="shared" si="3"/>
        <v>7.0164185534440676E-2</v>
      </c>
      <c r="AM74" s="132">
        <f t="shared" si="4"/>
        <v>1.4609161840026808E-2</v>
      </c>
      <c r="AN74" s="132">
        <f t="shared" si="5"/>
        <v>2.9486381695466947E-2</v>
      </c>
    </row>
    <row r="75" spans="24:40" ht="15.75" customHeight="1" x14ac:dyDescent="0.3">
      <c r="X75" s="4">
        <v>73</v>
      </c>
      <c r="Y75" s="131" t="s">
        <v>283</v>
      </c>
      <c r="Z75" s="4">
        <v>1476</v>
      </c>
      <c r="AA75" s="4">
        <v>12.06</v>
      </c>
      <c r="AB75" s="4">
        <v>12.97</v>
      </c>
      <c r="AC75" s="4">
        <v>7.21</v>
      </c>
      <c r="AD75" s="4">
        <v>10.4</v>
      </c>
      <c r="AE75" s="4">
        <v>3.58</v>
      </c>
      <c r="AF75" s="4">
        <v>3</v>
      </c>
      <c r="AG75" s="4">
        <v>49.22</v>
      </c>
      <c r="AI75" s="132">
        <f t="shared" si="0"/>
        <v>0.10650854434924131</v>
      </c>
      <c r="AJ75" s="132">
        <f t="shared" si="1"/>
        <v>0.11454525872385238</v>
      </c>
      <c r="AK75" s="132">
        <f t="shared" si="2"/>
        <v>6.3675506198841603E-2</v>
      </c>
      <c r="AL75" s="132">
        <f t="shared" si="3"/>
        <v>9.1848164281269448E-2</v>
      </c>
      <c r="AM75" s="132">
        <f t="shared" si="4"/>
        <v>3.1616964242975443E-2</v>
      </c>
      <c r="AN75" s="132">
        <f t="shared" si="5"/>
        <v>2.649466277344311E-2</v>
      </c>
    </row>
    <row r="76" spans="24:40" ht="15.75" customHeight="1" x14ac:dyDescent="0.3">
      <c r="X76" s="4">
        <v>74</v>
      </c>
      <c r="Y76" s="131" t="s">
        <v>288</v>
      </c>
      <c r="Z76" s="4">
        <v>1054</v>
      </c>
      <c r="AA76" s="4">
        <v>13.04</v>
      </c>
      <c r="AB76" s="4">
        <v>6.9</v>
      </c>
      <c r="AC76" s="4">
        <v>6.96</v>
      </c>
      <c r="AD76" s="4">
        <v>9.8000000000000007</v>
      </c>
      <c r="AE76" s="4">
        <v>3.5</v>
      </c>
      <c r="AF76" s="4">
        <v>4.2</v>
      </c>
      <c r="AG76" s="4">
        <v>44.400000000000006</v>
      </c>
      <c r="AI76" s="132">
        <f t="shared" si="0"/>
        <v>8.2237327078646311E-2</v>
      </c>
      <c r="AJ76" s="132">
        <f t="shared" si="1"/>
        <v>4.351515006462113E-2</v>
      </c>
      <c r="AK76" s="132">
        <f t="shared" si="2"/>
        <v>4.3893542673878704E-2</v>
      </c>
      <c r="AL76" s="132">
        <f t="shared" si="3"/>
        <v>6.1804126178737262E-2</v>
      </c>
      <c r="AM76" s="132">
        <f t="shared" si="4"/>
        <v>2.2072902206691877E-2</v>
      </c>
      <c r="AN76" s="132">
        <f t="shared" si="5"/>
        <v>2.6487482648030254E-2</v>
      </c>
    </row>
    <row r="77" spans="24:40" ht="15.75" customHeight="1" x14ac:dyDescent="0.3">
      <c r="X77" s="4">
        <v>75</v>
      </c>
      <c r="Y77" s="131" t="s">
        <v>316</v>
      </c>
      <c r="Z77" s="4">
        <v>1430</v>
      </c>
      <c r="AA77" s="4">
        <v>19.53</v>
      </c>
      <c r="AB77" s="4">
        <v>13.74</v>
      </c>
      <c r="AC77" s="4">
        <v>7.29</v>
      </c>
      <c r="AD77" s="4">
        <v>10.09</v>
      </c>
      <c r="AE77" s="4">
        <v>3.1</v>
      </c>
      <c r="AF77" s="4">
        <v>5</v>
      </c>
      <c r="AG77" s="4">
        <v>58.750000000000007</v>
      </c>
      <c r="AI77" s="132">
        <f t="shared" si="0"/>
        <v>0.1671048537647791</v>
      </c>
      <c r="AJ77" s="132">
        <f t="shared" si="1"/>
        <v>0.11756378344741755</v>
      </c>
      <c r="AK77" s="132">
        <f t="shared" si="2"/>
        <v>6.2375544492843812E-2</v>
      </c>
      <c r="AL77" s="132">
        <f t="shared" si="3"/>
        <v>8.6333229620410692E-2</v>
      </c>
      <c r="AM77" s="132">
        <f t="shared" si="4"/>
        <v>2.6524579962663348E-2</v>
      </c>
      <c r="AN77" s="132">
        <f t="shared" si="5"/>
        <v>4.2781580584940887E-2</v>
      </c>
    </row>
    <row r="78" spans="24:40" ht="15.75" customHeight="1" x14ac:dyDescent="0.3">
      <c r="X78" s="4">
        <v>76</v>
      </c>
      <c r="Y78" s="131" t="s">
        <v>424</v>
      </c>
      <c r="Z78" s="4">
        <v>1085</v>
      </c>
      <c r="AA78" s="4">
        <v>27.18</v>
      </c>
      <c r="AB78" s="4">
        <v>13.95</v>
      </c>
      <c r="AC78" s="4">
        <v>4.3</v>
      </c>
      <c r="AD78" s="4">
        <v>7.58</v>
      </c>
      <c r="AE78" s="4">
        <v>2.78</v>
      </c>
      <c r="AF78" s="4">
        <v>4.5999999999999996</v>
      </c>
      <c r="AG78" s="4">
        <v>60.389999999999993</v>
      </c>
      <c r="AI78" s="132">
        <f t="shared" si="0"/>
        <v>0.17645337705231917</v>
      </c>
      <c r="AJ78" s="132">
        <f t="shared" si="1"/>
        <v>9.0563819348044611E-2</v>
      </c>
      <c r="AK78" s="132">
        <f t="shared" si="2"/>
        <v>2.7915729261404433E-2</v>
      </c>
      <c r="AL78" s="132">
        <f t="shared" si="3"/>
        <v>4.9209587860801297E-2</v>
      </c>
      <c r="AM78" s="132">
        <f t="shared" si="4"/>
        <v>1.8047843569001003E-2</v>
      </c>
      <c r="AN78" s="132">
        <f t="shared" si="5"/>
        <v>2.9863338279641952E-2</v>
      </c>
    </row>
    <row r="79" spans="24:40" ht="15.75" customHeight="1" x14ac:dyDescent="0.3">
      <c r="X79" s="4">
        <v>77</v>
      </c>
      <c r="Y79" s="131" t="s">
        <v>426</v>
      </c>
      <c r="Z79" s="4">
        <v>1807</v>
      </c>
      <c r="AA79" s="4">
        <v>39.49</v>
      </c>
      <c r="AB79" s="4">
        <v>12.64</v>
      </c>
      <c r="AC79" s="4">
        <v>3.94</v>
      </c>
      <c r="AD79" s="4">
        <v>7.46</v>
      </c>
      <c r="AE79" s="4">
        <v>2.78</v>
      </c>
      <c r="AF79" s="4">
        <v>3.4</v>
      </c>
      <c r="AG79" s="4">
        <v>69.710000000000008</v>
      </c>
      <c r="AI79" s="132">
        <f t="shared" si="0"/>
        <v>0.42696873055382706</v>
      </c>
      <c r="AJ79" s="132">
        <f t="shared" si="1"/>
        <v>0.13666459240821405</v>
      </c>
      <c r="AK79" s="132">
        <f t="shared" si="2"/>
        <v>4.2599564405724953E-2</v>
      </c>
      <c r="AL79" s="132">
        <f t="shared" si="3"/>
        <v>8.0658058494088358E-2</v>
      </c>
      <c r="AM79" s="132">
        <f t="shared" si="4"/>
        <v>3.0057560672059738E-2</v>
      </c>
      <c r="AN79" s="132">
        <f t="shared" si="5"/>
        <v>3.676104542626011E-2</v>
      </c>
    </row>
    <row r="80" spans="24:40" ht="15.75" customHeight="1" x14ac:dyDescent="0.3">
      <c r="X80" s="4">
        <v>78</v>
      </c>
      <c r="Y80" s="131" t="s">
        <v>428</v>
      </c>
      <c r="Z80" s="4">
        <v>1799</v>
      </c>
      <c r="AA80" s="4">
        <v>32</v>
      </c>
      <c r="AB80" s="4">
        <v>13.02</v>
      </c>
      <c r="AC80" s="4">
        <v>4.68</v>
      </c>
      <c r="AD80" s="4">
        <v>10.78</v>
      </c>
      <c r="AE80" s="4">
        <v>3.65</v>
      </c>
      <c r="AF80" s="4">
        <v>4.16</v>
      </c>
      <c r="AG80" s="4">
        <v>68.289999999999992</v>
      </c>
      <c r="AI80" s="132">
        <f t="shared" si="0"/>
        <v>0.3444545498061366</v>
      </c>
      <c r="AJ80" s="132">
        <f t="shared" si="1"/>
        <v>0.14014994495237182</v>
      </c>
      <c r="AK80" s="132">
        <f t="shared" si="2"/>
        <v>5.0376477909147475E-2</v>
      </c>
      <c r="AL80" s="132">
        <f t="shared" si="3"/>
        <v>0.11603812646594226</v>
      </c>
      <c r="AM80" s="132">
        <f t="shared" si="4"/>
        <v>3.9289347087262456E-2</v>
      </c>
      <c r="AN80" s="132">
        <f t="shared" si="5"/>
        <v>4.4779091474797764E-2</v>
      </c>
    </row>
    <row r="81" spans="24:40" ht="15.75" customHeight="1" x14ac:dyDescent="0.3">
      <c r="X81" s="4">
        <v>79</v>
      </c>
      <c r="Y81" s="131" t="s">
        <v>430</v>
      </c>
      <c r="Z81" s="4">
        <v>2462</v>
      </c>
      <c r="AA81" s="4">
        <v>33.450000000000003</v>
      </c>
      <c r="AB81" s="4">
        <v>11.15</v>
      </c>
      <c r="AC81" s="4">
        <v>6.5</v>
      </c>
      <c r="AD81" s="4">
        <v>11.2</v>
      </c>
      <c r="AE81" s="4">
        <v>3.5</v>
      </c>
      <c r="AF81" s="4">
        <v>7</v>
      </c>
      <c r="AG81" s="4">
        <v>72.8</v>
      </c>
      <c r="AI81" s="132">
        <f t="shared" si="0"/>
        <v>0.49275944186491794</v>
      </c>
      <c r="AJ81" s="132">
        <f t="shared" si="1"/>
        <v>0.16425314728830598</v>
      </c>
      <c r="AK81" s="132">
        <f t="shared" si="2"/>
        <v>9.575295581829496E-2</v>
      </c>
      <c r="AL81" s="132">
        <f t="shared" si="3"/>
        <v>0.16498970848690822</v>
      </c>
      <c r="AM81" s="132">
        <f t="shared" si="4"/>
        <v>5.1559283902158824E-2</v>
      </c>
      <c r="AN81" s="132">
        <f t="shared" si="5"/>
        <v>0.10311856780431765</v>
      </c>
    </row>
    <row r="82" spans="24:40" ht="15.75" customHeight="1" x14ac:dyDescent="0.3">
      <c r="X82" s="4">
        <v>80</v>
      </c>
      <c r="Y82" s="131" t="s">
        <v>432</v>
      </c>
      <c r="Z82" s="4">
        <v>1424</v>
      </c>
      <c r="AA82" s="4">
        <v>35.369999999999997</v>
      </c>
      <c r="AB82" s="4">
        <v>12.62</v>
      </c>
      <c r="AC82" s="4">
        <v>4.4000000000000004</v>
      </c>
      <c r="AD82" s="4">
        <v>7.46</v>
      </c>
      <c r="AE82" s="4">
        <v>3.73</v>
      </c>
      <c r="AF82" s="4">
        <v>5.8</v>
      </c>
      <c r="AG82" s="4">
        <v>69.38</v>
      </c>
      <c r="AI82" s="132">
        <f t="shared" si="0"/>
        <v>0.30136709587860799</v>
      </c>
      <c r="AJ82" s="132">
        <f t="shared" si="1"/>
        <v>0.10752764348283948</v>
      </c>
      <c r="AK82" s="132">
        <f t="shared" si="2"/>
        <v>3.7489828155665122E-2</v>
      </c>
      <c r="AL82" s="132">
        <f t="shared" si="3"/>
        <v>6.3562299554832224E-2</v>
      </c>
      <c r="AM82" s="132">
        <f t="shared" si="4"/>
        <v>3.1781149777416112E-2</v>
      </c>
      <c r="AN82" s="132">
        <f t="shared" si="5"/>
        <v>4.9418409841558562E-2</v>
      </c>
    </row>
    <row r="83" spans="24:40" ht="15.75" customHeight="1" x14ac:dyDescent="0.3">
      <c r="X83" s="4">
        <v>81</v>
      </c>
      <c r="Y83" s="133" t="s">
        <v>433</v>
      </c>
      <c r="Z83" s="4">
        <v>156</v>
      </c>
      <c r="AA83" s="4">
        <v>29.92</v>
      </c>
      <c r="AB83" s="4">
        <v>13.36</v>
      </c>
      <c r="AC83" s="4">
        <v>6</v>
      </c>
      <c r="AD83" s="4">
        <v>6.5</v>
      </c>
      <c r="AE83" s="4">
        <v>3.1</v>
      </c>
      <c r="AF83" s="4">
        <v>3</v>
      </c>
      <c r="AG83" s="4">
        <v>61.88</v>
      </c>
      <c r="AI83" s="132">
        <f t="shared" si="0"/>
        <v>2.7927815805849413E-2</v>
      </c>
      <c r="AJ83" s="132">
        <f t="shared" si="1"/>
        <v>1.2470441817050404E-2</v>
      </c>
      <c r="AK83" s="132">
        <f t="shared" si="2"/>
        <v>5.6004978220286251E-3</v>
      </c>
      <c r="AL83" s="132">
        <f t="shared" si="3"/>
        <v>6.0672059738643433E-3</v>
      </c>
      <c r="AM83" s="132">
        <f t="shared" si="4"/>
        <v>2.8935905413814563E-3</v>
      </c>
      <c r="AN83" s="132">
        <f t="shared" si="5"/>
        <v>2.8002489110143126E-3</v>
      </c>
    </row>
    <row r="84" spans="24:40" ht="15.75" customHeight="1" x14ac:dyDescent="0.3">
      <c r="X84" s="4">
        <v>82</v>
      </c>
      <c r="Y84" s="133" t="s">
        <v>434</v>
      </c>
      <c r="Z84" s="4">
        <v>1212</v>
      </c>
      <c r="AA84" s="4">
        <v>32.25</v>
      </c>
      <c r="AB84" s="4">
        <v>13.4</v>
      </c>
      <c r="AC84" s="4">
        <v>6</v>
      </c>
      <c r="AD84" s="4">
        <v>6.5</v>
      </c>
      <c r="AE84" s="4">
        <v>2.9</v>
      </c>
      <c r="AF84" s="4">
        <v>3.99</v>
      </c>
      <c r="AG84" s="4">
        <v>65.039999999999992</v>
      </c>
      <c r="AI84" s="132">
        <f t="shared" si="0"/>
        <v>0.23387463501029152</v>
      </c>
      <c r="AJ84" s="132">
        <f t="shared" si="1"/>
        <v>9.7175817337609507E-2</v>
      </c>
      <c r="AK84" s="132">
        <f t="shared" si="2"/>
        <v>4.3511560001914702E-2</v>
      </c>
      <c r="AL84" s="132">
        <f t="shared" si="3"/>
        <v>4.7137523335407591E-2</v>
      </c>
      <c r="AM84" s="132">
        <f t="shared" si="4"/>
        <v>2.103058733425877E-2</v>
      </c>
      <c r="AN84" s="132">
        <f t="shared" si="5"/>
        <v>2.8935187401273276E-2</v>
      </c>
    </row>
    <row r="85" spans="24:40" ht="15.75" customHeight="1" x14ac:dyDescent="0.3">
      <c r="X85" s="4">
        <v>83</v>
      </c>
      <c r="Y85" s="133" t="s">
        <v>436</v>
      </c>
      <c r="Z85" s="4">
        <v>20</v>
      </c>
      <c r="AA85" s="4">
        <v>28.65</v>
      </c>
      <c r="AB85" s="4">
        <v>13.53</v>
      </c>
      <c r="AC85" s="4">
        <v>6</v>
      </c>
      <c r="AD85" s="4">
        <v>6.5</v>
      </c>
      <c r="AE85" s="4">
        <v>3.1</v>
      </c>
      <c r="AF85" s="4">
        <v>3</v>
      </c>
      <c r="AG85" s="4">
        <v>60.78</v>
      </c>
      <c r="AI85" s="132">
        <f t="shared" si="0"/>
        <v>3.4285098846393186E-3</v>
      </c>
      <c r="AJ85" s="132">
        <f t="shared" si="1"/>
        <v>1.6191182805993009E-3</v>
      </c>
      <c r="AK85" s="132">
        <f t="shared" si="2"/>
        <v>7.1801254128572108E-4</v>
      </c>
      <c r="AL85" s="132">
        <f t="shared" si="3"/>
        <v>7.7784691972619788E-4</v>
      </c>
      <c r="AM85" s="132">
        <f t="shared" si="4"/>
        <v>3.709731463309559E-4</v>
      </c>
      <c r="AN85" s="132">
        <f t="shared" si="5"/>
        <v>3.5900627064286054E-4</v>
      </c>
    </row>
    <row r="86" spans="24:40" ht="15.75" customHeight="1" x14ac:dyDescent="0.3">
      <c r="X86" s="4">
        <v>84</v>
      </c>
      <c r="Y86" s="133" t="s">
        <v>311</v>
      </c>
      <c r="Z86" s="4">
        <v>527</v>
      </c>
      <c r="AA86" s="4">
        <v>19.29</v>
      </c>
      <c r="AB86" s="4">
        <v>12.71</v>
      </c>
      <c r="AC86" s="4">
        <v>4.5999999999999996</v>
      </c>
      <c r="AD86" s="4">
        <v>10.28</v>
      </c>
      <c r="AE86" s="4">
        <v>2.98</v>
      </c>
      <c r="AF86" s="4">
        <v>4.2</v>
      </c>
      <c r="AG86" s="4">
        <v>54.06</v>
      </c>
      <c r="AI86" s="132">
        <f t="shared" si="0"/>
        <v>6.0826611938155188E-2</v>
      </c>
      <c r="AJ86" s="132">
        <f t="shared" si="1"/>
        <v>4.007808386386482E-2</v>
      </c>
      <c r="AK86" s="132">
        <f t="shared" si="2"/>
        <v>1.4505050021540376E-2</v>
      </c>
      <c r="AL86" s="132">
        <f t="shared" si="3"/>
        <v>3.2415633526398924E-2</v>
      </c>
      <c r="AM86" s="132">
        <f t="shared" si="4"/>
        <v>9.3967497965631135E-3</v>
      </c>
      <c r="AN86" s="132">
        <f t="shared" si="5"/>
        <v>1.3243741324015127E-2</v>
      </c>
    </row>
    <row r="87" spans="24:40" ht="15.75" customHeight="1" x14ac:dyDescent="0.3">
      <c r="X87" s="4">
        <v>85</v>
      </c>
      <c r="Y87" s="133" t="s">
        <v>390</v>
      </c>
      <c r="Z87" s="4">
        <v>457</v>
      </c>
      <c r="AA87" s="4">
        <v>23.97</v>
      </c>
      <c r="AB87" s="4">
        <v>13.65</v>
      </c>
      <c r="AC87" s="4">
        <v>3.9</v>
      </c>
      <c r="AD87" s="4">
        <v>8.26</v>
      </c>
      <c r="AE87" s="4">
        <v>3.1</v>
      </c>
      <c r="AF87" s="4">
        <v>6.3</v>
      </c>
      <c r="AG87" s="4">
        <v>59.179999999999993</v>
      </c>
      <c r="AI87" s="132">
        <f t="shared" si="0"/>
        <v>6.5544313340673011E-2</v>
      </c>
      <c r="AJ87" s="132">
        <f t="shared" si="1"/>
        <v>3.7324984443061607E-2</v>
      </c>
      <c r="AK87" s="132">
        <f t="shared" si="2"/>
        <v>1.0664281269446173E-2</v>
      </c>
      <c r="AL87" s="132">
        <f t="shared" si="3"/>
        <v>2.2586400842468046E-2</v>
      </c>
      <c r="AM87" s="132">
        <f t="shared" si="4"/>
        <v>8.4767363936623426E-3</v>
      </c>
      <c r="AN87" s="132">
        <f t="shared" si="5"/>
        <v>1.7226915896797663E-2</v>
      </c>
    </row>
    <row r="88" spans="24:40" ht="15.75" customHeight="1" x14ac:dyDescent="0.3">
      <c r="X88" s="4">
        <v>86</v>
      </c>
      <c r="Y88" s="133" t="s">
        <v>439</v>
      </c>
      <c r="Z88" s="4">
        <v>107</v>
      </c>
      <c r="AA88" s="4">
        <v>29.45</v>
      </c>
      <c r="AB88" s="4">
        <v>13.38</v>
      </c>
      <c r="AC88" s="4">
        <v>6</v>
      </c>
      <c r="AD88" s="4">
        <v>6.5</v>
      </c>
      <c r="AE88" s="4">
        <v>3.1</v>
      </c>
      <c r="AF88" s="4">
        <v>3</v>
      </c>
      <c r="AG88" s="4">
        <v>61.43</v>
      </c>
      <c r="AI88" s="132">
        <f t="shared" si="0"/>
        <v>1.8854710162270836E-2</v>
      </c>
      <c r="AJ88" s="132">
        <f t="shared" si="1"/>
        <v>8.5662486238092962E-3</v>
      </c>
      <c r="AK88" s="132">
        <f t="shared" si="2"/>
        <v>3.841367095878608E-3</v>
      </c>
      <c r="AL88" s="132">
        <f t="shared" si="3"/>
        <v>4.1614810205351585E-3</v>
      </c>
      <c r="AM88" s="132">
        <f t="shared" si="4"/>
        <v>1.984706332870614E-3</v>
      </c>
      <c r="AN88" s="132">
        <f t="shared" si="5"/>
        <v>1.920683547939304E-3</v>
      </c>
    </row>
    <row r="89" spans="24:40" ht="15.75" customHeight="1" x14ac:dyDescent="0.3">
      <c r="X89" s="4">
        <v>87</v>
      </c>
      <c r="Y89" s="133" t="s">
        <v>440</v>
      </c>
      <c r="Z89" s="4">
        <v>39</v>
      </c>
      <c r="AA89" s="4">
        <v>28.57</v>
      </c>
      <c r="AB89" s="4">
        <v>14.35</v>
      </c>
      <c r="AC89" s="4">
        <v>4.5999999999999996</v>
      </c>
      <c r="AD89" s="4">
        <v>7.7</v>
      </c>
      <c r="AE89" s="4">
        <v>3.1</v>
      </c>
      <c r="AF89" s="4">
        <v>3</v>
      </c>
      <c r="AG89" s="4">
        <v>61.320000000000007</v>
      </c>
      <c r="AI89" s="132">
        <f t="shared" si="0"/>
        <v>6.6669259489732418E-3</v>
      </c>
      <c r="AJ89" s="132">
        <f t="shared" si="1"/>
        <v>3.3486309894212819E-3</v>
      </c>
      <c r="AK89" s="132">
        <f t="shared" si="2"/>
        <v>1.073428749222153E-3</v>
      </c>
      <c r="AL89" s="132">
        <f t="shared" si="3"/>
        <v>1.7968263845675172E-3</v>
      </c>
      <c r="AM89" s="132">
        <f t="shared" si="4"/>
        <v>7.2339763534536407E-4</v>
      </c>
      <c r="AN89" s="132">
        <f t="shared" si="5"/>
        <v>7.0006222775357814E-4</v>
      </c>
    </row>
    <row r="90" spans="24:40" ht="15.75" customHeight="1" x14ac:dyDescent="0.3">
      <c r="X90" s="4">
        <v>88</v>
      </c>
      <c r="Y90" s="133" t="s">
        <v>442</v>
      </c>
      <c r="Z90" s="4">
        <v>282</v>
      </c>
      <c r="AA90" s="4">
        <v>28.48</v>
      </c>
      <c r="AB90" s="4">
        <v>13.54</v>
      </c>
      <c r="AC90" s="4">
        <v>3.8</v>
      </c>
      <c r="AD90" s="4">
        <v>9.6999999999999993</v>
      </c>
      <c r="AE90" s="4">
        <v>2.9</v>
      </c>
      <c r="AF90" s="4">
        <v>3</v>
      </c>
      <c r="AG90" s="4">
        <v>61.419999999999995</v>
      </c>
      <c r="AI90" s="132">
        <f t="shared" si="0"/>
        <v>4.8055143363170738E-2</v>
      </c>
      <c r="AJ90" s="132">
        <f t="shared" si="1"/>
        <v>2.2846441051170358E-2</v>
      </c>
      <c r="AK90" s="132">
        <f t="shared" si="2"/>
        <v>6.4118519936814892E-3</v>
      </c>
      <c r="AL90" s="132">
        <f t="shared" si="3"/>
        <v>1.6367095878608011E-2</v>
      </c>
      <c r="AM90" s="132">
        <f t="shared" si="4"/>
        <v>4.8932554688621895E-3</v>
      </c>
      <c r="AN90" s="132">
        <f t="shared" si="5"/>
        <v>5.0619884160643339E-3</v>
      </c>
    </row>
    <row r="91" spans="24:40" ht="15.75" customHeight="1" x14ac:dyDescent="0.3">
      <c r="X91" s="4">
        <v>89</v>
      </c>
      <c r="Y91" s="133" t="s">
        <v>444</v>
      </c>
      <c r="Z91" s="4">
        <v>726</v>
      </c>
      <c r="AA91" s="4">
        <v>31.96</v>
      </c>
      <c r="AB91" s="4">
        <v>13.27</v>
      </c>
      <c r="AC91" s="4">
        <v>5.9</v>
      </c>
      <c r="AD91" s="4">
        <v>6.5</v>
      </c>
      <c r="AE91" s="4">
        <v>3.1</v>
      </c>
      <c r="AF91" s="4">
        <v>3</v>
      </c>
      <c r="AG91" s="4">
        <v>63.730000000000004</v>
      </c>
      <c r="AI91" s="132">
        <f t="shared" si="0"/>
        <v>0.13883346895792445</v>
      </c>
      <c r="AJ91" s="132">
        <f t="shared" si="1"/>
        <v>5.7644559858312197E-2</v>
      </c>
      <c r="AK91" s="132">
        <f t="shared" si="2"/>
        <v>2.562945766119382E-2</v>
      </c>
      <c r="AL91" s="132">
        <f t="shared" si="3"/>
        <v>2.8235843186060983E-2</v>
      </c>
      <c r="AM91" s="132">
        <f t="shared" si="4"/>
        <v>1.34663252118137E-2</v>
      </c>
      <c r="AN91" s="132">
        <f t="shared" si="5"/>
        <v>1.3031927624335839E-2</v>
      </c>
    </row>
    <row r="92" spans="24:40" ht="15.75" customHeight="1" x14ac:dyDescent="0.3">
      <c r="X92" s="4">
        <v>90</v>
      </c>
      <c r="Y92" s="133" t="s">
        <v>443</v>
      </c>
      <c r="Z92" s="4">
        <v>63</v>
      </c>
      <c r="AA92" s="4">
        <v>27.57</v>
      </c>
      <c r="AB92" s="4">
        <v>13.46</v>
      </c>
      <c r="AC92" s="4">
        <v>6</v>
      </c>
      <c r="AD92" s="4">
        <v>6.5</v>
      </c>
      <c r="AE92" s="4">
        <v>3.1</v>
      </c>
      <c r="AF92" s="4">
        <v>3</v>
      </c>
      <c r="AG92" s="4">
        <v>59.63</v>
      </c>
      <c r="AI92" s="132">
        <f t="shared" si="0"/>
        <v>1.0392693025704849E-2</v>
      </c>
      <c r="AJ92" s="132">
        <f t="shared" si="1"/>
        <v>5.073835622995548E-3</v>
      </c>
      <c r="AK92" s="132">
        <f t="shared" si="2"/>
        <v>2.2617395050500214E-3</v>
      </c>
      <c r="AL92" s="132">
        <f t="shared" si="3"/>
        <v>2.4502177971375233E-3</v>
      </c>
      <c r="AM92" s="132">
        <f t="shared" si="4"/>
        <v>1.1685654109425112E-3</v>
      </c>
      <c r="AN92" s="132">
        <f t="shared" si="5"/>
        <v>1.1308697525250107E-3</v>
      </c>
    </row>
    <row r="93" spans="24:40" ht="15.75" customHeight="1" x14ac:dyDescent="0.3">
      <c r="X93" s="4">
        <v>91</v>
      </c>
      <c r="Y93" s="133" t="s">
        <v>447</v>
      </c>
      <c r="Z93" s="4">
        <v>70</v>
      </c>
      <c r="AA93" s="4">
        <v>28.39</v>
      </c>
      <c r="AB93" s="4">
        <v>15</v>
      </c>
      <c r="AC93" s="4">
        <v>5</v>
      </c>
      <c r="AD93" s="4">
        <v>7.14</v>
      </c>
      <c r="AE93" s="4">
        <v>3.1</v>
      </c>
      <c r="AF93" s="4">
        <v>3</v>
      </c>
      <c r="AG93" s="4">
        <v>61.63</v>
      </c>
      <c r="AI93" s="132">
        <f t="shared" si="0"/>
        <v>1.1890886027475947E-2</v>
      </c>
      <c r="AJ93" s="132">
        <f t="shared" si="1"/>
        <v>6.2826097362500598E-3</v>
      </c>
      <c r="AK93" s="132">
        <f t="shared" si="2"/>
        <v>2.0942032454166867E-3</v>
      </c>
      <c r="AL93" s="132">
        <f t="shared" si="3"/>
        <v>2.9905222344550281E-3</v>
      </c>
      <c r="AM93" s="132">
        <f t="shared" si="4"/>
        <v>1.2984060121583457E-3</v>
      </c>
      <c r="AN93" s="132">
        <f t="shared" si="5"/>
        <v>1.256521947250012E-3</v>
      </c>
    </row>
    <row r="94" spans="24:40" ht="15.75" customHeight="1" x14ac:dyDescent="0.3">
      <c r="X94" s="4">
        <v>92</v>
      </c>
      <c r="Y94" s="133" t="s">
        <v>359</v>
      </c>
      <c r="Z94" s="4">
        <v>53</v>
      </c>
      <c r="AA94" s="4">
        <v>22.16</v>
      </c>
      <c r="AB94" s="4">
        <v>14.81</v>
      </c>
      <c r="AC94" s="4">
        <v>6.2</v>
      </c>
      <c r="AD94" s="4">
        <v>9.8800000000000008</v>
      </c>
      <c r="AE94" s="4">
        <v>2.7</v>
      </c>
      <c r="AF94" s="4">
        <v>4.16</v>
      </c>
      <c r="AG94" s="4">
        <v>59.910000000000011</v>
      </c>
      <c r="AI94" s="132">
        <f t="shared" si="0"/>
        <v>7.0274280790771143E-3</v>
      </c>
      <c r="AJ94" s="132">
        <f t="shared" si="1"/>
        <v>4.6965798669283427E-3</v>
      </c>
      <c r="AK94" s="132">
        <f t="shared" si="2"/>
        <v>1.9661576755540663E-3</v>
      </c>
      <c r="AL94" s="132">
        <f t="shared" si="3"/>
        <v>3.1331673926571252E-3</v>
      </c>
      <c r="AM94" s="132">
        <f t="shared" si="4"/>
        <v>8.5622995548322262E-4</v>
      </c>
      <c r="AN94" s="132">
        <f t="shared" si="5"/>
        <v>1.3192283758556318E-3</v>
      </c>
    </row>
    <row r="95" spans="24:40" ht="15.75" customHeight="1" x14ac:dyDescent="0.3">
      <c r="X95" s="4">
        <v>93</v>
      </c>
      <c r="Y95" s="133" t="s">
        <v>441</v>
      </c>
      <c r="Z95" s="4">
        <v>193</v>
      </c>
      <c r="AA95" s="4">
        <v>27.55</v>
      </c>
      <c r="AB95" s="4">
        <v>11.04</v>
      </c>
      <c r="AC95" s="4">
        <v>6.95</v>
      </c>
      <c r="AD95" s="4">
        <v>7.86</v>
      </c>
      <c r="AE95" s="4">
        <v>3.45</v>
      </c>
      <c r="AF95" s="4">
        <v>0</v>
      </c>
      <c r="AG95" s="4">
        <v>56.850000000000009</v>
      </c>
      <c r="AI95" s="132">
        <f t="shared" si="0"/>
        <v>3.1814836532478102E-2</v>
      </c>
      <c r="AJ95" s="132">
        <f t="shared" si="1"/>
        <v>1.2749030683069262E-2</v>
      </c>
      <c r="AK95" s="132">
        <f t="shared" si="2"/>
        <v>8.0258843521133511E-3</v>
      </c>
      <c r="AL95" s="132">
        <f t="shared" si="3"/>
        <v>9.0767555406634434E-3</v>
      </c>
      <c r="AM95" s="132">
        <f t="shared" si="4"/>
        <v>3.9840720884591454E-3</v>
      </c>
      <c r="AN95" s="132">
        <f t="shared" si="5"/>
        <v>0</v>
      </c>
    </row>
    <row r="96" spans="24:40" ht="15.75" customHeight="1" x14ac:dyDescent="0.3">
      <c r="X96" s="4">
        <v>94</v>
      </c>
      <c r="Y96" s="133" t="s">
        <v>448</v>
      </c>
      <c r="Z96" s="4">
        <v>455</v>
      </c>
      <c r="AA96" s="4">
        <v>27.88</v>
      </c>
      <c r="AB96" s="4">
        <v>11.42</v>
      </c>
      <c r="AC96" s="4">
        <v>4.24</v>
      </c>
      <c r="AD96" s="4">
        <v>6.1</v>
      </c>
      <c r="AE96" s="4">
        <v>3.5</v>
      </c>
      <c r="AF96" s="4">
        <v>0</v>
      </c>
      <c r="AG96" s="4">
        <v>53.14</v>
      </c>
      <c r="AI96" s="132">
        <f t="shared" si="0"/>
        <v>7.5902302426882381E-2</v>
      </c>
      <c r="AJ96" s="132">
        <f t="shared" si="1"/>
        <v>3.109054138145613E-2</v>
      </c>
      <c r="AK96" s="132">
        <f t="shared" si="2"/>
        <v>1.1543248288736777E-2</v>
      </c>
      <c r="AL96" s="132">
        <f t="shared" si="3"/>
        <v>1.6607031736154326E-2</v>
      </c>
      <c r="AM96" s="132">
        <f t="shared" si="4"/>
        <v>9.5286247666459233E-3</v>
      </c>
      <c r="AN96" s="132">
        <f t="shared" si="5"/>
        <v>0</v>
      </c>
    </row>
    <row r="97" spans="24:40" ht="15.75" customHeight="1" x14ac:dyDescent="0.3">
      <c r="X97" s="4">
        <v>95</v>
      </c>
      <c r="Y97" s="133" t="s">
        <v>431</v>
      </c>
      <c r="Z97" s="4">
        <v>16</v>
      </c>
      <c r="AA97" s="4">
        <v>27.18</v>
      </c>
      <c r="AB97" s="4">
        <v>13.4</v>
      </c>
      <c r="AC97" s="4">
        <v>6</v>
      </c>
      <c r="AD97" s="4">
        <v>6.9</v>
      </c>
      <c r="AE97" s="4">
        <v>3.1</v>
      </c>
      <c r="AF97" s="4">
        <v>3</v>
      </c>
      <c r="AG97" s="4">
        <v>59.58</v>
      </c>
      <c r="AI97" s="132">
        <f t="shared" si="0"/>
        <v>2.6020774496194532E-3</v>
      </c>
      <c r="AJ97" s="132">
        <f t="shared" si="1"/>
        <v>1.2828490737638218E-3</v>
      </c>
      <c r="AK97" s="132">
        <f t="shared" si="2"/>
        <v>5.7441003302857686E-4</v>
      </c>
      <c r="AL97" s="132">
        <f t="shared" si="3"/>
        <v>6.6057153798286343E-4</v>
      </c>
      <c r="AM97" s="132">
        <f t="shared" si="4"/>
        <v>2.9677851706476474E-4</v>
      </c>
      <c r="AN97" s="132">
        <f t="shared" si="5"/>
        <v>2.8720501651428843E-4</v>
      </c>
    </row>
    <row r="98" spans="24:40" ht="15.75" customHeight="1" x14ac:dyDescent="0.3">
      <c r="X98" s="4">
        <v>96</v>
      </c>
      <c r="Y98" s="133" t="s">
        <v>363</v>
      </c>
      <c r="Z98" s="4">
        <v>32</v>
      </c>
      <c r="AA98" s="4">
        <v>22.54</v>
      </c>
      <c r="AB98" s="4">
        <v>13.5</v>
      </c>
      <c r="AC98" s="4">
        <v>6</v>
      </c>
      <c r="AD98" s="4">
        <v>6.5</v>
      </c>
      <c r="AE98" s="4">
        <v>3.1</v>
      </c>
      <c r="AF98" s="4">
        <v>3</v>
      </c>
      <c r="AG98" s="4">
        <v>54.64</v>
      </c>
      <c r="AI98" s="132">
        <f t="shared" si="0"/>
        <v>4.3157340481547075E-3</v>
      </c>
      <c r="AJ98" s="132">
        <f t="shared" si="1"/>
        <v>2.5848451486285961E-3</v>
      </c>
      <c r="AK98" s="132">
        <f t="shared" si="2"/>
        <v>1.1488200660571537E-3</v>
      </c>
      <c r="AL98" s="132">
        <f t="shared" si="3"/>
        <v>1.2445550715619166E-3</v>
      </c>
      <c r="AM98" s="132">
        <f t="shared" si="4"/>
        <v>5.9355703412952948E-4</v>
      </c>
      <c r="AN98" s="132">
        <f t="shared" si="5"/>
        <v>5.7441003302857686E-4</v>
      </c>
    </row>
    <row r="99" spans="24:40" ht="15.75" customHeight="1" x14ac:dyDescent="0.3">
      <c r="X99" s="4">
        <v>97</v>
      </c>
      <c r="Y99" s="133" t="s">
        <v>437</v>
      </c>
      <c r="Z99" s="4">
        <v>46</v>
      </c>
      <c r="AA99" s="4">
        <v>27.43</v>
      </c>
      <c r="AB99" s="4">
        <v>15</v>
      </c>
      <c r="AC99" s="4">
        <v>5.9</v>
      </c>
      <c r="AD99" s="4">
        <v>7.3</v>
      </c>
      <c r="AE99" s="4">
        <v>3.1</v>
      </c>
      <c r="AF99" s="4">
        <v>3</v>
      </c>
      <c r="AG99" s="4">
        <v>61.73</v>
      </c>
      <c r="AI99" s="132">
        <f t="shared" si="0"/>
        <v>7.5497822028624765E-3</v>
      </c>
      <c r="AJ99" s="132">
        <f t="shared" si="1"/>
        <v>4.1285721123928967E-3</v>
      </c>
      <c r="AK99" s="132">
        <f t="shared" si="2"/>
        <v>1.6239050308745394E-3</v>
      </c>
      <c r="AL99" s="132">
        <f t="shared" si="3"/>
        <v>2.0092384280312099E-3</v>
      </c>
      <c r="AM99" s="132">
        <f t="shared" si="4"/>
        <v>8.5323823656119856E-4</v>
      </c>
      <c r="AN99" s="132">
        <f t="shared" si="5"/>
        <v>8.2571442247857932E-4</v>
      </c>
    </row>
    <row r="100" spans="24:40" ht="15.75" customHeight="1" x14ac:dyDescent="0.3">
      <c r="X100" s="4">
        <v>98</v>
      </c>
      <c r="Y100" s="133" t="s">
        <v>357</v>
      </c>
      <c r="Z100" s="4">
        <v>59</v>
      </c>
      <c r="AA100" s="4">
        <v>21.83</v>
      </c>
      <c r="AB100" s="4">
        <v>13.21</v>
      </c>
      <c r="AC100" s="4">
        <v>6</v>
      </c>
      <c r="AD100" s="4">
        <v>6.5</v>
      </c>
      <c r="AE100" s="4">
        <v>3.1</v>
      </c>
      <c r="AF100" s="4">
        <v>3</v>
      </c>
      <c r="AG100" s="4">
        <v>53.64</v>
      </c>
      <c r="AI100" s="132">
        <f t="shared" si="0"/>
        <v>7.706488439998084E-3</v>
      </c>
      <c r="AJ100" s="132">
        <f t="shared" si="1"/>
        <v>4.6634316212723192E-3</v>
      </c>
      <c r="AK100" s="132">
        <f t="shared" si="2"/>
        <v>2.1181369967928775E-3</v>
      </c>
      <c r="AL100" s="132">
        <f t="shared" si="3"/>
        <v>2.2946484131922836E-3</v>
      </c>
      <c r="AM100" s="132">
        <f t="shared" si="4"/>
        <v>1.0943707816763199E-3</v>
      </c>
      <c r="AN100" s="132">
        <f t="shared" si="5"/>
        <v>1.0590684983964387E-3</v>
      </c>
    </row>
    <row r="101" spans="24:40" ht="15.75" customHeight="1" x14ac:dyDescent="0.3">
      <c r="X101" s="4">
        <v>99</v>
      </c>
      <c r="Y101" s="133" t="s">
        <v>339</v>
      </c>
      <c r="Z101" s="4">
        <v>119</v>
      </c>
      <c r="AA101" s="4">
        <v>28.83</v>
      </c>
      <c r="AB101" s="4">
        <v>14.56</v>
      </c>
      <c r="AC101" s="4">
        <v>5.9</v>
      </c>
      <c r="AD101" s="4">
        <v>6.5</v>
      </c>
      <c r="AE101" s="4">
        <v>2.9</v>
      </c>
      <c r="AF101" s="4">
        <v>3</v>
      </c>
      <c r="AG101" s="4">
        <v>61.69</v>
      </c>
      <c r="AI101" s="132">
        <f t="shared" si="0"/>
        <v>2.0527799052223444E-2</v>
      </c>
      <c r="AJ101" s="132">
        <f t="shared" si="1"/>
        <v>1.0367143746110766E-2</v>
      </c>
      <c r="AK101" s="132">
        <f t="shared" si="2"/>
        <v>4.2009717103058735E-3</v>
      </c>
      <c r="AL101" s="132">
        <f t="shared" si="3"/>
        <v>4.6281891723708776E-3</v>
      </c>
      <c r="AM101" s="132">
        <f t="shared" si="4"/>
        <v>2.0648843999808526E-3</v>
      </c>
      <c r="AN101" s="132">
        <f t="shared" si="5"/>
        <v>2.1360873103250205E-3</v>
      </c>
    </row>
    <row r="102" spans="24:40" ht="15.75" customHeight="1" x14ac:dyDescent="0.3">
      <c r="X102" s="4">
        <v>100</v>
      </c>
      <c r="Y102" s="133" t="s">
        <v>415</v>
      </c>
      <c r="Z102" s="4">
        <v>1926</v>
      </c>
      <c r="AA102" s="4">
        <v>25.99</v>
      </c>
      <c r="AB102" s="4">
        <v>11.26</v>
      </c>
      <c r="AC102" s="4">
        <v>4.2</v>
      </c>
      <c r="AD102" s="4">
        <v>7.62</v>
      </c>
      <c r="AE102" s="4">
        <v>3.5</v>
      </c>
      <c r="AF102" s="4">
        <v>4.76</v>
      </c>
      <c r="AG102" s="4">
        <v>57.33</v>
      </c>
      <c r="AI102" s="132">
        <f t="shared" si="0"/>
        <v>0.29951139246565506</v>
      </c>
      <c r="AJ102" s="132">
        <f t="shared" si="1"/>
        <v>0.12976138049877936</v>
      </c>
      <c r="AK102" s="132">
        <f t="shared" si="2"/>
        <v>4.8401225408070465E-2</v>
      </c>
      <c r="AL102" s="132">
        <f t="shared" si="3"/>
        <v>8.7813651811784979E-2</v>
      </c>
      <c r="AM102" s="132">
        <f t="shared" si="4"/>
        <v>4.0334354506725387E-2</v>
      </c>
      <c r="AN102" s="132">
        <f t="shared" si="5"/>
        <v>5.4854722129146521E-2</v>
      </c>
    </row>
    <row r="103" spans="24:40" ht="15.75" customHeight="1" x14ac:dyDescent="0.3">
      <c r="X103" s="4">
        <v>101</v>
      </c>
      <c r="Y103" s="133" t="s">
        <v>350</v>
      </c>
      <c r="Z103" s="4">
        <v>165</v>
      </c>
      <c r="AA103" s="4">
        <v>21.53</v>
      </c>
      <c r="AB103" s="4">
        <v>13.86</v>
      </c>
      <c r="AC103" s="4">
        <v>7.15</v>
      </c>
      <c r="AD103" s="4">
        <v>11.1</v>
      </c>
      <c r="AE103" s="4">
        <v>3.65</v>
      </c>
      <c r="AF103" s="4">
        <v>7.75</v>
      </c>
      <c r="AG103" s="4">
        <v>65.039999999999992</v>
      </c>
      <c r="AI103" s="132">
        <f t="shared" si="0"/>
        <v>2.1255863769087169E-2</v>
      </c>
      <c r="AJ103" s="132">
        <f t="shared" si="1"/>
        <v>1.368352400555263E-2</v>
      </c>
      <c r="AK103" s="132">
        <f t="shared" si="2"/>
        <v>7.0589607965152457E-3</v>
      </c>
      <c r="AL103" s="132">
        <f t="shared" si="3"/>
        <v>1.0958666411373318E-2</v>
      </c>
      <c r="AM103" s="132">
        <f t="shared" si="4"/>
        <v>3.603525441577713E-3</v>
      </c>
      <c r="AN103" s="132">
        <f t="shared" si="5"/>
        <v>7.651321143075966E-3</v>
      </c>
    </row>
    <row r="104" spans="24:40" ht="15.75" customHeight="1" x14ac:dyDescent="0.3">
      <c r="X104" s="4">
        <v>102</v>
      </c>
      <c r="Y104" s="133" t="s">
        <v>452</v>
      </c>
      <c r="Z104" s="4">
        <v>551</v>
      </c>
      <c r="AA104" s="4">
        <v>33.729999999999997</v>
      </c>
      <c r="AB104" s="4">
        <v>12.53</v>
      </c>
      <c r="AC104" s="4">
        <v>5.09</v>
      </c>
      <c r="AD104" s="4">
        <v>8.9</v>
      </c>
      <c r="AE104" s="4">
        <v>3.58</v>
      </c>
      <c r="AF104" s="4">
        <v>5.96</v>
      </c>
      <c r="AG104" s="4">
        <v>69.789999999999992</v>
      </c>
      <c r="AI104" s="132">
        <f t="shared" si="0"/>
        <v>0.11120356852233018</v>
      </c>
      <c r="AJ104" s="132">
        <f t="shared" si="1"/>
        <v>4.1309834378440477E-2</v>
      </c>
      <c r="AK104" s="132">
        <f t="shared" si="2"/>
        <v>1.6781089943037671E-2</v>
      </c>
      <c r="AL104" s="132">
        <f t="shared" si="3"/>
        <v>2.9342180843425401E-2</v>
      </c>
      <c r="AM104" s="132">
        <f t="shared" si="4"/>
        <v>1.1802809822411565E-2</v>
      </c>
      <c r="AN104" s="132">
        <f t="shared" si="5"/>
        <v>1.9649370542338805E-2</v>
      </c>
    </row>
    <row r="105" spans="24:40" ht="15.75" customHeight="1" x14ac:dyDescent="0.3">
      <c r="X105" s="4">
        <v>103</v>
      </c>
      <c r="Y105" s="4" t="s">
        <v>455</v>
      </c>
      <c r="Z105" s="4">
        <v>2946</v>
      </c>
      <c r="AA105" s="4">
        <v>38.83</v>
      </c>
      <c r="AB105" s="4">
        <v>13.4</v>
      </c>
      <c r="AC105" s="4">
        <v>4.34</v>
      </c>
      <c r="AD105" s="4">
        <v>6.02</v>
      </c>
      <c r="AE105" s="4">
        <v>2.9</v>
      </c>
      <c r="AF105" s="4">
        <v>4.76</v>
      </c>
      <c r="AG105" s="4">
        <v>70.25</v>
      </c>
      <c r="AI105" s="132">
        <f t="shared" si="0"/>
        <v>0.68446448231295764</v>
      </c>
      <c r="AJ105" s="132">
        <f t="shared" si="1"/>
        <v>0.2362045857067637</v>
      </c>
      <c r="AK105" s="132">
        <f t="shared" si="2"/>
        <v>7.6502082236369728E-2</v>
      </c>
      <c r="AL105" s="132">
        <f t="shared" si="3"/>
        <v>0.10611579148915801</v>
      </c>
      <c r="AM105" s="132">
        <f t="shared" si="4"/>
        <v>5.1118902876836916E-2</v>
      </c>
      <c r="AN105" s="132">
        <f t="shared" si="5"/>
        <v>8.3905509549566798E-2</v>
      </c>
    </row>
    <row r="106" spans="24:40" ht="15.75" customHeight="1" x14ac:dyDescent="0.3">
      <c r="X106" s="4">
        <v>104</v>
      </c>
      <c r="Y106" s="133" t="s">
        <v>402</v>
      </c>
      <c r="Z106" s="4">
        <v>69</v>
      </c>
      <c r="AA106" s="4">
        <v>24.75</v>
      </c>
      <c r="AB106" s="4">
        <v>14.28</v>
      </c>
      <c r="AC106" s="4">
        <v>7</v>
      </c>
      <c r="AD106" s="4">
        <v>10.5</v>
      </c>
      <c r="AE106" s="4">
        <v>4.03</v>
      </c>
      <c r="AF106" s="4">
        <v>4.26</v>
      </c>
      <c r="AG106" s="4">
        <v>64.820000000000007</v>
      </c>
      <c r="AI106" s="132">
        <f t="shared" si="0"/>
        <v>1.0218215978172419E-2</v>
      </c>
      <c r="AJ106" s="132">
        <f t="shared" si="1"/>
        <v>5.8956009764970559E-3</v>
      </c>
      <c r="AK106" s="132">
        <f t="shared" si="2"/>
        <v>2.8900004786750273E-3</v>
      </c>
      <c r="AL106" s="132">
        <f t="shared" si="3"/>
        <v>4.3350007180125412E-3</v>
      </c>
      <c r="AM106" s="132">
        <f t="shared" si="4"/>
        <v>1.6638145612943372E-3</v>
      </c>
      <c r="AN106" s="132">
        <f t="shared" si="5"/>
        <v>1.7587717198793739E-3</v>
      </c>
    </row>
    <row r="107" spans="24:40" ht="15.75" customHeight="1" x14ac:dyDescent="0.3">
      <c r="X107" s="4">
        <v>105</v>
      </c>
      <c r="Y107" s="133" t="s">
        <v>456</v>
      </c>
      <c r="Z107" s="4">
        <v>54</v>
      </c>
      <c r="AA107" s="4">
        <v>29.82</v>
      </c>
      <c r="AB107" s="4">
        <v>13.51</v>
      </c>
      <c r="AC107" s="4">
        <v>6</v>
      </c>
      <c r="AD107" s="4">
        <v>10.5</v>
      </c>
      <c r="AE107" s="4">
        <v>3.5</v>
      </c>
      <c r="AF107" s="4">
        <v>7</v>
      </c>
      <c r="AG107" s="4">
        <v>70.33</v>
      </c>
      <c r="AI107" s="132">
        <f t="shared" si="0"/>
        <v>9.6350102915130909E-3</v>
      </c>
      <c r="AJ107" s="132">
        <f t="shared" si="1"/>
        <v>4.3651572447465413E-3</v>
      </c>
      <c r="AK107" s="132">
        <f t="shared" si="2"/>
        <v>1.9386338614714471E-3</v>
      </c>
      <c r="AL107" s="132">
        <f t="shared" si="3"/>
        <v>3.3926092575750325E-3</v>
      </c>
      <c r="AM107" s="132">
        <f t="shared" si="4"/>
        <v>1.1308697525250107E-3</v>
      </c>
      <c r="AN107" s="132">
        <f t="shared" si="5"/>
        <v>2.2617395050500214E-3</v>
      </c>
    </row>
    <row r="108" spans="24:40" ht="15.75" customHeight="1" x14ac:dyDescent="0.3">
      <c r="X108" s="4">
        <v>106</v>
      </c>
      <c r="Y108" s="133" t="s">
        <v>457</v>
      </c>
      <c r="Z108" s="4">
        <v>23</v>
      </c>
      <c r="AA108" s="4">
        <v>29.66</v>
      </c>
      <c r="AB108" s="4">
        <v>13.53</v>
      </c>
      <c r="AC108" s="4">
        <v>7</v>
      </c>
      <c r="AD108" s="4">
        <v>10.5</v>
      </c>
      <c r="AE108" s="4">
        <v>3.5</v>
      </c>
      <c r="AF108" s="4">
        <v>7</v>
      </c>
      <c r="AG108" s="4">
        <v>71.19</v>
      </c>
      <c r="AI108" s="132">
        <f t="shared" si="0"/>
        <v>4.0817816284524433E-3</v>
      </c>
      <c r="AJ108" s="132">
        <f t="shared" si="1"/>
        <v>1.8619860226891964E-3</v>
      </c>
      <c r="AK108" s="132">
        <f t="shared" si="2"/>
        <v>9.6333349289167585E-4</v>
      </c>
      <c r="AL108" s="132">
        <f t="shared" si="3"/>
        <v>1.4450002393375137E-3</v>
      </c>
      <c r="AM108" s="132">
        <f t="shared" si="4"/>
        <v>4.8166674644583793E-4</v>
      </c>
      <c r="AN108" s="132">
        <f t="shared" si="5"/>
        <v>9.6333349289167585E-4</v>
      </c>
    </row>
    <row r="109" spans="24:40" ht="15.75" customHeight="1" x14ac:dyDescent="0.3">
      <c r="X109" s="4">
        <v>107</v>
      </c>
      <c r="Y109" s="133" t="s">
        <v>458</v>
      </c>
      <c r="Z109" s="4">
        <v>42</v>
      </c>
      <c r="AA109" s="4">
        <v>28.87</v>
      </c>
      <c r="AB109" s="4">
        <v>13.15</v>
      </c>
      <c r="AC109" s="4">
        <v>7</v>
      </c>
      <c r="AD109" s="4">
        <v>10.5</v>
      </c>
      <c r="AE109" s="4">
        <v>3.5</v>
      </c>
      <c r="AF109" s="4">
        <v>7</v>
      </c>
      <c r="AG109" s="4">
        <v>70.02000000000001</v>
      </c>
      <c r="AI109" s="132">
        <f t="shared" si="0"/>
        <v>7.2551577234215691E-3</v>
      </c>
      <c r="AJ109" s="132">
        <f t="shared" si="1"/>
        <v>3.3046527212675317E-3</v>
      </c>
      <c r="AK109" s="132">
        <f t="shared" si="2"/>
        <v>1.7591307261500167E-3</v>
      </c>
      <c r="AL109" s="132">
        <f t="shared" si="3"/>
        <v>2.6386960892250252E-3</v>
      </c>
      <c r="AM109" s="132">
        <f t="shared" si="4"/>
        <v>8.7956536307500833E-4</v>
      </c>
      <c r="AN109" s="132">
        <f t="shared" si="5"/>
        <v>1.7591307261500167E-3</v>
      </c>
    </row>
    <row r="110" spans="24:40" ht="15.75" customHeight="1" x14ac:dyDescent="0.3">
      <c r="X110" s="4">
        <v>108</v>
      </c>
      <c r="Y110" s="131" t="s">
        <v>292</v>
      </c>
      <c r="Z110" s="4">
        <v>51</v>
      </c>
      <c r="AA110" s="4">
        <v>13.8</v>
      </c>
      <c r="AB110" s="4">
        <v>13.22</v>
      </c>
      <c r="AC110" s="4">
        <v>7</v>
      </c>
      <c r="AD110" s="4">
        <v>10.5</v>
      </c>
      <c r="AE110" s="4">
        <v>3.5</v>
      </c>
      <c r="AF110" s="4">
        <v>7</v>
      </c>
      <c r="AG110" s="4">
        <v>55.02</v>
      </c>
      <c r="AI110" s="132">
        <f t="shared" si="0"/>
        <v>4.2111435546407549E-3</v>
      </c>
      <c r="AJ110" s="132">
        <f t="shared" si="1"/>
        <v>4.0341534632138245E-3</v>
      </c>
      <c r="AK110" s="132">
        <f t="shared" si="2"/>
        <v>2.1360873103250205E-3</v>
      </c>
      <c r="AL110" s="132">
        <f t="shared" si="3"/>
        <v>3.2041309654875305E-3</v>
      </c>
      <c r="AM110" s="132">
        <f t="shared" si="4"/>
        <v>1.0680436551625103E-3</v>
      </c>
      <c r="AN110" s="132">
        <f t="shared" si="5"/>
        <v>2.1360873103250205E-3</v>
      </c>
    </row>
    <row r="111" spans="24:40" ht="15.75" customHeight="1" x14ac:dyDescent="0.3">
      <c r="X111" s="4">
        <v>109</v>
      </c>
      <c r="Y111" s="131" t="s">
        <v>438</v>
      </c>
      <c r="Z111" s="4">
        <v>82</v>
      </c>
      <c r="AA111" s="4">
        <v>27.48</v>
      </c>
      <c r="AB111" s="4">
        <v>13.52</v>
      </c>
      <c r="AC111" s="4">
        <v>7</v>
      </c>
      <c r="AD111" s="4">
        <v>10.5</v>
      </c>
      <c r="AE111" s="4">
        <v>3.5</v>
      </c>
      <c r="AF111" s="4">
        <v>7</v>
      </c>
      <c r="AG111" s="4">
        <v>69</v>
      </c>
      <c r="AI111" s="132">
        <f t="shared" si="0"/>
        <v>1.3482839500263272E-2</v>
      </c>
      <c r="AJ111" s="132">
        <f t="shared" si="1"/>
        <v>6.633478531425015E-3</v>
      </c>
      <c r="AK111" s="132">
        <f t="shared" si="2"/>
        <v>3.4344933224833662E-3</v>
      </c>
      <c r="AL111" s="132">
        <f t="shared" si="3"/>
        <v>5.1517399837250491E-3</v>
      </c>
      <c r="AM111" s="132">
        <f t="shared" si="4"/>
        <v>1.7172466612416831E-3</v>
      </c>
      <c r="AN111" s="132">
        <f t="shared" si="5"/>
        <v>3.4344933224833662E-3</v>
      </c>
    </row>
    <row r="112" spans="24:40" ht="15.75" customHeight="1" x14ac:dyDescent="0.3">
      <c r="X112" s="4">
        <v>110</v>
      </c>
      <c r="Y112" s="131" t="s">
        <v>401</v>
      </c>
      <c r="Z112" s="4">
        <v>62</v>
      </c>
      <c r="AA112" s="4">
        <v>24.65</v>
      </c>
      <c r="AB112" s="4">
        <v>13.57</v>
      </c>
      <c r="AC112" s="4">
        <v>7</v>
      </c>
      <c r="AD112" s="4">
        <v>10.5</v>
      </c>
      <c r="AE112" s="4">
        <v>3.5</v>
      </c>
      <c r="AF112" s="4">
        <v>7</v>
      </c>
      <c r="AG112" s="4">
        <v>66.22</v>
      </c>
      <c r="AI112" s="132">
        <f t="shared" si="0"/>
        <v>9.1444880570580624E-3</v>
      </c>
      <c r="AJ112" s="132">
        <f t="shared" si="1"/>
        <v>5.0341055957110721E-3</v>
      </c>
      <c r="AK112" s="132">
        <f t="shared" si="2"/>
        <v>2.5968120243166914E-3</v>
      </c>
      <c r="AL112" s="132">
        <f t="shared" si="3"/>
        <v>3.8952180364750372E-3</v>
      </c>
      <c r="AM112" s="132">
        <f t="shared" si="4"/>
        <v>1.2984060121583457E-3</v>
      </c>
      <c r="AN112" s="132">
        <f t="shared" si="5"/>
        <v>2.5968120243166914E-3</v>
      </c>
    </row>
    <row r="113" spans="24:40" ht="15.75" customHeight="1" x14ac:dyDescent="0.3">
      <c r="X113" s="4">
        <v>111</v>
      </c>
      <c r="Y113" s="131" t="s">
        <v>423</v>
      </c>
      <c r="Z113" s="4">
        <v>56</v>
      </c>
      <c r="AA113" s="4">
        <v>26.65</v>
      </c>
      <c r="AB113" s="4">
        <v>13.17</v>
      </c>
      <c r="AC113" s="4">
        <v>7</v>
      </c>
      <c r="AD113" s="4">
        <v>10.5</v>
      </c>
      <c r="AE113" s="4">
        <v>3.5</v>
      </c>
      <c r="AF113" s="4">
        <v>7</v>
      </c>
      <c r="AG113" s="4">
        <v>67.819999999999993</v>
      </c>
      <c r="AI113" s="132">
        <f t="shared" si="0"/>
        <v>8.9296826384567506E-3</v>
      </c>
      <c r="AJ113" s="132">
        <f t="shared" si="1"/>
        <v>4.4129050787420415E-3</v>
      </c>
      <c r="AK113" s="132">
        <f t="shared" si="2"/>
        <v>2.3455076348666889E-3</v>
      </c>
      <c r="AL113" s="132">
        <f t="shared" si="3"/>
        <v>3.5182614523000333E-3</v>
      </c>
      <c r="AM113" s="132">
        <f t="shared" si="4"/>
        <v>1.1727538174333444E-3</v>
      </c>
      <c r="AN113" s="132">
        <f t="shared" si="5"/>
        <v>2.3455076348666889E-3</v>
      </c>
    </row>
    <row r="114" spans="24:40" ht="15.75" customHeight="1" x14ac:dyDescent="0.3">
      <c r="X114" s="4">
        <v>112</v>
      </c>
      <c r="Y114" s="131" t="s">
        <v>309</v>
      </c>
      <c r="Z114" s="4">
        <v>38</v>
      </c>
      <c r="AA114" s="4">
        <v>17.25</v>
      </c>
      <c r="AB114" s="4">
        <v>13.58</v>
      </c>
      <c r="AC114" s="4">
        <v>7</v>
      </c>
      <c r="AD114" s="4">
        <v>10.5</v>
      </c>
      <c r="AE114" s="4">
        <v>3.5</v>
      </c>
      <c r="AF114" s="4">
        <v>7</v>
      </c>
      <c r="AG114" s="4">
        <v>58.83</v>
      </c>
      <c r="AI114" s="132">
        <f t="shared" si="0"/>
        <v>3.9221435067732513E-3</v>
      </c>
      <c r="AJ114" s="132">
        <f t="shared" si="1"/>
        <v>3.0876932650423625E-3</v>
      </c>
      <c r="AK114" s="132">
        <f t="shared" si="2"/>
        <v>1.5915944665166818E-3</v>
      </c>
      <c r="AL114" s="132">
        <f t="shared" si="3"/>
        <v>2.3873916997750226E-3</v>
      </c>
      <c r="AM114" s="132">
        <f t="shared" si="4"/>
        <v>7.9579723325834092E-4</v>
      </c>
      <c r="AN114" s="132">
        <f t="shared" si="5"/>
        <v>1.5915944665166818E-3</v>
      </c>
    </row>
    <row r="115" spans="24:40" ht="15.75" customHeight="1" x14ac:dyDescent="0.3">
      <c r="X115" s="4">
        <v>113</v>
      </c>
      <c r="Y115" s="131" t="s">
        <v>274</v>
      </c>
      <c r="Z115" s="4">
        <v>45</v>
      </c>
      <c r="AA115" s="4">
        <v>5.3</v>
      </c>
      <c r="AB115" s="4">
        <v>11.51</v>
      </c>
      <c r="AC115" s="4">
        <v>7</v>
      </c>
      <c r="AD115" s="4">
        <v>10.5</v>
      </c>
      <c r="AE115" s="4">
        <v>3.5</v>
      </c>
      <c r="AF115" s="4">
        <v>7</v>
      </c>
      <c r="AG115" s="4">
        <v>44.81</v>
      </c>
      <c r="AI115" s="132">
        <f t="shared" si="0"/>
        <v>1.4270499258053706E-3</v>
      </c>
      <c r="AJ115" s="132">
        <f t="shared" si="1"/>
        <v>3.0991216313244942E-3</v>
      </c>
      <c r="AK115" s="132">
        <f t="shared" si="2"/>
        <v>1.8847829208750179E-3</v>
      </c>
      <c r="AL115" s="132">
        <f t="shared" si="3"/>
        <v>2.8271743813125271E-3</v>
      </c>
      <c r="AM115" s="132">
        <f t="shared" si="4"/>
        <v>9.4239146043750897E-4</v>
      </c>
      <c r="AN115" s="132">
        <f t="shared" si="5"/>
        <v>1.8847829208750179E-3</v>
      </c>
    </row>
    <row r="116" spans="24:40" ht="15.75" customHeight="1" x14ac:dyDescent="0.3">
      <c r="X116" s="4">
        <v>114</v>
      </c>
      <c r="Y116" s="131" t="s">
        <v>369</v>
      </c>
      <c r="Z116" s="4">
        <v>461</v>
      </c>
      <c r="AA116" s="4">
        <v>22.88</v>
      </c>
      <c r="AB116" s="4">
        <v>9.07</v>
      </c>
      <c r="AC116" s="4">
        <v>7.46</v>
      </c>
      <c r="AD116" s="4">
        <v>11.28</v>
      </c>
      <c r="AE116" s="4">
        <v>3.48</v>
      </c>
      <c r="AF116" s="4">
        <v>7</v>
      </c>
      <c r="AG116" s="4">
        <v>61.169999999999995</v>
      </c>
      <c r="AI116" s="132">
        <f t="shared" si="0"/>
        <v>6.3111387678904798E-2</v>
      </c>
      <c r="AJ116" s="132">
        <f t="shared" si="1"/>
        <v>2.5018369154181229E-2</v>
      </c>
      <c r="AK116" s="132">
        <f t="shared" si="2"/>
        <v>2.0577401751950601E-2</v>
      </c>
      <c r="AL116" s="132">
        <f t="shared" si="3"/>
        <v>3.1114355464075438E-2</v>
      </c>
      <c r="AM116" s="132">
        <f t="shared" si="4"/>
        <v>9.5991096644488048E-3</v>
      </c>
      <c r="AN116" s="132">
        <f t="shared" si="5"/>
        <v>1.9308553922741851E-2</v>
      </c>
    </row>
    <row r="117" spans="24:40" ht="15.75" customHeight="1" x14ac:dyDescent="0.3">
      <c r="X117" s="4">
        <v>115</v>
      </c>
      <c r="Y117" s="131" t="s">
        <v>464</v>
      </c>
      <c r="Z117" s="4">
        <v>369</v>
      </c>
      <c r="AA117" s="4">
        <v>30.28</v>
      </c>
      <c r="AB117" s="4">
        <v>12.7</v>
      </c>
      <c r="AC117" s="4">
        <v>5.54</v>
      </c>
      <c r="AD117" s="4">
        <v>10.15</v>
      </c>
      <c r="AE117" s="4">
        <v>3.18</v>
      </c>
      <c r="AF117" s="4">
        <v>3.96</v>
      </c>
      <c r="AG117" s="4">
        <v>65.81</v>
      </c>
      <c r="AI117" s="132">
        <f t="shared" si="0"/>
        <v>6.6854865731654778E-2</v>
      </c>
      <c r="AJ117" s="132">
        <f t="shared" si="1"/>
        <v>2.8040184768560624E-2</v>
      </c>
      <c r="AK117" s="132">
        <f t="shared" si="2"/>
        <v>1.2231702647072903E-2</v>
      </c>
      <c r="AL117" s="132">
        <f t="shared" si="3"/>
        <v>2.2410068929203962E-2</v>
      </c>
      <c r="AM117" s="132">
        <f t="shared" si="4"/>
        <v>7.0210856349624245E-3</v>
      </c>
      <c r="AN117" s="132">
        <f t="shared" si="5"/>
        <v>8.7432387152362265E-3</v>
      </c>
    </row>
    <row r="118" spans="24:40" ht="15.75" customHeight="1" x14ac:dyDescent="0.3">
      <c r="X118" s="4">
        <v>116</v>
      </c>
      <c r="Y118" s="131" t="s">
        <v>304</v>
      </c>
      <c r="Z118" s="4">
        <v>281</v>
      </c>
      <c r="AA118" s="4">
        <v>16.149999999999999</v>
      </c>
      <c r="AB118" s="4">
        <v>6.68</v>
      </c>
      <c r="AC118" s="4">
        <v>7.52</v>
      </c>
      <c r="AD118" s="4">
        <v>10.029999999999999</v>
      </c>
      <c r="AE118" s="4">
        <v>3.45</v>
      </c>
      <c r="AF118" s="4">
        <v>6.6</v>
      </c>
      <c r="AG118" s="4">
        <v>50.43</v>
      </c>
      <c r="AI118" s="132">
        <f t="shared" si="0"/>
        <v>2.7153738451964959E-2</v>
      </c>
      <c r="AJ118" s="132">
        <f t="shared" si="1"/>
        <v>1.1231391508305011E-2</v>
      </c>
      <c r="AK118" s="132">
        <f t="shared" si="2"/>
        <v>1.2643722177014025E-2</v>
      </c>
      <c r="AL118" s="132">
        <f t="shared" si="3"/>
        <v>1.686390072279929E-2</v>
      </c>
      <c r="AM118" s="132">
        <f t="shared" si="4"/>
        <v>5.8006438179120197E-3</v>
      </c>
      <c r="AN118" s="132">
        <f t="shared" si="5"/>
        <v>1.109688382557082E-2</v>
      </c>
    </row>
    <row r="119" spans="24:40" ht="15.75" customHeight="1" x14ac:dyDescent="0.3">
      <c r="X119" s="4">
        <v>117</v>
      </c>
      <c r="Y119" s="131" t="s">
        <v>460</v>
      </c>
      <c r="Z119" s="4">
        <v>332</v>
      </c>
      <c r="AA119" s="4">
        <v>29.52</v>
      </c>
      <c r="AB119" s="4">
        <v>14.49</v>
      </c>
      <c r="AC119" s="4">
        <v>7.64</v>
      </c>
      <c r="AD119" s="4">
        <v>11.66</v>
      </c>
      <c r="AE119" s="4">
        <v>3.88</v>
      </c>
      <c r="AF119" s="4">
        <v>7.69</v>
      </c>
      <c r="AG119" s="4">
        <v>74.88</v>
      </c>
      <c r="AI119" s="132">
        <f t="shared" si="0"/>
        <v>5.8641520271887411E-2</v>
      </c>
      <c r="AJ119" s="132">
        <f t="shared" si="1"/>
        <v>2.8784404767603276E-2</v>
      </c>
      <c r="AK119" s="132">
        <f t="shared" si="2"/>
        <v>1.5176870422670049E-2</v>
      </c>
      <c r="AL119" s="132">
        <f t="shared" si="3"/>
        <v>2.3162605906849838E-2</v>
      </c>
      <c r="AM119" s="132">
        <f t="shared" si="4"/>
        <v>7.7076252931884536E-3</v>
      </c>
      <c r="AN119" s="132">
        <f t="shared" si="5"/>
        <v>1.527619549088124E-2</v>
      </c>
    </row>
    <row r="120" spans="24:40" ht="15.75" customHeight="1" x14ac:dyDescent="0.3">
      <c r="X120" s="4">
        <v>118</v>
      </c>
      <c r="Y120" s="131" t="s">
        <v>451</v>
      </c>
      <c r="Z120" s="4">
        <v>108</v>
      </c>
      <c r="AA120" s="4">
        <v>28.53</v>
      </c>
      <c r="AB120" s="4">
        <v>10.52</v>
      </c>
      <c r="AC120" s="4">
        <v>7.37</v>
      </c>
      <c r="AD120" s="4">
        <v>11.15</v>
      </c>
      <c r="AE120" s="4">
        <v>3.8</v>
      </c>
      <c r="AF120" s="4">
        <v>7</v>
      </c>
      <c r="AG120" s="4">
        <v>68.36999999999999</v>
      </c>
      <c r="AI120" s="132">
        <f t="shared" si="0"/>
        <v>1.8436408022593463E-2</v>
      </c>
      <c r="AJ120" s="132">
        <f t="shared" si="1"/>
        <v>6.7981427408932071E-3</v>
      </c>
      <c r="AK120" s="132">
        <f t="shared" si="2"/>
        <v>4.7625771863481882E-3</v>
      </c>
      <c r="AL120" s="132">
        <f t="shared" si="3"/>
        <v>7.2052558518022119E-3</v>
      </c>
      <c r="AM120" s="132">
        <f t="shared" si="4"/>
        <v>2.4556028911971663E-3</v>
      </c>
      <c r="AN120" s="132">
        <f t="shared" si="5"/>
        <v>4.5234790101000427E-3</v>
      </c>
    </row>
    <row r="121" spans="24:40" ht="15.75" customHeight="1" x14ac:dyDescent="0.3">
      <c r="X121" s="4">
        <v>119</v>
      </c>
      <c r="Y121" s="131" t="s">
        <v>393</v>
      </c>
      <c r="Z121" s="4">
        <v>98</v>
      </c>
      <c r="AA121" s="4">
        <v>24.05</v>
      </c>
      <c r="AB121" s="4">
        <v>13.96</v>
      </c>
      <c r="AC121" s="4">
        <v>7.62</v>
      </c>
      <c r="AD121" s="4">
        <v>11.06</v>
      </c>
      <c r="AE121" s="4">
        <v>3.8</v>
      </c>
      <c r="AF121" s="4">
        <v>7</v>
      </c>
      <c r="AG121" s="4">
        <v>67.490000000000009</v>
      </c>
      <c r="AI121" s="132">
        <f t="shared" si="0"/>
        <v>1.4102364654635968E-2</v>
      </c>
      <c r="AJ121" s="132">
        <f t="shared" si="1"/>
        <v>8.1858216456847464E-3</v>
      </c>
      <c r="AK121" s="132">
        <f t="shared" si="2"/>
        <v>4.4681920444210425E-3</v>
      </c>
      <c r="AL121" s="132">
        <f t="shared" si="3"/>
        <v>6.4853286104063958E-3</v>
      </c>
      <c r="AM121" s="132">
        <f t="shared" si="4"/>
        <v>2.2282322531233544E-3</v>
      </c>
      <c r="AN121" s="132">
        <f t="shared" si="5"/>
        <v>4.104638361016706E-3</v>
      </c>
    </row>
    <row r="122" spans="24:40" ht="15.75" customHeight="1" x14ac:dyDescent="0.3">
      <c r="X122" s="4">
        <v>120</v>
      </c>
      <c r="Y122" s="131" t="s">
        <v>337</v>
      </c>
      <c r="Z122" s="4">
        <v>245</v>
      </c>
      <c r="AA122" s="4">
        <v>20.81</v>
      </c>
      <c r="AB122" s="4">
        <v>14.04</v>
      </c>
      <c r="AC122" s="4">
        <v>7.44</v>
      </c>
      <c r="AD122" s="4">
        <v>11.1</v>
      </c>
      <c r="AE122" s="4">
        <v>3.88</v>
      </c>
      <c r="AF122" s="4">
        <v>7</v>
      </c>
      <c r="AG122" s="4">
        <v>64.27</v>
      </c>
      <c r="AI122" s="132">
        <f t="shared" si="0"/>
        <v>3.0506258675984874E-2</v>
      </c>
      <c r="AJ122" s="132">
        <f t="shared" si="1"/>
        <v>2.0581829495955193E-2</v>
      </c>
      <c r="AK122" s="132">
        <f t="shared" si="2"/>
        <v>1.0906610502130105E-2</v>
      </c>
      <c r="AL122" s="132">
        <f t="shared" si="3"/>
        <v>1.6271959216887656E-2</v>
      </c>
      <c r="AM122" s="132">
        <f t="shared" si="4"/>
        <v>5.6878560145517208E-3</v>
      </c>
      <c r="AN122" s="132">
        <f t="shared" si="5"/>
        <v>1.0261595902541764E-2</v>
      </c>
    </row>
    <row r="123" spans="24:40" ht="15.75" customHeight="1" x14ac:dyDescent="0.3">
      <c r="X123" s="4">
        <v>121</v>
      </c>
      <c r="Y123" s="131" t="s">
        <v>290</v>
      </c>
      <c r="Z123" s="4">
        <v>113</v>
      </c>
      <c r="AA123" s="4">
        <v>13.38</v>
      </c>
      <c r="AB123" s="4">
        <v>14.63</v>
      </c>
      <c r="AC123" s="4">
        <v>7.77</v>
      </c>
      <c r="AD123" s="4">
        <v>10.76</v>
      </c>
      <c r="AE123" s="4">
        <v>3.73</v>
      </c>
      <c r="AF123" s="4">
        <v>7</v>
      </c>
      <c r="AG123" s="4">
        <v>57.269999999999996</v>
      </c>
      <c r="AI123" s="132">
        <f t="shared" si="0"/>
        <v>9.0465990139294433E-3</v>
      </c>
      <c r="AJ123" s="132">
        <f t="shared" si="1"/>
        <v>9.8917596094011771E-3</v>
      </c>
      <c r="AK123" s="132">
        <f t="shared" si="2"/>
        <v>5.2535182614523003E-3</v>
      </c>
      <c r="AL123" s="132">
        <f t="shared" si="3"/>
        <v>7.2751424058206879E-3</v>
      </c>
      <c r="AM123" s="132">
        <f t="shared" si="4"/>
        <v>2.5219592168876552E-3</v>
      </c>
      <c r="AN123" s="132">
        <f t="shared" si="5"/>
        <v>4.7328993346417115E-3</v>
      </c>
    </row>
    <row r="124" spans="24:40" ht="15.75" customHeight="1" x14ac:dyDescent="0.3">
      <c r="X124" s="4">
        <v>122</v>
      </c>
      <c r="Y124" s="131" t="s">
        <v>382</v>
      </c>
      <c r="Z124" s="4">
        <v>69</v>
      </c>
      <c r="AA124" s="4">
        <v>23.57</v>
      </c>
      <c r="AB124" s="4">
        <v>13.47</v>
      </c>
      <c r="AC124" s="4">
        <v>7.59</v>
      </c>
      <c r="AD124" s="4">
        <v>11.34</v>
      </c>
      <c r="AE124" s="4">
        <v>3.8</v>
      </c>
      <c r="AF124" s="4">
        <v>7.45</v>
      </c>
      <c r="AG124" s="4">
        <v>67.22</v>
      </c>
      <c r="AI124" s="132">
        <f t="shared" si="0"/>
        <v>9.7310444689100561E-3</v>
      </c>
      <c r="AJ124" s="132">
        <f t="shared" si="1"/>
        <v>5.561186635393232E-3</v>
      </c>
      <c r="AK124" s="132">
        <f t="shared" si="2"/>
        <v>3.1335862333062088E-3</v>
      </c>
      <c r="AL124" s="132">
        <f t="shared" si="3"/>
        <v>4.681800775453545E-3</v>
      </c>
      <c r="AM124" s="132">
        <f t="shared" si="4"/>
        <v>1.5688574027093007E-3</v>
      </c>
      <c r="AN124" s="132">
        <f t="shared" si="5"/>
        <v>3.0757862237327082E-3</v>
      </c>
    </row>
    <row r="125" spans="24:40" ht="15.75" customHeight="1" x14ac:dyDescent="0.3">
      <c r="X125" s="4">
        <v>123</v>
      </c>
      <c r="Y125" s="131" t="s">
        <v>396</v>
      </c>
      <c r="Z125" s="4">
        <v>38</v>
      </c>
      <c r="AA125" s="4">
        <v>24.48</v>
      </c>
      <c r="AB125" s="4">
        <v>13.36</v>
      </c>
      <c r="AC125" s="4">
        <v>7.54</v>
      </c>
      <c r="AD125" s="4">
        <v>11.4</v>
      </c>
      <c r="AE125" s="4">
        <v>3.88</v>
      </c>
      <c r="AF125" s="4">
        <v>7.6</v>
      </c>
      <c r="AG125" s="4">
        <v>68.260000000000005</v>
      </c>
      <c r="AI125" s="132">
        <f t="shared" si="0"/>
        <v>5.5660332200469101E-3</v>
      </c>
      <c r="AJ125" s="132">
        <f t="shared" si="1"/>
        <v>3.037671724666124E-3</v>
      </c>
      <c r="AK125" s="132">
        <f t="shared" si="2"/>
        <v>1.7143746110765401E-3</v>
      </c>
      <c r="AL125" s="132">
        <f t="shared" si="3"/>
        <v>2.5920252740414531E-3</v>
      </c>
      <c r="AM125" s="132">
        <f t="shared" si="4"/>
        <v>8.821980757263893E-4</v>
      </c>
      <c r="AN125" s="132">
        <f t="shared" si="5"/>
        <v>1.7280168493609689E-3</v>
      </c>
    </row>
    <row r="126" spans="24:40" ht="15.75" customHeight="1" x14ac:dyDescent="0.3">
      <c r="X126" s="4">
        <v>124</v>
      </c>
      <c r="Y126" s="131" t="s">
        <v>410</v>
      </c>
      <c r="Z126" s="4">
        <v>445</v>
      </c>
      <c r="AA126" s="4">
        <v>25.55</v>
      </c>
      <c r="AB126" s="4">
        <v>13.22</v>
      </c>
      <c r="AC126" s="4">
        <v>7.81</v>
      </c>
      <c r="AD126" s="4">
        <v>11.64</v>
      </c>
      <c r="AE126" s="4">
        <v>3.8</v>
      </c>
      <c r="AF126" s="4">
        <v>7</v>
      </c>
      <c r="AG126" s="4">
        <v>69.02000000000001</v>
      </c>
      <c r="AI126" s="132">
        <f t="shared" si="0"/>
        <v>6.8030192427361066E-2</v>
      </c>
      <c r="AJ126" s="132">
        <f t="shared" si="1"/>
        <v>3.5199966492748078E-2</v>
      </c>
      <c r="AK126" s="132">
        <f t="shared" si="2"/>
        <v>2.0795139055095495E-2</v>
      </c>
      <c r="AL126" s="132">
        <f t="shared" si="3"/>
        <v>3.0993011344598153E-2</v>
      </c>
      <c r="AM126" s="132">
        <f t="shared" si="4"/>
        <v>1.0117993394284619E-2</v>
      </c>
      <c r="AN126" s="132">
        <f t="shared" si="5"/>
        <v>1.8638408884208511E-2</v>
      </c>
    </row>
    <row r="127" spans="24:40" ht="15.75" customHeight="1" x14ac:dyDescent="0.3">
      <c r="X127" s="4">
        <v>125</v>
      </c>
      <c r="Y127" s="131" t="s">
        <v>341</v>
      </c>
      <c r="Z127" s="4">
        <v>62</v>
      </c>
      <c r="AA127" s="4">
        <v>21.06</v>
      </c>
      <c r="AB127" s="4">
        <v>12.8</v>
      </c>
      <c r="AC127" s="4">
        <v>7.65</v>
      </c>
      <c r="AD127" s="4">
        <v>11.4</v>
      </c>
      <c r="AE127" s="4">
        <v>3.88</v>
      </c>
      <c r="AF127" s="4">
        <v>7.68</v>
      </c>
      <c r="AG127" s="4">
        <v>64.47</v>
      </c>
      <c r="AI127" s="132">
        <f t="shared" si="0"/>
        <v>7.8126944617299323E-3</v>
      </c>
      <c r="AJ127" s="132">
        <f t="shared" si="1"/>
        <v>4.7484562730362358E-3</v>
      </c>
      <c r="AK127" s="132">
        <f t="shared" si="2"/>
        <v>2.8379445694318127E-3</v>
      </c>
      <c r="AL127" s="132">
        <f t="shared" si="3"/>
        <v>4.2290938681728979E-3</v>
      </c>
      <c r="AM127" s="132">
        <f t="shared" si="4"/>
        <v>1.439375807764109E-3</v>
      </c>
      <c r="AN127" s="132">
        <f t="shared" si="5"/>
        <v>2.8490737638217412E-3</v>
      </c>
    </row>
    <row r="128" spans="24:40" ht="15.75" customHeight="1" x14ac:dyDescent="0.3">
      <c r="X128" s="4">
        <v>126</v>
      </c>
      <c r="Y128" s="131" t="s">
        <v>355</v>
      </c>
      <c r="Z128" s="4">
        <v>288</v>
      </c>
      <c r="AA128" s="4">
        <v>21.67</v>
      </c>
      <c r="AB128" s="4">
        <v>11.75</v>
      </c>
      <c r="AC128" s="4">
        <v>7.71</v>
      </c>
      <c r="AD128" s="4">
        <v>11.64</v>
      </c>
      <c r="AE128" s="4">
        <v>3.95</v>
      </c>
      <c r="AF128" s="4">
        <v>7.24</v>
      </c>
      <c r="AG128" s="4">
        <v>63.960000000000008</v>
      </c>
      <c r="AI128" s="132">
        <f t="shared" si="0"/>
        <v>3.7342396247187791E-2</v>
      </c>
      <c r="AJ128" s="132">
        <f t="shared" si="1"/>
        <v>2.0247953664257336E-2</v>
      </c>
      <c r="AK128" s="132">
        <f t="shared" si="2"/>
        <v>1.3286104063950983E-2</v>
      </c>
      <c r="AL128" s="132">
        <f t="shared" si="3"/>
        <v>2.0058398353357907E-2</v>
      </c>
      <c r="AM128" s="132">
        <f t="shared" si="4"/>
        <v>6.8067588913886369E-3</v>
      </c>
      <c r="AN128" s="132">
        <f t="shared" si="5"/>
        <v>1.247618591738069E-2</v>
      </c>
    </row>
    <row r="129" spans="24:40" ht="15.75" customHeight="1" x14ac:dyDescent="0.3">
      <c r="X129" s="4">
        <v>127</v>
      </c>
      <c r="Y129" s="131" t="s">
        <v>344</v>
      </c>
      <c r="Z129" s="4">
        <v>69</v>
      </c>
      <c r="AA129" s="4">
        <v>21.16</v>
      </c>
      <c r="AB129" s="4">
        <v>13.72</v>
      </c>
      <c r="AC129" s="4">
        <v>7.48</v>
      </c>
      <c r="AD129" s="4">
        <v>11.22</v>
      </c>
      <c r="AE129" s="4">
        <v>3.8</v>
      </c>
      <c r="AF129" s="4">
        <v>7.23</v>
      </c>
      <c r="AG129" s="4">
        <v>64.61</v>
      </c>
      <c r="AI129" s="132">
        <f t="shared" si="0"/>
        <v>8.7360585898233686E-3</v>
      </c>
      <c r="AJ129" s="132">
        <f t="shared" si="1"/>
        <v>5.6644009382030543E-3</v>
      </c>
      <c r="AK129" s="132">
        <f t="shared" si="2"/>
        <v>3.0881719400698867E-3</v>
      </c>
      <c r="AL129" s="132">
        <f t="shared" si="3"/>
        <v>4.6322579101048299E-3</v>
      </c>
      <c r="AM129" s="132">
        <f t="shared" si="4"/>
        <v>1.5688574027093007E-3</v>
      </c>
      <c r="AN129" s="132">
        <f t="shared" si="5"/>
        <v>2.9849576372600641E-3</v>
      </c>
    </row>
    <row r="130" spans="24:40" ht="15.75" customHeight="1" x14ac:dyDescent="0.3">
      <c r="X130" s="4">
        <v>128</v>
      </c>
      <c r="Y130" s="131" t="s">
        <v>471</v>
      </c>
      <c r="Z130" s="4">
        <v>661</v>
      </c>
      <c r="AA130" s="4">
        <v>30.28</v>
      </c>
      <c r="AB130" s="4">
        <v>10.27</v>
      </c>
      <c r="AC130" s="4">
        <v>7.75</v>
      </c>
      <c r="AD130" s="4">
        <v>11.27</v>
      </c>
      <c r="AE130" s="4">
        <v>3.73</v>
      </c>
      <c r="AF130" s="4">
        <v>7.53</v>
      </c>
      <c r="AG130" s="4">
        <v>70.829999999999984</v>
      </c>
      <c r="AI130" s="132">
        <f t="shared" si="0"/>
        <v>0.11975898712364177</v>
      </c>
      <c r="AJ130" s="132">
        <f t="shared" si="1"/>
        <v>4.061838830118232E-2</v>
      </c>
      <c r="AK130" s="132">
        <f t="shared" si="2"/>
        <v>3.0651656215595232E-2</v>
      </c>
      <c r="AL130" s="132">
        <f t="shared" si="3"/>
        <v>4.457344071609784E-2</v>
      </c>
      <c r="AM130" s="132">
        <f t="shared" si="4"/>
        <v>1.4752345507634868E-2</v>
      </c>
      <c r="AN130" s="132">
        <f t="shared" si="5"/>
        <v>2.9781544684313817E-2</v>
      </c>
    </row>
    <row r="131" spans="24:40" ht="15.75" customHeight="1" x14ac:dyDescent="0.3">
      <c r="X131" s="4">
        <v>129</v>
      </c>
      <c r="Y131" s="131" t="s">
        <v>461</v>
      </c>
      <c r="Z131" s="4">
        <v>515</v>
      </c>
      <c r="AA131" s="4">
        <v>29.54</v>
      </c>
      <c r="AB131" s="4">
        <v>8.2899999999999991</v>
      </c>
      <c r="AC131" s="4">
        <v>6.15</v>
      </c>
      <c r="AD131" s="4">
        <v>7.78</v>
      </c>
      <c r="AE131" s="4">
        <v>2.9</v>
      </c>
      <c r="AF131" s="4">
        <v>4.24</v>
      </c>
      <c r="AG131" s="4">
        <v>58.9</v>
      </c>
      <c r="AI131" s="132">
        <f t="shared" si="0"/>
        <v>9.1026638265281706E-2</v>
      </c>
      <c r="AJ131" s="132">
        <f t="shared" si="1"/>
        <v>2.5545390359484943E-2</v>
      </c>
      <c r="AK131" s="132">
        <f t="shared" si="2"/>
        <v>1.8951043511560003E-2</v>
      </c>
      <c r="AL131" s="132">
        <f t="shared" si="3"/>
        <v>2.3973840409745824E-2</v>
      </c>
      <c r="AM131" s="132">
        <f t="shared" si="4"/>
        <v>8.9362644200852038E-3</v>
      </c>
      <c r="AN131" s="132">
        <f t="shared" si="5"/>
        <v>1.3065434876262504E-2</v>
      </c>
    </row>
    <row r="132" spans="24:40" ht="15.75" customHeight="1" x14ac:dyDescent="0.3">
      <c r="X132" s="4">
        <v>130</v>
      </c>
      <c r="Y132" s="131" t="s">
        <v>466</v>
      </c>
      <c r="Z132" s="4">
        <v>293</v>
      </c>
      <c r="AA132" s="4">
        <v>29.84</v>
      </c>
      <c r="AB132" s="4">
        <v>13.45</v>
      </c>
      <c r="AC132" s="4">
        <v>5.7</v>
      </c>
      <c r="AD132" s="4">
        <v>8.5500000000000007</v>
      </c>
      <c r="AE132" s="4">
        <v>3.88</v>
      </c>
      <c r="AF132" s="4">
        <v>5.13</v>
      </c>
      <c r="AG132" s="4">
        <v>66.550000000000011</v>
      </c>
      <c r="AI132" s="132">
        <f t="shared" si="0"/>
        <v>5.2313915083050125E-2</v>
      </c>
      <c r="AJ132" s="132">
        <f t="shared" si="1"/>
        <v>2.3579831027715284E-2</v>
      </c>
      <c r="AK132" s="132">
        <f t="shared" si="2"/>
        <v>9.9929395433440253E-3</v>
      </c>
      <c r="AL132" s="132">
        <f t="shared" si="3"/>
        <v>1.4989409315016036E-2</v>
      </c>
      <c r="AM132" s="132">
        <f t="shared" si="4"/>
        <v>6.8022114786271595E-3</v>
      </c>
      <c r="AN132" s="132">
        <f t="shared" si="5"/>
        <v>8.9936455890096204E-3</v>
      </c>
    </row>
    <row r="133" spans="24:40" ht="15.75" customHeight="1" x14ac:dyDescent="0.3">
      <c r="X133" s="4">
        <v>131</v>
      </c>
      <c r="Y133" s="131" t="s">
        <v>474</v>
      </c>
      <c r="Z133" s="4">
        <v>971</v>
      </c>
      <c r="AA133" s="4">
        <v>32.36</v>
      </c>
      <c r="AB133" s="4">
        <v>11.79</v>
      </c>
      <c r="AC133" s="4">
        <v>3.44</v>
      </c>
      <c r="AD133" s="4">
        <v>6.74</v>
      </c>
      <c r="AE133" s="4">
        <v>2.7</v>
      </c>
      <c r="AF133" s="4">
        <v>3.8</v>
      </c>
      <c r="AG133" s="4">
        <v>60.83</v>
      </c>
      <c r="AI133" s="132">
        <f t="shared" si="0"/>
        <v>0.18800895122301467</v>
      </c>
      <c r="AJ133" s="132">
        <f t="shared" si="1"/>
        <v>6.849893494806375E-2</v>
      </c>
      <c r="AK133" s="132">
        <f t="shared" si="2"/>
        <v>1.998611842420181E-2</v>
      </c>
      <c r="AL133" s="132">
        <f t="shared" si="3"/>
        <v>3.9158848307883777E-2</v>
      </c>
      <c r="AM133" s="132">
        <f t="shared" si="4"/>
        <v>1.5686778995739795E-2</v>
      </c>
      <c r="AN133" s="132">
        <f t="shared" si="5"/>
        <v>2.2077688956967115E-2</v>
      </c>
    </row>
    <row r="134" spans="24:40" ht="15.75" customHeight="1" x14ac:dyDescent="0.3">
      <c r="X134" s="4">
        <v>132</v>
      </c>
      <c r="Y134" s="131" t="s">
        <v>470</v>
      </c>
      <c r="Z134" s="4">
        <v>638</v>
      </c>
      <c r="AA134" s="4">
        <v>30.12</v>
      </c>
      <c r="AB134" s="4">
        <v>12.8</v>
      </c>
      <c r="AC134" s="4">
        <v>7</v>
      </c>
      <c r="AD134" s="4">
        <v>11.2</v>
      </c>
      <c r="AE134" s="4">
        <v>2.98</v>
      </c>
      <c r="AF134" s="4">
        <v>3</v>
      </c>
      <c r="AG134" s="4">
        <v>67.100000000000009</v>
      </c>
      <c r="AI134" s="132">
        <f t="shared" si="0"/>
        <v>0.11498109233641282</v>
      </c>
      <c r="AJ134" s="132">
        <f t="shared" si="1"/>
        <v>4.8863146809630942E-2</v>
      </c>
      <c r="AK134" s="132">
        <f t="shared" si="2"/>
        <v>2.672203341151692E-2</v>
      </c>
      <c r="AL134" s="132">
        <f t="shared" si="3"/>
        <v>4.2755253458427067E-2</v>
      </c>
      <c r="AM134" s="132">
        <f t="shared" si="4"/>
        <v>1.1375951366617204E-2</v>
      </c>
      <c r="AN134" s="132">
        <f t="shared" si="5"/>
        <v>1.1452300033507251E-2</v>
      </c>
    </row>
    <row r="135" spans="24:40" ht="15.75" customHeight="1" x14ac:dyDescent="0.3">
      <c r="X135" s="4">
        <v>133</v>
      </c>
      <c r="Y135" s="131" t="s">
        <v>477</v>
      </c>
      <c r="Z135" s="4">
        <v>1911</v>
      </c>
      <c r="AA135" s="4">
        <v>34</v>
      </c>
      <c r="AB135" s="4">
        <v>12.5</v>
      </c>
      <c r="AC135" s="4">
        <v>4.74</v>
      </c>
      <c r="AD135" s="4">
        <v>8.1</v>
      </c>
      <c r="AE135" s="4">
        <v>3.5</v>
      </c>
      <c r="AF135" s="4">
        <v>4.4400000000000004</v>
      </c>
      <c r="AG135" s="4">
        <v>67.28</v>
      </c>
      <c r="AI135" s="132">
        <f t="shared" si="0"/>
        <v>0.38876789047915372</v>
      </c>
      <c r="AJ135" s="132">
        <f t="shared" si="1"/>
        <v>0.14292937149968887</v>
      </c>
      <c r="AK135" s="132">
        <f t="shared" si="2"/>
        <v>5.4198817672682024E-2</v>
      </c>
      <c r="AL135" s="132">
        <f t="shared" si="3"/>
        <v>9.2618232731798367E-2</v>
      </c>
      <c r="AM135" s="132">
        <f t="shared" si="4"/>
        <v>4.0020224019912884E-2</v>
      </c>
      <c r="AN135" s="132">
        <f t="shared" si="5"/>
        <v>5.0768512756689484E-2</v>
      </c>
    </row>
    <row r="136" spans="24:40" ht="15.75" customHeight="1" x14ac:dyDescent="0.3">
      <c r="X136" s="4">
        <v>134</v>
      </c>
      <c r="Y136" s="131" t="s">
        <v>445</v>
      </c>
      <c r="Z136" s="4">
        <v>1232</v>
      </c>
      <c r="AA136" s="4">
        <v>27.63</v>
      </c>
      <c r="AB136" s="4">
        <v>11.6</v>
      </c>
      <c r="AC136" s="4">
        <v>3</v>
      </c>
      <c r="AD136" s="4">
        <v>4.5</v>
      </c>
      <c r="AE136" s="4">
        <v>1.9</v>
      </c>
      <c r="AF136" s="4">
        <v>3</v>
      </c>
      <c r="AG136" s="4">
        <v>51.629999999999995</v>
      </c>
      <c r="AI136" s="132">
        <f t="shared" si="0"/>
        <v>0.20367718156143791</v>
      </c>
      <c r="AJ136" s="132">
        <f t="shared" si="1"/>
        <v>8.5510506916854134E-2</v>
      </c>
      <c r="AK136" s="132">
        <f t="shared" si="2"/>
        <v>2.2114786271600212E-2</v>
      </c>
      <c r="AL136" s="132">
        <f t="shared" si="3"/>
        <v>3.3172179407400318E-2</v>
      </c>
      <c r="AM136" s="132">
        <f t="shared" si="4"/>
        <v>1.4006031305346799E-2</v>
      </c>
      <c r="AN136" s="132">
        <f t="shared" si="5"/>
        <v>2.2114786271600212E-2</v>
      </c>
    </row>
    <row r="137" spans="24:40" ht="15.75" customHeight="1" x14ac:dyDescent="0.3">
      <c r="X137" s="4">
        <v>135</v>
      </c>
      <c r="Y137" s="131" t="s">
        <v>278</v>
      </c>
      <c r="Z137" s="4">
        <v>50</v>
      </c>
      <c r="AA137" s="4">
        <v>12.03</v>
      </c>
      <c r="AB137" s="4">
        <v>9.94</v>
      </c>
      <c r="AC137" s="4">
        <v>6.8</v>
      </c>
      <c r="AD137" s="4">
        <v>11.39</v>
      </c>
      <c r="AE137" s="4">
        <v>3.4</v>
      </c>
      <c r="AF137" s="4">
        <v>4.97</v>
      </c>
      <c r="AG137" s="4">
        <v>48.529999999999994</v>
      </c>
      <c r="AI137" s="132">
        <f t="shared" si="0"/>
        <v>3.599037863194677E-3</v>
      </c>
      <c r="AJ137" s="132">
        <f t="shared" si="1"/>
        <v>2.9737686084916949E-3</v>
      </c>
      <c r="AK137" s="132">
        <f t="shared" si="2"/>
        <v>2.0343688669762099E-3</v>
      </c>
      <c r="AL137" s="132">
        <f t="shared" si="3"/>
        <v>3.4075678521851517E-3</v>
      </c>
      <c r="AM137" s="132">
        <f t="shared" si="4"/>
        <v>1.017184433488105E-3</v>
      </c>
      <c r="AN137" s="132">
        <f t="shared" si="5"/>
        <v>1.4868843042458474E-3</v>
      </c>
    </row>
    <row r="138" spans="24:40" ht="15.75" customHeight="1" x14ac:dyDescent="0.3">
      <c r="X138" s="4">
        <v>136</v>
      </c>
      <c r="Y138" s="131" t="s">
        <v>472</v>
      </c>
      <c r="Z138" s="4">
        <v>1155</v>
      </c>
      <c r="AA138" s="4">
        <v>30.33</v>
      </c>
      <c r="AB138" s="4">
        <v>11.34</v>
      </c>
      <c r="AC138" s="4">
        <v>5.2</v>
      </c>
      <c r="AD138" s="4">
        <v>9.8000000000000007</v>
      </c>
      <c r="AE138" s="4">
        <v>3.58</v>
      </c>
      <c r="AF138" s="4">
        <v>5.56</v>
      </c>
      <c r="AG138" s="4">
        <v>65.81</v>
      </c>
      <c r="AI138" s="132">
        <f t="shared" si="0"/>
        <v>0.20960670863051076</v>
      </c>
      <c r="AJ138" s="132">
        <f t="shared" si="1"/>
        <v>7.8369273849983254E-2</v>
      </c>
      <c r="AK138" s="132">
        <f t="shared" si="2"/>
        <v>3.5936527691350341E-2</v>
      </c>
      <c r="AL138" s="132">
        <f t="shared" si="3"/>
        <v>6.7726532956775651E-2</v>
      </c>
      <c r="AM138" s="132">
        <f t="shared" si="4"/>
        <v>2.4740917141352733E-2</v>
      </c>
      <c r="AN138" s="132">
        <f t="shared" si="5"/>
        <v>3.842444114690536E-2</v>
      </c>
    </row>
    <row r="139" spans="24:40" ht="15.75" customHeight="1" x14ac:dyDescent="0.3">
      <c r="X139" s="4">
        <v>137</v>
      </c>
      <c r="Y139" s="131" t="s">
        <v>362</v>
      </c>
      <c r="Z139" s="4">
        <v>422</v>
      </c>
      <c r="AA139" s="4">
        <v>22.5</v>
      </c>
      <c r="AB139" s="4">
        <v>6.58</v>
      </c>
      <c r="AC139" s="4">
        <v>5.08</v>
      </c>
      <c r="AD139" s="4">
        <v>9.08</v>
      </c>
      <c r="AE139" s="4">
        <v>3.65</v>
      </c>
      <c r="AF139" s="4">
        <v>7.6</v>
      </c>
      <c r="AG139" s="4">
        <v>54.489999999999995</v>
      </c>
      <c r="AI139" s="132">
        <f t="shared" si="0"/>
        <v>5.6812742329232682E-2</v>
      </c>
      <c r="AJ139" s="132">
        <f t="shared" si="1"/>
        <v>1.6614570867837825E-2</v>
      </c>
      <c r="AK139" s="132">
        <f t="shared" si="2"/>
        <v>1.2827054712555647E-2</v>
      </c>
      <c r="AL139" s="132">
        <f t="shared" si="3"/>
        <v>2.2927097793308125E-2</v>
      </c>
      <c r="AM139" s="132">
        <f t="shared" si="4"/>
        <v>9.2162893111866345E-3</v>
      </c>
      <c r="AN139" s="132">
        <f t="shared" si="5"/>
        <v>1.9190081853429707E-2</v>
      </c>
    </row>
    <row r="140" spans="24:40" ht="15.75" customHeight="1" x14ac:dyDescent="0.3">
      <c r="X140" s="4">
        <v>138</v>
      </c>
      <c r="Y140" s="131" t="s">
        <v>480</v>
      </c>
      <c r="Z140" s="4">
        <v>194</v>
      </c>
      <c r="AA140" s="4">
        <v>32.479999999999997</v>
      </c>
      <c r="AB140" s="4">
        <v>10.26</v>
      </c>
      <c r="AC140" s="4">
        <v>5.6</v>
      </c>
      <c r="AD140" s="4">
        <v>9.2200000000000006</v>
      </c>
      <c r="AE140" s="4">
        <v>3.5</v>
      </c>
      <c r="AF140" s="4">
        <v>5.8</v>
      </c>
      <c r="AG140" s="4">
        <v>66.86</v>
      </c>
      <c r="AI140" s="132">
        <f t="shared" si="0"/>
        <v>3.7702359867885685E-2</v>
      </c>
      <c r="AJ140" s="132">
        <f t="shared" si="1"/>
        <v>1.1909674022306256E-2</v>
      </c>
      <c r="AK140" s="132">
        <f t="shared" si="2"/>
        <v>6.5004068737733942E-3</v>
      </c>
      <c r="AL140" s="132">
        <f t="shared" si="3"/>
        <v>1.0702455602891198E-2</v>
      </c>
      <c r="AM140" s="132">
        <f t="shared" si="4"/>
        <v>4.0627542961083722E-3</v>
      </c>
      <c r="AN140" s="132">
        <f t="shared" si="5"/>
        <v>6.7325642621224452E-3</v>
      </c>
    </row>
    <row r="141" spans="24:40" ht="15.75" customHeight="1" x14ac:dyDescent="0.3">
      <c r="X141" s="4">
        <v>139</v>
      </c>
      <c r="Y141" s="131" t="s">
        <v>481</v>
      </c>
      <c r="Z141" s="4">
        <v>684</v>
      </c>
      <c r="AA141" s="4">
        <v>32.549999999999997</v>
      </c>
      <c r="AB141" s="4">
        <v>12.16</v>
      </c>
      <c r="AC141" s="4">
        <v>5.14</v>
      </c>
      <c r="AD141" s="4">
        <v>7.1</v>
      </c>
      <c r="AE141" s="4">
        <v>3.2</v>
      </c>
      <c r="AF141" s="4">
        <v>6.64</v>
      </c>
      <c r="AG141" s="4">
        <v>66.789999999999992</v>
      </c>
      <c r="AI141" s="132">
        <f t="shared" si="0"/>
        <v>0.13321645684744626</v>
      </c>
      <c r="AJ141" s="132">
        <f t="shared" si="1"/>
        <v>4.9766885261595908E-2</v>
      </c>
      <c r="AK141" s="132">
        <f t="shared" si="2"/>
        <v>2.1036331434589058E-2</v>
      </c>
      <c r="AL141" s="132">
        <f t="shared" si="3"/>
        <v>2.9057967545833133E-2</v>
      </c>
      <c r="AM141" s="132">
        <f t="shared" si="4"/>
        <v>1.3096548753051555E-2</v>
      </c>
      <c r="AN141" s="132">
        <f t="shared" si="5"/>
        <v>2.7175338662581976E-2</v>
      </c>
    </row>
    <row r="142" spans="24:40" ht="15.75" customHeight="1" x14ac:dyDescent="0.3">
      <c r="X142" s="4">
        <v>140</v>
      </c>
      <c r="Y142" s="131" t="s">
        <v>463</v>
      </c>
      <c r="Z142" s="4">
        <v>461</v>
      </c>
      <c r="AA142" s="4">
        <v>29.73</v>
      </c>
      <c r="AB142" s="4">
        <v>10.18</v>
      </c>
      <c r="AC142" s="4">
        <v>7.71</v>
      </c>
      <c r="AD142" s="4">
        <v>10.25</v>
      </c>
      <c r="AE142" s="4">
        <v>3.5</v>
      </c>
      <c r="AF142" s="4">
        <v>7.15</v>
      </c>
      <c r="AG142" s="4">
        <v>68.52</v>
      </c>
      <c r="AI142" s="132">
        <f t="shared" si="0"/>
        <v>8.2006186874730755E-2</v>
      </c>
      <c r="AJ142" s="132">
        <f t="shared" si="1"/>
        <v>2.8080154133358862E-2</v>
      </c>
      <c r="AK142" s="132">
        <f t="shared" si="2"/>
        <v>2.1266992963477095E-2</v>
      </c>
      <c r="AL142" s="132">
        <f t="shared" si="3"/>
        <v>2.827323967258628E-2</v>
      </c>
      <c r="AM142" s="132">
        <f t="shared" si="4"/>
        <v>9.6542769613709254E-3</v>
      </c>
      <c r="AN142" s="132">
        <f t="shared" si="5"/>
        <v>1.9722308649657749E-2</v>
      </c>
    </row>
    <row r="143" spans="24:40" ht="15.75" customHeight="1" x14ac:dyDescent="0.3">
      <c r="X143" s="4">
        <v>141</v>
      </c>
      <c r="Y143" s="131" t="s">
        <v>484</v>
      </c>
      <c r="Z143" s="4">
        <v>1554</v>
      </c>
      <c r="AA143" s="4">
        <v>32.68</v>
      </c>
      <c r="AB143" s="4">
        <v>10.130000000000001</v>
      </c>
      <c r="AC143" s="4">
        <v>7.69</v>
      </c>
      <c r="AD143" s="4">
        <v>11.18</v>
      </c>
      <c r="AE143" s="4">
        <v>3.5</v>
      </c>
      <c r="AF143" s="4">
        <v>8.2799999999999994</v>
      </c>
      <c r="AG143" s="4">
        <v>73.460000000000008</v>
      </c>
      <c r="AI143" s="132">
        <f t="shared" si="0"/>
        <v>0.3038672155473649</v>
      </c>
      <c r="AJ143" s="132">
        <f t="shared" si="1"/>
        <v>9.4191398209755403E-2</v>
      </c>
      <c r="AK143" s="132">
        <f t="shared" si="2"/>
        <v>7.1503637930209182E-2</v>
      </c>
      <c r="AL143" s="132">
        <f t="shared" si="3"/>
        <v>0.10395457373988799</v>
      </c>
      <c r="AM143" s="132">
        <f t="shared" si="4"/>
        <v>3.2543918433775312E-2</v>
      </c>
      <c r="AN143" s="132">
        <f t="shared" si="5"/>
        <v>7.6989612751902733E-2</v>
      </c>
    </row>
    <row r="144" spans="24:40" ht="15.75" customHeight="1" x14ac:dyDescent="0.3">
      <c r="X144" s="4">
        <v>142</v>
      </c>
      <c r="Y144" s="131" t="s">
        <v>453</v>
      </c>
      <c r="Z144" s="4">
        <v>745</v>
      </c>
      <c r="AA144" s="4">
        <v>28.63</v>
      </c>
      <c r="AB144" s="4">
        <v>10.16</v>
      </c>
      <c r="AC144" s="4">
        <v>5.34</v>
      </c>
      <c r="AD144" s="4">
        <v>11.53</v>
      </c>
      <c r="AE144" s="4">
        <v>4.0999999999999996</v>
      </c>
      <c r="AF144" s="4">
        <v>7</v>
      </c>
      <c r="AG144" s="4">
        <v>66.759999999999991</v>
      </c>
      <c r="AI144" s="132">
        <f t="shared" si="0"/>
        <v>0.12762283997893828</v>
      </c>
      <c r="AJ144" s="132">
        <f t="shared" si="1"/>
        <v>4.5289837729165672E-2</v>
      </c>
      <c r="AK144" s="132">
        <f t="shared" si="2"/>
        <v>2.3803910774974867E-2</v>
      </c>
      <c r="AL144" s="132">
        <f t="shared" si="3"/>
        <v>5.1396833564692934E-2</v>
      </c>
      <c r="AM144" s="132">
        <f t="shared" si="4"/>
        <v>1.8276410894643623E-2</v>
      </c>
      <c r="AN144" s="132">
        <f t="shared" si="5"/>
        <v>3.1203628356708632E-2</v>
      </c>
    </row>
    <row r="145" spans="24:40" ht="15.75" customHeight="1" x14ac:dyDescent="0.3">
      <c r="X145" s="4">
        <v>143</v>
      </c>
      <c r="Y145" s="131" t="s">
        <v>422</v>
      </c>
      <c r="Z145" s="4">
        <v>230</v>
      </c>
      <c r="AA145" s="4">
        <v>26.37</v>
      </c>
      <c r="AB145" s="4">
        <v>13.38</v>
      </c>
      <c r="AC145" s="4">
        <v>4.25</v>
      </c>
      <c r="AD145" s="4">
        <v>12.11</v>
      </c>
      <c r="AE145" s="4">
        <v>4.25</v>
      </c>
      <c r="AF145" s="4">
        <v>7.38</v>
      </c>
      <c r="AG145" s="4">
        <v>67.739999999999995</v>
      </c>
      <c r="AI145" s="132">
        <f t="shared" si="0"/>
        <v>3.629014886793356E-2</v>
      </c>
      <c r="AJ145" s="132">
        <f t="shared" si="1"/>
        <v>1.8413431621272319E-2</v>
      </c>
      <c r="AK145" s="132">
        <f t="shared" si="2"/>
        <v>5.8488104925566034E-3</v>
      </c>
      <c r="AL145" s="132">
        <f t="shared" si="3"/>
        <v>1.6665669427025992E-2</v>
      </c>
      <c r="AM145" s="132">
        <f t="shared" si="4"/>
        <v>5.8488104925566034E-3</v>
      </c>
      <c r="AN145" s="132">
        <f t="shared" si="5"/>
        <v>1.0156287396486524E-2</v>
      </c>
    </row>
    <row r="146" spans="24:40" ht="15.75" customHeight="1" x14ac:dyDescent="0.3">
      <c r="X146" s="4">
        <v>144</v>
      </c>
      <c r="Y146" s="131" t="s">
        <v>407</v>
      </c>
      <c r="Z146" s="4">
        <v>215</v>
      </c>
      <c r="AA146" s="4">
        <v>25.35</v>
      </c>
      <c r="AB146" s="4">
        <v>5.77</v>
      </c>
      <c r="AC146" s="4">
        <v>7</v>
      </c>
      <c r="AD146" s="4">
        <v>12.27</v>
      </c>
      <c r="AE146" s="4">
        <v>3.5</v>
      </c>
      <c r="AF146" s="4">
        <v>7</v>
      </c>
      <c r="AG146" s="4">
        <v>60.89</v>
      </c>
      <c r="AI146" s="132">
        <f t="shared" si="0"/>
        <v>3.2611232109520848E-2</v>
      </c>
      <c r="AJ146" s="132">
        <f t="shared" si="1"/>
        <v>7.4227538174333439E-3</v>
      </c>
      <c r="AK146" s="132">
        <f t="shared" si="2"/>
        <v>9.0050739552917525E-3</v>
      </c>
      <c r="AL146" s="132">
        <f t="shared" si="3"/>
        <v>1.5784608204489969E-2</v>
      </c>
      <c r="AM146" s="132">
        <f t="shared" si="4"/>
        <v>4.5025369776458763E-3</v>
      </c>
      <c r="AN146" s="132">
        <f t="shared" si="5"/>
        <v>9.0050739552917525E-3</v>
      </c>
    </row>
    <row r="147" spans="24:40" ht="15.75" customHeight="1" x14ac:dyDescent="0.3">
      <c r="X147" s="4">
        <v>145</v>
      </c>
      <c r="Y147" s="131" t="s">
        <v>328</v>
      </c>
      <c r="Z147" s="4">
        <v>165</v>
      </c>
      <c r="AA147" s="4">
        <v>20.22</v>
      </c>
      <c r="AB147" s="4">
        <v>11.76</v>
      </c>
      <c r="AC147" s="4">
        <v>7</v>
      </c>
      <c r="AD147" s="4">
        <v>12.63</v>
      </c>
      <c r="AE147" s="4">
        <v>3.5</v>
      </c>
      <c r="AF147" s="4">
        <v>7</v>
      </c>
      <c r="AG147" s="4">
        <v>62.11</v>
      </c>
      <c r="AI147" s="132">
        <f t="shared" si="0"/>
        <v>1.9962543679096261E-2</v>
      </c>
      <c r="AJ147" s="132">
        <f t="shared" si="1"/>
        <v>1.161026279259011E-2</v>
      </c>
      <c r="AK147" s="132">
        <f t="shared" si="2"/>
        <v>6.9108707098750662E-3</v>
      </c>
      <c r="AL147" s="132">
        <f t="shared" si="3"/>
        <v>1.2469185295103156E-2</v>
      </c>
      <c r="AM147" s="132">
        <f t="shared" si="4"/>
        <v>3.4554353549375331E-3</v>
      </c>
      <c r="AN147" s="132">
        <f t="shared" si="5"/>
        <v>6.9108707098750662E-3</v>
      </c>
    </row>
    <row r="148" spans="24:40" ht="15.75" customHeight="1" x14ac:dyDescent="0.3">
      <c r="X148" s="4">
        <v>146</v>
      </c>
      <c r="Y148" s="131" t="s">
        <v>321</v>
      </c>
      <c r="Z148" s="4">
        <v>629</v>
      </c>
      <c r="AA148" s="4">
        <v>19.66</v>
      </c>
      <c r="AB148" s="4">
        <v>7.1</v>
      </c>
      <c r="AC148" s="4">
        <v>5.75</v>
      </c>
      <c r="AD148" s="4">
        <v>10.050000000000001</v>
      </c>
      <c r="AE148" s="4">
        <v>4.03</v>
      </c>
      <c r="AF148" s="4">
        <v>7</v>
      </c>
      <c r="AG148" s="4">
        <v>53.59</v>
      </c>
      <c r="AI148" s="132">
        <f t="shared" si="0"/>
        <v>7.3992030060791719E-2</v>
      </c>
      <c r="AJ148" s="132">
        <f t="shared" si="1"/>
        <v>2.6721435067732516E-2</v>
      </c>
      <c r="AK148" s="132">
        <f t="shared" si="2"/>
        <v>2.1640598822459431E-2</v>
      </c>
      <c r="AL148" s="132">
        <f t="shared" si="3"/>
        <v>3.7824003159255187E-2</v>
      </c>
      <c r="AM148" s="132">
        <f t="shared" si="4"/>
        <v>1.5167237087741134E-2</v>
      </c>
      <c r="AN148" s="132">
        <f t="shared" si="5"/>
        <v>2.6345076827341919E-2</v>
      </c>
    </row>
    <row r="149" spans="24:40" ht="15.75" customHeight="1" x14ac:dyDescent="0.3">
      <c r="X149" s="4">
        <v>147</v>
      </c>
      <c r="Y149" s="131" t="s">
        <v>487</v>
      </c>
      <c r="Z149" s="4">
        <v>2340</v>
      </c>
      <c r="AA149" s="4">
        <v>33.08</v>
      </c>
      <c r="AB149" s="4">
        <v>11.7</v>
      </c>
      <c r="AC149" s="4">
        <v>4</v>
      </c>
      <c r="AD149" s="4">
        <v>7.3</v>
      </c>
      <c r="AE149" s="4">
        <v>3.58</v>
      </c>
      <c r="AF149" s="4">
        <v>5.8</v>
      </c>
      <c r="AG149" s="4">
        <v>65.459999999999994</v>
      </c>
      <c r="AI149" s="132">
        <f t="shared" si="0"/>
        <v>0.46316116988176725</v>
      </c>
      <c r="AJ149" s="132">
        <f t="shared" si="1"/>
        <v>0.16381456129433727</v>
      </c>
      <c r="AK149" s="132">
        <f t="shared" si="2"/>
        <v>5.6004978220286245E-2</v>
      </c>
      <c r="AL149" s="132">
        <f t="shared" si="3"/>
        <v>0.10220908525202241</v>
      </c>
      <c r="AM149" s="132">
        <f t="shared" si="4"/>
        <v>5.0124455507156197E-2</v>
      </c>
      <c r="AN149" s="132">
        <f t="shared" si="5"/>
        <v>8.1207218419415056E-2</v>
      </c>
    </row>
    <row r="150" spans="24:40" ht="15.75" customHeight="1" x14ac:dyDescent="0.3">
      <c r="X150" s="4">
        <v>148</v>
      </c>
      <c r="Y150" s="131" t="s">
        <v>413</v>
      </c>
      <c r="Z150" s="4">
        <v>789</v>
      </c>
      <c r="AA150" s="4">
        <v>25.65</v>
      </c>
      <c r="AB150" s="4">
        <v>7.99</v>
      </c>
      <c r="AC150" s="4">
        <v>6.93</v>
      </c>
      <c r="AD150" s="4">
        <v>10.79</v>
      </c>
      <c r="AE150" s="4">
        <v>4.0999999999999996</v>
      </c>
      <c r="AF150" s="4">
        <v>6.84</v>
      </c>
      <c r="AG150" s="4">
        <v>62.3</v>
      </c>
      <c r="AI150" s="132">
        <f t="shared" si="0"/>
        <v>0.12109191757216026</v>
      </c>
      <c r="AJ150" s="132">
        <f t="shared" si="1"/>
        <v>3.7720250347039401E-2</v>
      </c>
      <c r="AK150" s="132">
        <f t="shared" si="2"/>
        <v>3.271606194054856E-2</v>
      </c>
      <c r="AL150" s="132">
        <f t="shared" si="3"/>
        <v>5.0938861232109521E-2</v>
      </c>
      <c r="AM150" s="132">
        <f t="shared" si="4"/>
        <v>1.9355823081709824E-2</v>
      </c>
      <c r="AN150" s="132">
        <f t="shared" si="5"/>
        <v>3.2291178019242736E-2</v>
      </c>
    </row>
    <row r="151" spans="24:40" ht="15.75" customHeight="1" x14ac:dyDescent="0.3">
      <c r="X151" s="4">
        <v>149</v>
      </c>
      <c r="Y151" s="131" t="s">
        <v>300</v>
      </c>
      <c r="Z151" s="4">
        <v>209</v>
      </c>
      <c r="AA151" s="4">
        <v>15.05</v>
      </c>
      <c r="AB151" s="4">
        <v>11</v>
      </c>
      <c r="AC151" s="4">
        <v>7</v>
      </c>
      <c r="AD151" s="4">
        <v>12.63</v>
      </c>
      <c r="AE151" s="4">
        <v>3.5</v>
      </c>
      <c r="AF151" s="4">
        <v>3</v>
      </c>
      <c r="AG151" s="4">
        <v>52.18</v>
      </c>
      <c r="AI151" s="132">
        <f t="shared" si="0"/>
        <v>1.8820604566559766E-2</v>
      </c>
      <c r="AJ151" s="132">
        <f t="shared" si="1"/>
        <v>1.3755923603465607E-2</v>
      </c>
      <c r="AK151" s="132">
        <f t="shared" si="2"/>
        <v>8.75376956584175E-3</v>
      </c>
      <c r="AL151" s="132">
        <f t="shared" si="3"/>
        <v>1.579430137379733E-2</v>
      </c>
      <c r="AM151" s="132">
        <f t="shared" si="4"/>
        <v>4.376884782920875E-3</v>
      </c>
      <c r="AN151" s="132">
        <f t="shared" si="5"/>
        <v>3.7516155282178928E-3</v>
      </c>
    </row>
    <row r="152" spans="24:40" ht="15.75" customHeight="1" x14ac:dyDescent="0.3">
      <c r="X152" s="4">
        <v>150</v>
      </c>
      <c r="Y152" s="131" t="s">
        <v>295</v>
      </c>
      <c r="Z152" s="4">
        <v>13</v>
      </c>
      <c r="AA152" s="4">
        <v>13.9</v>
      </c>
      <c r="AB152" s="4">
        <v>14.25</v>
      </c>
      <c r="AC152" s="4">
        <v>7.08</v>
      </c>
      <c r="AD152" s="4">
        <v>12.63</v>
      </c>
      <c r="AE152" s="4">
        <v>3.5</v>
      </c>
      <c r="AF152" s="4">
        <v>7</v>
      </c>
      <c r="AG152" s="4">
        <v>58.36</v>
      </c>
      <c r="AI152" s="132">
        <f t="shared" si="0"/>
        <v>1.0812072184194152E-3</v>
      </c>
      <c r="AJ152" s="132">
        <f t="shared" si="1"/>
        <v>1.1084318606098319E-3</v>
      </c>
      <c r="AK152" s="132">
        <f t="shared" si="2"/>
        <v>5.5071561916614816E-4</v>
      </c>
      <c r="AL152" s="132">
        <f t="shared" si="3"/>
        <v>9.8242065961418783E-4</v>
      </c>
      <c r="AM152" s="132">
        <f t="shared" si="4"/>
        <v>2.7224642190416928E-4</v>
      </c>
      <c r="AN152" s="132">
        <f t="shared" si="5"/>
        <v>5.4449284380833857E-4</v>
      </c>
    </row>
    <row r="153" spans="24:40" ht="15.75" customHeight="1" x14ac:dyDescent="0.3">
      <c r="X153" s="4">
        <v>151</v>
      </c>
      <c r="Y153" s="131" t="s">
        <v>449</v>
      </c>
      <c r="Z153" s="4">
        <v>20</v>
      </c>
      <c r="AA153" s="4">
        <v>28</v>
      </c>
      <c r="AB153" s="4">
        <v>10</v>
      </c>
      <c r="AC153" s="4">
        <v>4</v>
      </c>
      <c r="AD153" s="4">
        <v>7.5</v>
      </c>
      <c r="AE153" s="4">
        <v>2.5</v>
      </c>
      <c r="AF153" s="4">
        <v>5</v>
      </c>
      <c r="AG153" s="4">
        <v>57</v>
      </c>
      <c r="AI153" s="132">
        <f t="shared" si="0"/>
        <v>3.3507251926666987E-3</v>
      </c>
      <c r="AJ153" s="132">
        <f t="shared" si="1"/>
        <v>1.1966875688095352E-3</v>
      </c>
      <c r="AK153" s="132">
        <f t="shared" si="2"/>
        <v>4.7867502752381409E-4</v>
      </c>
      <c r="AL153" s="132">
        <f t="shared" si="3"/>
        <v>8.9751567660715137E-4</v>
      </c>
      <c r="AM153" s="132">
        <f t="shared" si="4"/>
        <v>2.9917189220238379E-4</v>
      </c>
      <c r="AN153" s="132">
        <f t="shared" si="5"/>
        <v>5.9834378440476758E-4</v>
      </c>
    </row>
    <row r="154" spans="24:40" ht="15.75" customHeight="1" x14ac:dyDescent="0.3">
      <c r="X154" s="4">
        <v>152</v>
      </c>
      <c r="Y154" s="131" t="s">
        <v>398</v>
      </c>
      <c r="Z154" s="4">
        <v>54</v>
      </c>
      <c r="AA154" s="4">
        <v>24.64</v>
      </c>
      <c r="AB154" s="4">
        <v>13.4</v>
      </c>
      <c r="AC154" s="4">
        <v>4.28</v>
      </c>
      <c r="AD154" s="4">
        <v>10.3</v>
      </c>
      <c r="AE154" s="4">
        <v>4.25</v>
      </c>
      <c r="AF154" s="4">
        <v>7</v>
      </c>
      <c r="AG154" s="4">
        <v>63.870000000000005</v>
      </c>
      <c r="AI154" s="132">
        <f t="shared" si="0"/>
        <v>7.9613230577760749E-3</v>
      </c>
      <c r="AJ154" s="132">
        <f t="shared" si="1"/>
        <v>4.3296156239528982E-3</v>
      </c>
      <c r="AK154" s="132">
        <f t="shared" si="2"/>
        <v>1.382892154516299E-3</v>
      </c>
      <c r="AL154" s="132">
        <f t="shared" si="3"/>
        <v>3.3279881288593178E-3</v>
      </c>
      <c r="AM154" s="132">
        <f t="shared" si="4"/>
        <v>1.3731989852089417E-3</v>
      </c>
      <c r="AN154" s="132">
        <f t="shared" si="5"/>
        <v>2.2617395050500214E-3</v>
      </c>
    </row>
    <row r="155" spans="24:40" ht="15.75" customHeight="1" x14ac:dyDescent="0.3">
      <c r="X155" s="4">
        <v>153</v>
      </c>
      <c r="Y155" s="131" t="s">
        <v>332</v>
      </c>
      <c r="Z155" s="4">
        <v>2143</v>
      </c>
      <c r="AA155" s="4">
        <v>20.46</v>
      </c>
      <c r="AB155" s="4">
        <v>7.39</v>
      </c>
      <c r="AC155" s="4">
        <v>7</v>
      </c>
      <c r="AD155" s="4">
        <v>11.27</v>
      </c>
      <c r="AE155" s="4">
        <v>3.5</v>
      </c>
      <c r="AF155" s="4">
        <v>7.54</v>
      </c>
      <c r="AG155" s="4">
        <v>57.160000000000004</v>
      </c>
      <c r="AI155" s="132">
        <f t="shared" si="0"/>
        <v>0.26234849935378873</v>
      </c>
      <c r="AJ155" s="132">
        <f t="shared" si="1"/>
        <v>9.4758328945478906E-2</v>
      </c>
      <c r="AK155" s="132">
        <f t="shared" si="2"/>
        <v>8.9757551098559193E-2</v>
      </c>
      <c r="AL155" s="132">
        <f t="shared" si="3"/>
        <v>0.14450965726868029</v>
      </c>
      <c r="AM155" s="132">
        <f t="shared" si="4"/>
        <v>4.4878775549279597E-2</v>
      </c>
      <c r="AN155" s="132">
        <f t="shared" si="5"/>
        <v>9.668170504044804E-2</v>
      </c>
    </row>
    <row r="156" spans="24:40" ht="15.75" customHeight="1" x14ac:dyDescent="0.3">
      <c r="X156" s="4">
        <v>154</v>
      </c>
      <c r="Y156" s="131" t="s">
        <v>489</v>
      </c>
      <c r="Z156" s="4">
        <v>2721</v>
      </c>
      <c r="AA156" s="4">
        <v>32.25</v>
      </c>
      <c r="AB156" s="4">
        <v>13.42</v>
      </c>
      <c r="AC156" s="4">
        <v>7.6</v>
      </c>
      <c r="AD156" s="4">
        <v>11.57</v>
      </c>
      <c r="AE156" s="4">
        <v>3.95</v>
      </c>
      <c r="AF156" s="4">
        <v>6.8</v>
      </c>
      <c r="AG156" s="4">
        <v>75.59</v>
      </c>
      <c r="AI156" s="132">
        <f t="shared" si="0"/>
        <v>0.52506013355033265</v>
      </c>
      <c r="AJ156" s="132">
        <f t="shared" si="1"/>
        <v>0.21849013929443301</v>
      </c>
      <c r="AK156" s="132">
        <f t="shared" si="2"/>
        <v>0.12373510123976832</v>
      </c>
      <c r="AL156" s="132">
        <f t="shared" si="3"/>
        <v>0.18837041070317362</v>
      </c>
      <c r="AM156" s="132">
        <f t="shared" si="4"/>
        <v>6.4309690775932224E-2</v>
      </c>
      <c r="AN156" s="132">
        <f t="shared" si="5"/>
        <v>0.11071035374084534</v>
      </c>
    </row>
    <row r="157" spans="24:40" ht="15.75" customHeight="1" x14ac:dyDescent="0.3">
      <c r="X157" s="4">
        <v>155</v>
      </c>
      <c r="Y157" s="131" t="s">
        <v>378</v>
      </c>
      <c r="Z157" s="4">
        <v>1146</v>
      </c>
      <c r="AA157" s="4">
        <v>23.24</v>
      </c>
      <c r="AB157" s="4">
        <v>13.67</v>
      </c>
      <c r="AC157" s="4">
        <v>7</v>
      </c>
      <c r="AD157" s="4">
        <v>10.5</v>
      </c>
      <c r="AE157" s="4">
        <v>3.5</v>
      </c>
      <c r="AF157" s="4">
        <v>7</v>
      </c>
      <c r="AG157" s="4">
        <v>64.91</v>
      </c>
      <c r="AI157" s="132">
        <f t="shared" si="0"/>
        <v>0.15935713943803551</v>
      </c>
      <c r="AJ157" s="132">
        <f t="shared" si="1"/>
        <v>9.373546024603896E-2</v>
      </c>
      <c r="AK157" s="132">
        <f t="shared" si="2"/>
        <v>4.7999138384950457E-2</v>
      </c>
      <c r="AL157" s="132">
        <f t="shared" si="3"/>
        <v>7.1998707577425686E-2</v>
      </c>
      <c r="AM157" s="132">
        <f t="shared" si="4"/>
        <v>2.3999569192475229E-2</v>
      </c>
      <c r="AN157" s="132">
        <f t="shared" si="5"/>
        <v>4.7999138384950457E-2</v>
      </c>
    </row>
    <row r="158" spans="24:40" ht="15.75" customHeight="1" x14ac:dyDescent="0.3">
      <c r="X158" s="4">
        <v>156</v>
      </c>
      <c r="Y158" s="131" t="s">
        <v>482</v>
      </c>
      <c r="Z158" s="4">
        <v>1151</v>
      </c>
      <c r="AA158" s="4">
        <v>31.51</v>
      </c>
      <c r="AB158" s="4">
        <v>9.35</v>
      </c>
      <c r="AC158" s="4">
        <v>8.4499999999999993</v>
      </c>
      <c r="AD158" s="4">
        <v>13.21</v>
      </c>
      <c r="AE158" s="4">
        <v>4.75</v>
      </c>
      <c r="AF158" s="4">
        <v>8.5</v>
      </c>
      <c r="AG158" s="4">
        <v>75.77000000000001</v>
      </c>
      <c r="AI158" s="132">
        <f t="shared" si="0"/>
        <v>0.21700738356229957</v>
      </c>
      <c r="AJ158" s="132">
        <f t="shared" si="1"/>
        <v>6.4392860561964485E-2</v>
      </c>
      <c r="AK158" s="132">
        <f t="shared" si="2"/>
        <v>5.8194617299315486E-2</v>
      </c>
      <c r="AL158" s="132">
        <f t="shared" si="3"/>
        <v>9.0976437221770151E-2</v>
      </c>
      <c r="AM158" s="132">
        <f t="shared" si="4"/>
        <v>3.2712950552869657E-2</v>
      </c>
      <c r="AN158" s="132">
        <f t="shared" si="5"/>
        <v>5.8538964147240441E-2</v>
      </c>
    </row>
    <row r="159" spans="24:40" ht="15.75" customHeight="1" x14ac:dyDescent="0.3">
      <c r="X159" s="4">
        <v>157</v>
      </c>
      <c r="Y159" s="131" t="s">
        <v>492</v>
      </c>
      <c r="Z159" s="4">
        <v>319</v>
      </c>
      <c r="AA159" s="4">
        <v>32.479999999999997</v>
      </c>
      <c r="AB159" s="4">
        <v>13.4</v>
      </c>
      <c r="AC159" s="4">
        <v>5.0599999999999996</v>
      </c>
      <c r="AD159" s="4">
        <v>10.71</v>
      </c>
      <c r="AE159" s="4">
        <v>3.5</v>
      </c>
      <c r="AF159" s="4">
        <v>7.95</v>
      </c>
      <c r="AG159" s="4">
        <v>73.100000000000009</v>
      </c>
      <c r="AI159" s="132">
        <f t="shared" si="0"/>
        <v>6.1995117514719249E-2</v>
      </c>
      <c r="AJ159" s="132">
        <f t="shared" si="1"/>
        <v>2.5576803408166197E-2</v>
      </c>
      <c r="AK159" s="132">
        <f t="shared" si="2"/>
        <v>9.6581063615911143E-3</v>
      </c>
      <c r="AL159" s="132">
        <f t="shared" si="3"/>
        <v>2.0442355559810447E-2</v>
      </c>
      <c r="AM159" s="132">
        <f t="shared" si="4"/>
        <v>6.6805083528792301E-3</v>
      </c>
      <c r="AN159" s="132">
        <f t="shared" si="5"/>
        <v>1.5174297544397111E-2</v>
      </c>
    </row>
    <row r="160" spans="24:40" ht="15.75" customHeight="1" x14ac:dyDescent="0.3">
      <c r="X160" s="4">
        <v>158</v>
      </c>
      <c r="Y160" s="131" t="s">
        <v>419</v>
      </c>
      <c r="Z160" s="4">
        <v>309</v>
      </c>
      <c r="AA160" s="4">
        <v>26.08</v>
      </c>
      <c r="AB160" s="4">
        <v>14.97</v>
      </c>
      <c r="AC160" s="4">
        <v>6.31</v>
      </c>
      <c r="AD160" s="4">
        <v>13.15</v>
      </c>
      <c r="AE160" s="4">
        <v>4.25</v>
      </c>
      <c r="AF160" s="4">
        <v>7.46</v>
      </c>
      <c r="AG160" s="4">
        <v>72.219999999999985</v>
      </c>
      <c r="AI160" s="132">
        <f t="shared" si="0"/>
        <v>4.8218850222583882E-2</v>
      </c>
      <c r="AJ160" s="132">
        <f t="shared" si="1"/>
        <v>2.767776793834666E-2</v>
      </c>
      <c r="AK160" s="132">
        <f t="shared" si="2"/>
        <v>1.1666447273945718E-2</v>
      </c>
      <c r="AL160" s="132">
        <f t="shared" si="3"/>
        <v>2.4312802163611123E-2</v>
      </c>
      <c r="AM160" s="132">
        <f t="shared" si="4"/>
        <v>7.8577497486956114E-3</v>
      </c>
      <c r="AN160" s="132">
        <f t="shared" si="5"/>
        <v>1.3792661911828059E-2</v>
      </c>
    </row>
    <row r="161" spans="24:40" ht="15.75" customHeight="1" x14ac:dyDescent="0.3">
      <c r="X161" s="4">
        <v>159</v>
      </c>
      <c r="Y161" s="131" t="s">
        <v>313</v>
      </c>
      <c r="Z161" s="4">
        <v>350</v>
      </c>
      <c r="AA161" s="4">
        <v>19.32</v>
      </c>
      <c r="AB161" s="4">
        <v>4.95</v>
      </c>
      <c r="AC161" s="4">
        <v>7.66</v>
      </c>
      <c r="AD161" s="4">
        <v>12.75</v>
      </c>
      <c r="AE161" s="4">
        <v>4.25</v>
      </c>
      <c r="AF161" s="4">
        <v>8.41</v>
      </c>
      <c r="AG161" s="4">
        <v>57.34</v>
      </c>
      <c r="AI161" s="132">
        <f t="shared" si="0"/>
        <v>4.0460006701450384E-2</v>
      </c>
      <c r="AJ161" s="132">
        <f t="shared" si="1"/>
        <v>1.0366306064812598E-2</v>
      </c>
      <c r="AK161" s="132">
        <f t="shared" si="2"/>
        <v>1.6041596859891819E-2</v>
      </c>
      <c r="AL161" s="132">
        <f t="shared" si="3"/>
        <v>2.6701091379062753E-2</v>
      </c>
      <c r="AM161" s="132">
        <f t="shared" si="4"/>
        <v>8.9003637930209177E-3</v>
      </c>
      <c r="AN161" s="132">
        <f t="shared" si="5"/>
        <v>1.7612249293954333E-2</v>
      </c>
    </row>
    <row r="162" spans="24:40" ht="15.75" customHeight="1" x14ac:dyDescent="0.3">
      <c r="X162" s="4">
        <v>160</v>
      </c>
      <c r="Y162" s="131" t="s">
        <v>404</v>
      </c>
      <c r="Z162" s="4">
        <v>63</v>
      </c>
      <c r="AA162" s="4">
        <v>24.78</v>
      </c>
      <c r="AB162" s="4">
        <v>14.94</v>
      </c>
      <c r="AC162" s="4">
        <v>8.6999999999999993</v>
      </c>
      <c r="AD162" s="4">
        <v>12.75</v>
      </c>
      <c r="AE162" s="4">
        <v>4.75</v>
      </c>
      <c r="AF162" s="4">
        <v>7.7</v>
      </c>
      <c r="AG162" s="4">
        <v>73.62</v>
      </c>
      <c r="AI162" s="132">
        <f t="shared" si="0"/>
        <v>9.3409841558565899E-3</v>
      </c>
      <c r="AJ162" s="132">
        <f t="shared" si="1"/>
        <v>5.6317313675745533E-3</v>
      </c>
      <c r="AK162" s="132">
        <f t="shared" si="2"/>
        <v>3.2795222823225308E-3</v>
      </c>
      <c r="AL162" s="132">
        <f t="shared" si="3"/>
        <v>4.8061964482312954E-3</v>
      </c>
      <c r="AM162" s="132">
        <f t="shared" si="4"/>
        <v>1.790543774831267E-3</v>
      </c>
      <c r="AN162" s="132">
        <f t="shared" si="5"/>
        <v>2.9025656981475278E-3</v>
      </c>
    </row>
    <row r="163" spans="24:40" ht="15.75" customHeight="1" x14ac:dyDescent="0.3">
      <c r="X163" s="4">
        <v>161</v>
      </c>
      <c r="Y163" s="131" t="s">
        <v>494</v>
      </c>
      <c r="Z163" s="4">
        <v>777</v>
      </c>
      <c r="AA163" s="4">
        <v>32.61</v>
      </c>
      <c r="AB163" s="4">
        <v>11.01</v>
      </c>
      <c r="AC163" s="4">
        <v>6</v>
      </c>
      <c r="AD163" s="4">
        <v>12.12</v>
      </c>
      <c r="AE163" s="4">
        <v>3.4</v>
      </c>
      <c r="AF163" s="4">
        <v>6.35</v>
      </c>
      <c r="AG163" s="4">
        <v>71.489999999999995</v>
      </c>
      <c r="AI163" s="132">
        <f t="shared" si="0"/>
        <v>0.1516081685893447</v>
      </c>
      <c r="AJ163" s="132">
        <f t="shared" si="1"/>
        <v>5.1186934565123743E-2</v>
      </c>
      <c r="AK163" s="132">
        <f t="shared" si="2"/>
        <v>2.7894787228950266E-2</v>
      </c>
      <c r="AL163" s="132">
        <f t="shared" si="3"/>
        <v>5.6347470202479537E-2</v>
      </c>
      <c r="AM163" s="132">
        <f t="shared" si="4"/>
        <v>1.5807046096405149E-2</v>
      </c>
      <c r="AN163" s="132">
        <f t="shared" si="5"/>
        <v>2.9521983150639031E-2</v>
      </c>
    </row>
    <row r="164" spans="24:40" ht="15.75" customHeight="1" x14ac:dyDescent="0.3">
      <c r="X164" s="4">
        <v>162</v>
      </c>
      <c r="Y164" s="131" t="s">
        <v>488</v>
      </c>
      <c r="Z164" s="4">
        <v>80</v>
      </c>
      <c r="AA164" s="4">
        <v>32</v>
      </c>
      <c r="AB164" s="4">
        <v>5.29</v>
      </c>
      <c r="AC164" s="4">
        <v>3.8</v>
      </c>
      <c r="AD164" s="4">
        <v>12.75</v>
      </c>
      <c r="AE164" s="4">
        <v>4.25</v>
      </c>
      <c r="AF164" s="4">
        <v>6.7</v>
      </c>
      <c r="AG164" s="4">
        <v>64.789999999999992</v>
      </c>
      <c r="AI164" s="132">
        <f t="shared" si="0"/>
        <v>1.5317600880762051E-2</v>
      </c>
      <c r="AJ164" s="132">
        <f t="shared" si="1"/>
        <v>2.5321908956009763E-3</v>
      </c>
      <c r="AK164" s="132">
        <f t="shared" si="2"/>
        <v>1.8189651045904935E-3</v>
      </c>
      <c r="AL164" s="132">
        <f t="shared" si="3"/>
        <v>6.1031066009286294E-3</v>
      </c>
      <c r="AM164" s="132">
        <f t="shared" si="4"/>
        <v>2.0343688669762099E-3</v>
      </c>
      <c r="AN164" s="132">
        <f t="shared" si="5"/>
        <v>3.2071226844095544E-3</v>
      </c>
    </row>
    <row r="165" spans="24:40" ht="15.75" customHeight="1" x14ac:dyDescent="0.3">
      <c r="X165" s="4">
        <v>163</v>
      </c>
      <c r="Y165" s="131" t="s">
        <v>425</v>
      </c>
      <c r="Z165" s="4">
        <v>190</v>
      </c>
      <c r="AA165" s="4">
        <v>26.75</v>
      </c>
      <c r="AB165" s="4">
        <v>14.63</v>
      </c>
      <c r="AC165" s="4">
        <v>4.3</v>
      </c>
      <c r="AD165" s="4">
        <v>9.3000000000000007</v>
      </c>
      <c r="AE165" s="4">
        <v>3.5</v>
      </c>
      <c r="AF165" s="4">
        <v>3</v>
      </c>
      <c r="AG165" s="4">
        <v>61.480000000000004</v>
      </c>
      <c r="AI165" s="132">
        <f t="shared" si="0"/>
        <v>3.0410822842372315E-2</v>
      </c>
      <c r="AJ165" s="132">
        <f t="shared" si="1"/>
        <v>1.6632162175099326E-2</v>
      </c>
      <c r="AK165" s="132">
        <f t="shared" si="2"/>
        <v>4.8884687185869512E-3</v>
      </c>
      <c r="AL165" s="132">
        <f t="shared" si="3"/>
        <v>1.0572734670432245E-2</v>
      </c>
      <c r="AM165" s="132">
        <f t="shared" si="4"/>
        <v>3.9789861662917047E-3</v>
      </c>
      <c r="AN165" s="132">
        <f t="shared" si="5"/>
        <v>3.4105595711071755E-3</v>
      </c>
    </row>
    <row r="166" spans="24:40" ht="15.75" customHeight="1" x14ac:dyDescent="0.3">
      <c r="X166" s="4">
        <v>164</v>
      </c>
      <c r="Y166" s="4" t="s">
        <v>281</v>
      </c>
      <c r="Z166" s="4">
        <v>151</v>
      </c>
      <c r="AA166" s="4">
        <v>12.05</v>
      </c>
      <c r="AB166" s="4">
        <v>13.64</v>
      </c>
      <c r="AC166" s="4">
        <v>7</v>
      </c>
      <c r="AD166" s="4">
        <v>10.5</v>
      </c>
      <c r="AE166" s="4">
        <v>3.5</v>
      </c>
      <c r="AF166" s="4">
        <v>3</v>
      </c>
      <c r="AG166" s="4">
        <v>49.69</v>
      </c>
      <c r="AI166" s="132">
        <f t="shared" si="0"/>
        <v>1.088716432913695E-2</v>
      </c>
      <c r="AJ166" s="132">
        <f t="shared" si="1"/>
        <v>1.2323727921114355E-2</v>
      </c>
      <c r="AK166" s="132">
        <f t="shared" si="2"/>
        <v>6.3244938011583936E-3</v>
      </c>
      <c r="AL166" s="132">
        <f t="shared" si="3"/>
        <v>9.4867407017375904E-3</v>
      </c>
      <c r="AM166" s="132">
        <f t="shared" si="4"/>
        <v>3.1622469005791968E-3</v>
      </c>
      <c r="AN166" s="132">
        <f t="shared" si="5"/>
        <v>2.7104973433535974E-3</v>
      </c>
    </row>
    <row r="167" spans="24:40" ht="15.75" customHeight="1" x14ac:dyDescent="0.3">
      <c r="X167" s="4">
        <v>165</v>
      </c>
      <c r="Y167" s="4" t="s">
        <v>302</v>
      </c>
      <c r="Z167" s="4">
        <v>62</v>
      </c>
      <c r="AA167" s="4">
        <v>15.95</v>
      </c>
      <c r="AB167" s="4">
        <v>12.99</v>
      </c>
      <c r="AC167" s="4">
        <v>7.41</v>
      </c>
      <c r="AD167" s="4">
        <v>12.75</v>
      </c>
      <c r="AE167" s="4">
        <v>3.95</v>
      </c>
      <c r="AF167" s="4">
        <v>3</v>
      </c>
      <c r="AG167" s="4">
        <v>56.05</v>
      </c>
      <c r="AI167" s="132">
        <f t="shared" si="0"/>
        <v>5.9170216839787466E-3</v>
      </c>
      <c r="AJ167" s="132">
        <f t="shared" si="1"/>
        <v>4.8189411708391174E-3</v>
      </c>
      <c r="AK167" s="132">
        <f t="shared" si="2"/>
        <v>2.7489110143123835E-3</v>
      </c>
      <c r="AL167" s="132">
        <f t="shared" si="3"/>
        <v>4.7299076157196881E-3</v>
      </c>
      <c r="AM167" s="132">
        <f t="shared" si="4"/>
        <v>1.4653439280072759E-3</v>
      </c>
      <c r="AN167" s="132">
        <f t="shared" si="5"/>
        <v>1.1129194389928676E-3</v>
      </c>
    </row>
    <row r="168" spans="24:40" ht="15.75" customHeight="1" x14ac:dyDescent="0.3">
      <c r="X168" s="4">
        <v>166</v>
      </c>
      <c r="Y168" s="4" t="s">
        <v>462</v>
      </c>
      <c r="Z168" s="4">
        <v>696</v>
      </c>
      <c r="AA168" s="4">
        <v>29.64</v>
      </c>
      <c r="AB168" s="4">
        <v>14.5</v>
      </c>
      <c r="AC168" s="4">
        <v>7.41</v>
      </c>
      <c r="AD168" s="4">
        <v>4.5</v>
      </c>
      <c r="AE168" s="4">
        <v>1.5</v>
      </c>
      <c r="AF168" s="4">
        <v>8.5</v>
      </c>
      <c r="AG168" s="4">
        <v>66.05</v>
      </c>
      <c r="AI168" s="132">
        <f t="shared" si="0"/>
        <v>0.12343497199751088</v>
      </c>
      <c r="AJ168" s="132">
        <f t="shared" si="1"/>
        <v>6.038485472212915E-2</v>
      </c>
      <c r="AK168" s="132">
        <f t="shared" si="2"/>
        <v>3.0858742999377721E-2</v>
      </c>
      <c r="AL168" s="132">
        <f t="shared" si="3"/>
        <v>1.874012732755732E-2</v>
      </c>
      <c r="AM168" s="132">
        <f t="shared" si="4"/>
        <v>6.2467091091857737E-3</v>
      </c>
      <c r="AN168" s="132">
        <f t="shared" si="5"/>
        <v>3.5398018285386051E-2</v>
      </c>
    </row>
    <row r="169" spans="24:40" ht="15.75" customHeight="1" x14ac:dyDescent="0.3">
      <c r="X169" s="4">
        <v>167</v>
      </c>
      <c r="Y169" s="4" t="s">
        <v>446</v>
      </c>
      <c r="Z169" s="4">
        <v>598</v>
      </c>
      <c r="AA169" s="4">
        <v>27.75</v>
      </c>
      <c r="AB169" s="4">
        <v>14.38</v>
      </c>
      <c r="AC169" s="4">
        <v>7.41</v>
      </c>
      <c r="AD169" s="4">
        <v>12.75</v>
      </c>
      <c r="AE169" s="4">
        <v>4.25</v>
      </c>
      <c r="AF169" s="4">
        <v>8.5</v>
      </c>
      <c r="AG169" s="4">
        <v>75.040000000000006</v>
      </c>
      <c r="AI169" s="132">
        <f t="shared" si="0"/>
        <v>9.929215930304916E-2</v>
      </c>
      <c r="AJ169" s="132">
        <f t="shared" si="1"/>
        <v>5.1453018046048536E-2</v>
      </c>
      <c r="AK169" s="132">
        <f t="shared" si="2"/>
        <v>2.6513690105787184E-2</v>
      </c>
      <c r="AL169" s="132">
        <f t="shared" si="3"/>
        <v>4.5620721841941506E-2</v>
      </c>
      <c r="AM169" s="132">
        <f t="shared" si="4"/>
        <v>1.5206907280647169E-2</v>
      </c>
      <c r="AN169" s="132">
        <f t="shared" si="5"/>
        <v>3.0413814561294338E-2</v>
      </c>
    </row>
    <row r="170" spans="24:40" ht="15.75" customHeight="1" x14ac:dyDescent="0.3">
      <c r="X170" s="4">
        <v>168</v>
      </c>
      <c r="Y170" s="4" t="s">
        <v>475</v>
      </c>
      <c r="Z170" s="4">
        <v>445</v>
      </c>
      <c r="AA170" s="4">
        <v>30.65</v>
      </c>
      <c r="AB170" s="4">
        <v>14.63</v>
      </c>
      <c r="AC170" s="4">
        <v>7.41</v>
      </c>
      <c r="AD170" s="4">
        <v>12.45</v>
      </c>
      <c r="AE170" s="4">
        <v>3.5</v>
      </c>
      <c r="AF170" s="4">
        <v>8.5</v>
      </c>
      <c r="AG170" s="4">
        <v>77.14</v>
      </c>
      <c r="AI170" s="132">
        <f t="shared" si="0"/>
        <v>8.1609604614427261E-2</v>
      </c>
      <c r="AJ170" s="132">
        <f t="shared" si="1"/>
        <v>3.8954274567995793E-2</v>
      </c>
      <c r="AK170" s="132">
        <f t="shared" si="2"/>
        <v>1.9730087118855009E-2</v>
      </c>
      <c r="AL170" s="132">
        <f t="shared" si="3"/>
        <v>3.3149741515485137E-2</v>
      </c>
      <c r="AM170" s="132">
        <f t="shared" si="4"/>
        <v>9.3192044421042553E-3</v>
      </c>
      <c r="AN170" s="132">
        <f t="shared" si="5"/>
        <v>2.2632353645110334E-2</v>
      </c>
    </row>
    <row r="171" spans="24:40" ht="15.75" customHeight="1" x14ac:dyDescent="0.3">
      <c r="X171" s="4">
        <v>169</v>
      </c>
      <c r="Y171" s="4" t="s">
        <v>459</v>
      </c>
      <c r="Z171" s="4">
        <v>64</v>
      </c>
      <c r="AA171" s="4">
        <v>28.94</v>
      </c>
      <c r="AB171" s="4">
        <v>14.1</v>
      </c>
      <c r="AC171" s="4">
        <v>4.0999999999999996</v>
      </c>
      <c r="AD171" s="4">
        <v>4.5</v>
      </c>
      <c r="AE171" s="4">
        <v>2.7</v>
      </c>
      <c r="AF171" s="4">
        <v>3</v>
      </c>
      <c r="AG171" s="4">
        <v>57.34</v>
      </c>
      <c r="AI171" s="132">
        <f t="shared" si="0"/>
        <v>1.1082284237231343E-2</v>
      </c>
      <c r="AJ171" s="132">
        <f t="shared" si="1"/>
        <v>5.3994543104686227E-3</v>
      </c>
      <c r="AK171" s="132">
        <f t="shared" si="2"/>
        <v>1.5700540902781101E-3</v>
      </c>
      <c r="AL171" s="132">
        <f t="shared" si="3"/>
        <v>1.7232300990857308E-3</v>
      </c>
      <c r="AM171" s="132">
        <f t="shared" si="4"/>
        <v>1.0339380594514384E-3</v>
      </c>
      <c r="AN171" s="132">
        <f t="shared" si="5"/>
        <v>1.1488200660571537E-3</v>
      </c>
    </row>
    <row r="172" spans="24:40" ht="15.75" customHeight="1" x14ac:dyDescent="0.3">
      <c r="X172" s="4">
        <v>170</v>
      </c>
      <c r="Y172" s="4" t="s">
        <v>365</v>
      </c>
      <c r="Z172" s="4">
        <v>695</v>
      </c>
      <c r="AA172" s="4">
        <v>22.73</v>
      </c>
      <c r="AB172" s="4">
        <v>14.96</v>
      </c>
      <c r="AC172" s="4">
        <v>6.88</v>
      </c>
      <c r="AD172" s="4">
        <v>9.68</v>
      </c>
      <c r="AE172" s="4">
        <v>2.9</v>
      </c>
      <c r="AF172" s="4">
        <v>6.1</v>
      </c>
      <c r="AG172" s="4">
        <v>63.25</v>
      </c>
      <c r="AI172" s="132">
        <f t="shared" si="0"/>
        <v>9.4522461825666551E-2</v>
      </c>
      <c r="AJ172" s="132">
        <f t="shared" si="1"/>
        <v>6.2210999952132501E-2</v>
      </c>
      <c r="AK172" s="132">
        <f t="shared" si="2"/>
        <v>2.8610406395098369E-2</v>
      </c>
      <c r="AL172" s="132">
        <f t="shared" si="3"/>
        <v>4.0254176439615139E-2</v>
      </c>
      <c r="AM172" s="132">
        <f t="shared" si="4"/>
        <v>1.2059618974678091E-2</v>
      </c>
      <c r="AN172" s="132">
        <f t="shared" si="5"/>
        <v>2.5366784739840123E-2</v>
      </c>
    </row>
    <row r="173" spans="24:40" ht="15.75" customHeight="1" x14ac:dyDescent="0.3">
      <c r="X173" s="4">
        <v>171</v>
      </c>
      <c r="Y173" s="4" t="s">
        <v>386</v>
      </c>
      <c r="Z173" s="4">
        <v>463</v>
      </c>
      <c r="AA173" s="4">
        <v>23.63</v>
      </c>
      <c r="AB173" s="4">
        <v>5.15</v>
      </c>
      <c r="AC173" s="4">
        <v>5.36</v>
      </c>
      <c r="AD173" s="4">
        <v>8.5299999999999994</v>
      </c>
      <c r="AE173" s="4">
        <v>3.35</v>
      </c>
      <c r="AF173" s="4">
        <v>7.9</v>
      </c>
      <c r="AG173" s="4">
        <v>53.92</v>
      </c>
      <c r="AI173" s="132">
        <f t="shared" si="0"/>
        <v>6.546293858599396E-2</v>
      </c>
      <c r="AJ173" s="132">
        <f t="shared" si="1"/>
        <v>1.4267208367239484E-2</v>
      </c>
      <c r="AK173" s="132">
        <f t="shared" si="2"/>
        <v>1.4848978028816238E-2</v>
      </c>
      <c r="AL173" s="132">
        <f t="shared" si="3"/>
        <v>2.3630929586903451E-2</v>
      </c>
      <c r="AM173" s="132">
        <f t="shared" si="4"/>
        <v>9.2806112680101482E-3</v>
      </c>
      <c r="AN173" s="132">
        <f t="shared" si="5"/>
        <v>2.1885620602173188E-2</v>
      </c>
    </row>
    <row r="174" spans="24:40" ht="15.75" customHeight="1" x14ac:dyDescent="0.3">
      <c r="X174" s="4">
        <v>172</v>
      </c>
      <c r="Y174" s="4" t="s">
        <v>478</v>
      </c>
      <c r="Z174" s="4">
        <v>296</v>
      </c>
      <c r="AA174" s="4">
        <v>30.77</v>
      </c>
      <c r="AB174" s="4">
        <v>7.71</v>
      </c>
      <c r="AC174" s="4">
        <v>4.33</v>
      </c>
      <c r="AD174" s="4">
        <v>8.84</v>
      </c>
      <c r="AE174" s="4">
        <v>3.93</v>
      </c>
      <c r="AF174" s="4">
        <v>3.2</v>
      </c>
      <c r="AG174" s="4">
        <v>58.779999999999994</v>
      </c>
      <c r="AI174" s="132">
        <f t="shared" si="0"/>
        <v>5.4496673208558707E-2</v>
      </c>
      <c r="AJ174" s="132">
        <f t="shared" si="1"/>
        <v>1.3655162510171844E-2</v>
      </c>
      <c r="AK174" s="132">
        <f t="shared" si="2"/>
        <v>7.6688526159590254E-3</v>
      </c>
      <c r="AL174" s="132">
        <f t="shared" si="3"/>
        <v>1.5656502800248911E-2</v>
      </c>
      <c r="AM174" s="132">
        <f t="shared" si="4"/>
        <v>6.9604135752237804E-3</v>
      </c>
      <c r="AN174" s="132">
        <f t="shared" si="5"/>
        <v>5.667512325881959E-3</v>
      </c>
    </row>
    <row r="175" spans="24:40" ht="15.75" customHeight="1" x14ac:dyDescent="0.3">
      <c r="X175" s="4">
        <v>173</v>
      </c>
      <c r="Y175" s="4" t="s">
        <v>497</v>
      </c>
      <c r="Z175" s="4">
        <v>2581</v>
      </c>
      <c r="AA175" s="4">
        <v>32.97</v>
      </c>
      <c r="AB175" s="4">
        <v>13.4</v>
      </c>
      <c r="AC175" s="4">
        <v>7</v>
      </c>
      <c r="AD175" s="4">
        <v>9</v>
      </c>
      <c r="AE175" s="4">
        <v>3.5</v>
      </c>
      <c r="AF175" s="4">
        <v>7</v>
      </c>
      <c r="AG175" s="4">
        <v>72.87</v>
      </c>
      <c r="AI175" s="132">
        <f t="shared" si="0"/>
        <v>0.50916405389880803</v>
      </c>
      <c r="AJ175" s="132">
        <f t="shared" si="1"/>
        <v>0.2069395912115265</v>
      </c>
      <c r="AK175" s="132">
        <f t="shared" si="2"/>
        <v>0.10810277152840936</v>
      </c>
      <c r="AL175" s="132">
        <f t="shared" si="3"/>
        <v>0.13898927767938346</v>
      </c>
      <c r="AM175" s="132">
        <f t="shared" si="4"/>
        <v>5.4051385764204679E-2</v>
      </c>
      <c r="AN175" s="132">
        <f t="shared" si="5"/>
        <v>0.10810277152840936</v>
      </c>
    </row>
    <row r="176" spans="24:40" ht="15.75" customHeight="1" x14ac:dyDescent="0.3">
      <c r="X176" s="4">
        <v>174</v>
      </c>
      <c r="Y176" s="4" t="s">
        <v>420</v>
      </c>
      <c r="Z176" s="4">
        <v>876</v>
      </c>
      <c r="AA176" s="4">
        <v>26.13</v>
      </c>
      <c r="AB176" s="4">
        <v>12.13</v>
      </c>
      <c r="AC176" s="4">
        <v>3</v>
      </c>
      <c r="AD176" s="4">
        <v>6.5</v>
      </c>
      <c r="AE176" s="4">
        <v>1.5</v>
      </c>
      <c r="AF176" s="4">
        <v>3</v>
      </c>
      <c r="AG176" s="4">
        <v>52.26</v>
      </c>
      <c r="AI176" s="132">
        <f t="shared" si="0"/>
        <v>0.13696017423771001</v>
      </c>
      <c r="AJ176" s="132">
        <f t="shared" si="1"/>
        <v>6.3579292518309322E-2</v>
      </c>
      <c r="AK176" s="132">
        <f t="shared" si="2"/>
        <v>1.5724474654157293E-2</v>
      </c>
      <c r="AL176" s="132">
        <f t="shared" si="3"/>
        <v>3.4069695084007465E-2</v>
      </c>
      <c r="AM176" s="132">
        <f t="shared" si="4"/>
        <v>7.8622373270786465E-3</v>
      </c>
      <c r="AN176" s="132">
        <f t="shared" si="5"/>
        <v>1.5724474654157293E-2</v>
      </c>
    </row>
    <row r="177" spans="24:41" ht="15.75" customHeight="1" x14ac:dyDescent="0.3">
      <c r="X177" s="4">
        <v>175</v>
      </c>
      <c r="Y177" s="133" t="s">
        <v>465</v>
      </c>
      <c r="Z177" s="4">
        <v>148</v>
      </c>
      <c r="AA177" s="4">
        <v>29.82</v>
      </c>
      <c r="AB177" s="4">
        <v>13.38</v>
      </c>
      <c r="AC177" s="4">
        <v>6</v>
      </c>
      <c r="AD177" s="4">
        <v>6.5</v>
      </c>
      <c r="AE177" s="4">
        <v>3.1</v>
      </c>
      <c r="AF177" s="4">
        <v>3.4</v>
      </c>
      <c r="AG177" s="4">
        <v>62.2</v>
      </c>
      <c r="AI177" s="132">
        <f t="shared" si="0"/>
        <v>2.640706524340625E-2</v>
      </c>
      <c r="AJ177" s="132">
        <f t="shared" si="1"/>
        <v>1.184864295629697E-2</v>
      </c>
      <c r="AK177" s="132">
        <f t="shared" si="2"/>
        <v>5.3132928055143365E-3</v>
      </c>
      <c r="AL177" s="132">
        <f t="shared" si="3"/>
        <v>5.756067205973864E-3</v>
      </c>
      <c r="AM177" s="132">
        <f t="shared" si="4"/>
        <v>2.7452012828490737E-3</v>
      </c>
      <c r="AN177" s="132">
        <f t="shared" si="5"/>
        <v>3.0108659231247903E-3</v>
      </c>
    </row>
    <row r="178" spans="24:41" ht="15.75" customHeight="1" x14ac:dyDescent="0.3">
      <c r="X178" s="4">
        <v>176</v>
      </c>
      <c r="Y178" s="4" t="s">
        <v>504</v>
      </c>
      <c r="Z178" s="4">
        <v>1046</v>
      </c>
      <c r="AA178" s="4">
        <v>30</v>
      </c>
      <c r="AB178" s="4">
        <v>9.64</v>
      </c>
      <c r="AC178" s="4">
        <v>7</v>
      </c>
      <c r="AD178" s="4">
        <v>12.63</v>
      </c>
      <c r="AE178" s="4">
        <v>3.5</v>
      </c>
      <c r="AF178" s="4">
        <v>7</v>
      </c>
      <c r="AG178" s="4">
        <v>69.77000000000001</v>
      </c>
      <c r="AI178" s="132">
        <f t="shared" si="0"/>
        <v>0.18776027954621607</v>
      </c>
      <c r="AJ178" s="132">
        <f t="shared" si="1"/>
        <v>6.0333636494184099E-2</v>
      </c>
      <c r="AK178" s="132">
        <f t="shared" si="2"/>
        <v>4.3810731894117085E-2</v>
      </c>
      <c r="AL178" s="132">
        <f t="shared" si="3"/>
        <v>7.9047077688956982E-2</v>
      </c>
      <c r="AM178" s="132">
        <f t="shared" si="4"/>
        <v>2.1905365947058542E-2</v>
      </c>
      <c r="AN178" s="132">
        <f t="shared" si="5"/>
        <v>4.3810731894117085E-2</v>
      </c>
    </row>
    <row r="179" spans="24:41" ht="15.75" customHeight="1" x14ac:dyDescent="0.3">
      <c r="X179" s="4">
        <v>177</v>
      </c>
      <c r="Y179" s="4" t="s">
        <v>506</v>
      </c>
      <c r="Z179" s="4">
        <v>367</v>
      </c>
      <c r="AA179" s="4">
        <v>20.94</v>
      </c>
      <c r="AB179" s="4">
        <v>11.4</v>
      </c>
      <c r="AC179" s="4">
        <v>7</v>
      </c>
      <c r="AD179" s="4">
        <v>12.63</v>
      </c>
      <c r="AE179" s="4">
        <v>3.5</v>
      </c>
      <c r="AF179" s="4">
        <v>3</v>
      </c>
      <c r="AG179" s="4">
        <v>58.470000000000006</v>
      </c>
      <c r="AI179" s="132">
        <f t="shared" si="0"/>
        <v>4.5982600162749514E-2</v>
      </c>
      <c r="AJ179" s="132">
        <f t="shared" si="1"/>
        <v>2.5033507251926667E-2</v>
      </c>
      <c r="AK179" s="132">
        <f t="shared" si="2"/>
        <v>1.5371451821358479E-2</v>
      </c>
      <c r="AL179" s="132">
        <f t="shared" si="3"/>
        <v>2.7734490929108228E-2</v>
      </c>
      <c r="AM179" s="132">
        <f t="shared" si="4"/>
        <v>7.6857259106792395E-3</v>
      </c>
      <c r="AN179" s="132">
        <f t="shared" si="5"/>
        <v>6.5877650662964915E-3</v>
      </c>
    </row>
    <row r="180" spans="24:41" ht="15.75" customHeight="1" x14ac:dyDescent="0.3">
      <c r="X180" s="4">
        <v>178</v>
      </c>
      <c r="Y180" s="4" t="s">
        <v>346</v>
      </c>
      <c r="Z180" s="4">
        <v>1372</v>
      </c>
      <c r="AA180" s="4">
        <v>21.51</v>
      </c>
      <c r="AB180" s="4">
        <v>8.18</v>
      </c>
      <c r="AC180" s="4">
        <v>7</v>
      </c>
      <c r="AD180" s="4">
        <v>12.63</v>
      </c>
      <c r="AE180" s="4">
        <v>3.5</v>
      </c>
      <c r="AF180" s="4">
        <v>7</v>
      </c>
      <c r="AG180" s="4">
        <v>59.82</v>
      </c>
      <c r="AI180" s="132">
        <f t="shared" si="0"/>
        <v>0.1765815422909387</v>
      </c>
      <c r="AJ180" s="132">
        <f t="shared" si="1"/>
        <v>6.7151883586233307E-2</v>
      </c>
      <c r="AK180" s="132">
        <f t="shared" si="2"/>
        <v>5.7464937054233882E-2</v>
      </c>
      <c r="AL180" s="132">
        <f t="shared" si="3"/>
        <v>0.10368316499928198</v>
      </c>
      <c r="AM180" s="132">
        <f t="shared" si="4"/>
        <v>2.8732468527116941E-2</v>
      </c>
      <c r="AN180" s="132">
        <f t="shared" si="5"/>
        <v>5.7464937054233882E-2</v>
      </c>
    </row>
    <row r="181" spans="24:41" ht="15.75" customHeight="1" x14ac:dyDescent="0.3">
      <c r="Z181" s="4">
        <f>SUM(Z3:Z180)</f>
        <v>167128</v>
      </c>
      <c r="AI181" s="134">
        <f t="shared" ref="AI181:AN181" si="7">SUM(AI3:AI180)</f>
        <v>28.132069551481514</v>
      </c>
      <c r="AJ181" s="134">
        <f t="shared" si="7"/>
        <v>11.854102185151497</v>
      </c>
      <c r="AK181" s="134">
        <f t="shared" si="7"/>
        <v>6.2055456296969966</v>
      </c>
      <c r="AL181" s="134">
        <f t="shared" si="7"/>
        <v>9.9658698721937693</v>
      </c>
      <c r="AM181" s="134">
        <f t="shared" si="7"/>
        <v>3.4962514360250818</v>
      </c>
      <c r="AN181" s="134">
        <f t="shared" si="7"/>
        <v>6.1105783591020062</v>
      </c>
      <c r="AO181" s="134">
        <f>+SUM(AI181:AN181)</f>
        <v>65.764417033650872</v>
      </c>
    </row>
    <row r="182" spans="24:41" ht="15.75" customHeight="1" x14ac:dyDescent="0.3"/>
    <row r="183" spans="24:41" ht="15.75" customHeight="1" x14ac:dyDescent="0.3"/>
    <row r="184" spans="24:41" ht="15.75" customHeight="1" x14ac:dyDescent="0.3"/>
    <row r="185" spans="24:41" ht="15.75" customHeight="1" x14ac:dyDescent="0.3"/>
    <row r="186" spans="24:41" ht="15.75" customHeight="1" x14ac:dyDescent="0.3"/>
    <row r="187" spans="24:41" ht="15.75" customHeight="1" x14ac:dyDescent="0.3"/>
    <row r="188" spans="24:41" ht="15.75" customHeight="1" x14ac:dyDescent="0.3"/>
    <row r="189" spans="24:41" ht="15.75" customHeight="1" x14ac:dyDescent="0.3"/>
    <row r="190" spans="24:41" ht="15.75" customHeight="1" x14ac:dyDescent="0.3"/>
    <row r="191" spans="24:41" ht="15.75" customHeight="1" x14ac:dyDescent="0.3"/>
    <row r="192" spans="24:41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G1000"/>
  <sheetViews>
    <sheetView tabSelected="1" topLeftCell="A155" workbookViewId="0">
      <selection activeCell="F176" sqref="F176:K176"/>
    </sheetView>
  </sheetViews>
  <sheetFormatPr defaultColWidth="14.44140625" defaultRowHeight="15" customHeight="1" x14ac:dyDescent="0.3"/>
  <cols>
    <col min="1" max="1" width="5.33203125" customWidth="1"/>
    <col min="2" max="2" width="34.88671875" customWidth="1"/>
    <col min="3" max="3" width="15.44140625" customWidth="1"/>
    <col min="4" max="4" width="33.6640625" customWidth="1"/>
    <col min="5" max="5" width="12.5546875" hidden="1" customWidth="1"/>
    <col min="6" max="12" width="14.6640625" customWidth="1"/>
    <col min="13" max="13" width="56.109375" customWidth="1"/>
    <col min="14" max="14" width="8.6640625" customWidth="1"/>
    <col min="15" max="22" width="9.109375" customWidth="1"/>
    <col min="23" max="23" width="9" customWidth="1"/>
    <col min="24" max="33" width="9.109375" customWidth="1"/>
  </cols>
  <sheetData>
    <row r="1" spans="1:33" ht="21" customHeight="1" x14ac:dyDescent="0.3">
      <c r="A1" s="234" t="s">
        <v>232</v>
      </c>
      <c r="B1" s="235"/>
      <c r="C1" s="235"/>
      <c r="D1" s="235"/>
      <c r="E1" s="2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</row>
    <row r="2" spans="1:33" ht="14.25" customHeight="1" x14ac:dyDescent="0.3">
      <c r="A2" s="237" t="s">
        <v>0</v>
      </c>
      <c r="B2" s="252" t="s">
        <v>1</v>
      </c>
      <c r="C2" s="252" t="s">
        <v>2</v>
      </c>
      <c r="D2" s="252" t="s">
        <v>3</v>
      </c>
      <c r="E2" s="237" t="s">
        <v>4</v>
      </c>
      <c r="F2" s="5" t="s">
        <v>530</v>
      </c>
      <c r="G2" s="5"/>
      <c r="H2" s="5"/>
      <c r="I2" s="5"/>
      <c r="J2" s="5"/>
      <c r="K2" s="5"/>
      <c r="L2" s="136"/>
      <c r="M2" s="237" t="s">
        <v>531</v>
      </c>
      <c r="N2" s="137"/>
      <c r="O2" s="1"/>
      <c r="P2" s="234" t="s">
        <v>532</v>
      </c>
      <c r="Q2" s="235"/>
      <c r="R2" s="235"/>
      <c r="S2" s="235"/>
      <c r="T2" s="235"/>
      <c r="U2" s="235"/>
      <c r="V2" s="235"/>
      <c r="W2" s="1"/>
      <c r="X2" s="234" t="s">
        <v>533</v>
      </c>
      <c r="Y2" s="235"/>
      <c r="Z2" s="235"/>
      <c r="AA2" s="235"/>
      <c r="AB2" s="235"/>
      <c r="AC2" s="235"/>
      <c r="AD2" s="1"/>
      <c r="AE2" s="1"/>
      <c r="AF2" s="244" t="s">
        <v>534</v>
      </c>
      <c r="AG2" s="245"/>
    </row>
    <row r="3" spans="1:33" ht="14.25" customHeight="1" x14ac:dyDescent="0.3">
      <c r="A3" s="238"/>
      <c r="B3" s="238"/>
      <c r="C3" s="238"/>
      <c r="D3" s="238"/>
      <c r="E3" s="238"/>
      <c r="F3" s="246" t="s">
        <v>528</v>
      </c>
      <c r="G3" s="246" t="s">
        <v>507</v>
      </c>
      <c r="H3" s="246" t="s">
        <v>508</v>
      </c>
      <c r="I3" s="246" t="s">
        <v>509</v>
      </c>
      <c r="J3" s="246" t="s">
        <v>510</v>
      </c>
      <c r="K3" s="246" t="s">
        <v>511</v>
      </c>
      <c r="L3" s="253" t="s">
        <v>535</v>
      </c>
      <c r="M3" s="238"/>
      <c r="N3" s="137"/>
      <c r="O3" s="1"/>
      <c r="P3" s="247" t="s">
        <v>528</v>
      </c>
      <c r="Q3" s="247" t="s">
        <v>507</v>
      </c>
      <c r="R3" s="247" t="s">
        <v>508</v>
      </c>
      <c r="S3" s="247" t="s">
        <v>509</v>
      </c>
      <c r="T3" s="247" t="s">
        <v>510</v>
      </c>
      <c r="U3" s="247" t="s">
        <v>511</v>
      </c>
      <c r="V3" s="251" t="s">
        <v>535</v>
      </c>
      <c r="W3" s="1"/>
      <c r="X3" s="248" t="s">
        <v>528</v>
      </c>
      <c r="Y3" s="248" t="s">
        <v>507</v>
      </c>
      <c r="Z3" s="248" t="s">
        <v>508</v>
      </c>
      <c r="AA3" s="248" t="s">
        <v>509</v>
      </c>
      <c r="AB3" s="248" t="s">
        <v>510</v>
      </c>
      <c r="AC3" s="248" t="s">
        <v>511</v>
      </c>
      <c r="AD3" s="249" t="s">
        <v>535</v>
      </c>
      <c r="AE3" s="1"/>
      <c r="AF3" s="138" t="s">
        <v>536</v>
      </c>
      <c r="AG3" s="138" t="s">
        <v>537</v>
      </c>
    </row>
    <row r="4" spans="1:33" ht="14.25" customHeight="1" x14ac:dyDescent="0.3">
      <c r="A4" s="238"/>
      <c r="B4" s="238"/>
      <c r="C4" s="238"/>
      <c r="D4" s="238"/>
      <c r="E4" s="238"/>
      <c r="F4" s="239"/>
      <c r="G4" s="239"/>
      <c r="H4" s="239"/>
      <c r="I4" s="239"/>
      <c r="J4" s="239"/>
      <c r="K4" s="239"/>
      <c r="L4" s="254"/>
      <c r="M4" s="238"/>
      <c r="N4" s="137"/>
      <c r="O4" s="1"/>
      <c r="P4" s="239"/>
      <c r="Q4" s="239"/>
      <c r="R4" s="239"/>
      <c r="S4" s="239"/>
      <c r="T4" s="239"/>
      <c r="U4" s="239"/>
      <c r="V4" s="250"/>
      <c r="W4" s="1"/>
      <c r="X4" s="239"/>
      <c r="Y4" s="239"/>
      <c r="Z4" s="239"/>
      <c r="AA4" s="239"/>
      <c r="AB4" s="239"/>
      <c r="AC4" s="239"/>
      <c r="AD4" s="250"/>
      <c r="AE4" s="1"/>
      <c r="AF4" s="1"/>
      <c r="AG4" s="1"/>
    </row>
    <row r="5" spans="1:33" ht="14.25" customHeight="1" x14ac:dyDescent="0.3">
      <c r="A5" s="238"/>
      <c r="B5" s="239"/>
      <c r="C5" s="239"/>
      <c r="D5" s="239"/>
      <c r="E5" s="239"/>
      <c r="F5" s="139" t="s">
        <v>538</v>
      </c>
      <c r="G5" s="139" t="s">
        <v>539</v>
      </c>
      <c r="H5" s="139" t="s">
        <v>540</v>
      </c>
      <c r="I5" s="139" t="s">
        <v>539</v>
      </c>
      <c r="J5" s="139" t="s">
        <v>541</v>
      </c>
      <c r="K5" s="139" t="s">
        <v>540</v>
      </c>
      <c r="L5" s="140" t="s">
        <v>542</v>
      </c>
      <c r="M5" s="239"/>
      <c r="N5" s="137"/>
      <c r="O5" s="1"/>
      <c r="P5" s="141" t="s">
        <v>538</v>
      </c>
      <c r="Q5" s="141" t="s">
        <v>539</v>
      </c>
      <c r="R5" s="141" t="s">
        <v>540</v>
      </c>
      <c r="S5" s="141" t="s">
        <v>539</v>
      </c>
      <c r="T5" s="141" t="s">
        <v>541</v>
      </c>
      <c r="U5" s="141" t="s">
        <v>540</v>
      </c>
      <c r="V5" s="142" t="s">
        <v>542</v>
      </c>
      <c r="W5" s="1"/>
      <c r="X5" s="143" t="s">
        <v>538</v>
      </c>
      <c r="Y5" s="143" t="s">
        <v>539</v>
      </c>
      <c r="Z5" s="143" t="s">
        <v>540</v>
      </c>
      <c r="AA5" s="143" t="s">
        <v>539</v>
      </c>
      <c r="AB5" s="143" t="s">
        <v>541</v>
      </c>
      <c r="AC5" s="143" t="s">
        <v>540</v>
      </c>
      <c r="AD5" s="144" t="s">
        <v>542</v>
      </c>
      <c r="AE5" s="1"/>
      <c r="AF5" s="1"/>
      <c r="AG5" s="1"/>
    </row>
    <row r="6" spans="1:33" ht="14.25" customHeight="1" x14ac:dyDescent="0.3">
      <c r="A6" s="145" t="s">
        <v>233</v>
      </c>
      <c r="B6" s="240" t="s">
        <v>234</v>
      </c>
      <c r="C6" s="241"/>
      <c r="D6" s="241"/>
      <c r="E6" s="242"/>
      <c r="F6" s="146"/>
      <c r="G6" s="146"/>
      <c r="H6" s="146"/>
      <c r="I6" s="146"/>
      <c r="J6" s="146"/>
      <c r="K6" s="146"/>
      <c r="L6" s="145"/>
      <c r="M6" s="145"/>
      <c r="N6" s="147"/>
      <c r="O6" s="1"/>
      <c r="P6" s="148"/>
      <c r="Q6" s="148"/>
      <c r="R6" s="148"/>
      <c r="S6" s="148"/>
      <c r="T6" s="148"/>
      <c r="U6" s="148"/>
      <c r="V6" s="148"/>
      <c r="W6" s="1"/>
      <c r="X6" s="149"/>
      <c r="Y6" s="149"/>
      <c r="Z6" s="149"/>
      <c r="AA6" s="149"/>
      <c r="AB6" s="149"/>
      <c r="AC6" s="149"/>
      <c r="AD6" s="1"/>
      <c r="AE6" s="1"/>
      <c r="AF6" s="1"/>
      <c r="AG6" s="1"/>
    </row>
    <row r="7" spans="1:33" ht="14.4" x14ac:dyDescent="0.3">
      <c r="A7" s="150">
        <v>1</v>
      </c>
      <c r="B7" s="151" t="s">
        <v>109</v>
      </c>
      <c r="C7" s="152">
        <v>148</v>
      </c>
      <c r="D7" s="151" t="s">
        <v>110</v>
      </c>
      <c r="E7" s="151">
        <v>35000001</v>
      </c>
      <c r="F7" s="153">
        <v>29.82</v>
      </c>
      <c r="G7" s="153">
        <v>13.38</v>
      </c>
      <c r="H7" s="153">
        <v>6</v>
      </c>
      <c r="I7" s="153">
        <v>6.5</v>
      </c>
      <c r="J7" s="153">
        <v>3.1</v>
      </c>
      <c r="K7" s="153">
        <v>3.4</v>
      </c>
      <c r="L7" s="154">
        <f t="shared" ref="L7:L30" si="0">+SUM(F7:K7)</f>
        <v>62.2</v>
      </c>
      <c r="M7" s="151" t="s">
        <v>543</v>
      </c>
      <c r="N7" s="155"/>
      <c r="O7" s="135"/>
      <c r="P7" s="156">
        <f t="shared" ref="P7:P41" si="1">(F7*C7)/$C$42</f>
        <v>0.45876923076923076</v>
      </c>
      <c r="Q7" s="156">
        <f t="shared" ref="Q7:Q41" si="2">(G7*C7)/$C$42</f>
        <v>0.20584615384615385</v>
      </c>
      <c r="R7" s="156">
        <f t="shared" ref="R7:R41" si="3">(H7*C7)/$C$42</f>
        <v>9.2307692307692313E-2</v>
      </c>
      <c r="S7" s="156">
        <f t="shared" ref="S7:S41" si="4">(I7*C7)/$C$42</f>
        <v>0.1</v>
      </c>
      <c r="T7" s="156">
        <f t="shared" ref="T7:T41" si="5">(J7*C7)/$C$42</f>
        <v>4.7692307692307694E-2</v>
      </c>
      <c r="U7" s="156">
        <f t="shared" ref="U7:U41" si="6">(K7*C7)/$C$42</f>
        <v>5.2307692307692305E-2</v>
      </c>
      <c r="V7" s="157"/>
      <c r="W7" s="135"/>
      <c r="X7" s="158">
        <f t="shared" ref="X7:X41" si="7">(F7*C7)/$C$202</f>
        <v>2.640706524340625E-2</v>
      </c>
      <c r="Y7" s="158">
        <f t="shared" ref="Y7:Y41" si="8">(G7*C7)/$C$202</f>
        <v>1.184864295629697E-2</v>
      </c>
      <c r="Z7" s="158">
        <f t="shared" ref="Z7:Z41" si="9">(H7*C7)/$C$202</f>
        <v>5.3132928055143365E-3</v>
      </c>
      <c r="AA7" s="158">
        <f t="shared" ref="AA7:AA41" si="10">(I7*C7)/$C$202</f>
        <v>5.756067205973864E-3</v>
      </c>
      <c r="AB7" s="158">
        <f t="shared" ref="AB7:AB41" si="11">(J7*C7)/$C$202</f>
        <v>2.7452012828490737E-3</v>
      </c>
      <c r="AC7" s="158">
        <f t="shared" ref="AC7:AC41" si="12">(K7*C7)/$C$202</f>
        <v>3.0108659231247903E-3</v>
      </c>
      <c r="AD7" s="135"/>
      <c r="AE7" s="135"/>
      <c r="AF7" s="135"/>
      <c r="AG7" s="135"/>
    </row>
    <row r="8" spans="1:33" ht="14.4" x14ac:dyDescent="0.3">
      <c r="A8" s="150">
        <v>2</v>
      </c>
      <c r="B8" s="151" t="s">
        <v>111</v>
      </c>
      <c r="C8" s="152">
        <v>156</v>
      </c>
      <c r="D8" s="151" t="s">
        <v>110</v>
      </c>
      <c r="E8" s="151">
        <v>35000002</v>
      </c>
      <c r="F8" s="159">
        <v>29.92</v>
      </c>
      <c r="G8" s="160">
        <v>13.36</v>
      </c>
      <c r="H8" s="160">
        <v>6</v>
      </c>
      <c r="I8" s="160">
        <v>6.5</v>
      </c>
      <c r="J8" s="160">
        <v>3.1</v>
      </c>
      <c r="K8" s="160">
        <v>3</v>
      </c>
      <c r="L8" s="154">
        <f t="shared" si="0"/>
        <v>61.88</v>
      </c>
      <c r="M8" s="151" t="s">
        <v>543</v>
      </c>
      <c r="N8" s="155"/>
      <c r="O8" s="135"/>
      <c r="P8" s="156">
        <f t="shared" si="1"/>
        <v>0.48518918918918924</v>
      </c>
      <c r="Q8" s="156">
        <f t="shared" si="2"/>
        <v>0.21664864864864863</v>
      </c>
      <c r="R8" s="156">
        <f t="shared" si="3"/>
        <v>9.7297297297297303E-2</v>
      </c>
      <c r="S8" s="156">
        <f t="shared" si="4"/>
        <v>0.10540540540540541</v>
      </c>
      <c r="T8" s="156">
        <f t="shared" si="5"/>
        <v>5.027027027027027E-2</v>
      </c>
      <c r="U8" s="156">
        <f t="shared" si="6"/>
        <v>4.8648648648648651E-2</v>
      </c>
      <c r="V8" s="157"/>
      <c r="W8" s="135"/>
      <c r="X8" s="158">
        <f t="shared" si="7"/>
        <v>2.7927815805849413E-2</v>
      </c>
      <c r="Y8" s="158">
        <f t="shared" si="8"/>
        <v>1.2470441817050404E-2</v>
      </c>
      <c r="Z8" s="158">
        <f t="shared" si="9"/>
        <v>5.6004978220286251E-3</v>
      </c>
      <c r="AA8" s="158">
        <f t="shared" si="10"/>
        <v>6.0672059738643433E-3</v>
      </c>
      <c r="AB8" s="158">
        <f t="shared" si="11"/>
        <v>2.8935905413814563E-3</v>
      </c>
      <c r="AC8" s="158">
        <f t="shared" si="12"/>
        <v>2.8002489110143126E-3</v>
      </c>
      <c r="AD8" s="135"/>
      <c r="AE8" s="135"/>
      <c r="AF8" s="135"/>
      <c r="AG8" s="135"/>
    </row>
    <row r="9" spans="1:33" ht="14.4" x14ac:dyDescent="0.3">
      <c r="A9" s="150">
        <v>3</v>
      </c>
      <c r="B9" s="151" t="s">
        <v>112</v>
      </c>
      <c r="C9" s="152">
        <v>1212</v>
      </c>
      <c r="D9" s="151" t="s">
        <v>110</v>
      </c>
      <c r="E9" s="151">
        <v>35000003</v>
      </c>
      <c r="F9" s="159">
        <v>16.71</v>
      </c>
      <c r="G9" s="160">
        <v>14.34</v>
      </c>
      <c r="H9" s="160">
        <v>6</v>
      </c>
      <c r="I9" s="160">
        <v>6.5</v>
      </c>
      <c r="J9" s="160">
        <v>2.9</v>
      </c>
      <c r="K9" s="160">
        <v>3.99</v>
      </c>
      <c r="L9" s="154">
        <f t="shared" si="0"/>
        <v>50.44</v>
      </c>
      <c r="M9" s="151" t="s">
        <v>543</v>
      </c>
      <c r="N9" s="155"/>
      <c r="O9" s="135"/>
      <c r="P9" s="156">
        <f t="shared" si="1"/>
        <v>2.1052515592515593</v>
      </c>
      <c r="Q9" s="156">
        <f t="shared" si="2"/>
        <v>1.8066611226611224</v>
      </c>
      <c r="R9" s="156">
        <f t="shared" si="3"/>
        <v>0.75592515592515597</v>
      </c>
      <c r="S9" s="156">
        <f t="shared" si="4"/>
        <v>0.81891891891891888</v>
      </c>
      <c r="T9" s="156">
        <f t="shared" si="5"/>
        <v>0.36536382536382533</v>
      </c>
      <c r="U9" s="156">
        <f t="shared" si="6"/>
        <v>0.50269022869022872</v>
      </c>
      <c r="V9" s="157"/>
      <c r="W9" s="135"/>
      <c r="X9" s="158">
        <f t="shared" si="7"/>
        <v>0.12117969460533244</v>
      </c>
      <c r="Y9" s="158">
        <f t="shared" si="8"/>
        <v>0.10399262840457613</v>
      </c>
      <c r="Z9" s="158">
        <f t="shared" si="9"/>
        <v>4.3511560001914702E-2</v>
      </c>
      <c r="AA9" s="158">
        <f t="shared" si="10"/>
        <v>4.7137523335407591E-2</v>
      </c>
      <c r="AB9" s="158">
        <f t="shared" si="11"/>
        <v>2.103058733425877E-2</v>
      </c>
      <c r="AC9" s="158">
        <f t="shared" si="12"/>
        <v>2.8935187401273276E-2</v>
      </c>
      <c r="AD9" s="135"/>
      <c r="AE9" s="135"/>
      <c r="AF9" s="135"/>
      <c r="AG9" s="135"/>
    </row>
    <row r="10" spans="1:33" ht="14.4" x14ac:dyDescent="0.3">
      <c r="A10" s="150">
        <v>4</v>
      </c>
      <c r="B10" s="151" t="s">
        <v>113</v>
      </c>
      <c r="C10" s="152">
        <v>20</v>
      </c>
      <c r="D10" s="151" t="s">
        <v>110</v>
      </c>
      <c r="E10" s="151">
        <v>35000004</v>
      </c>
      <c r="F10" s="159">
        <v>28.65</v>
      </c>
      <c r="G10" s="160">
        <v>13.53</v>
      </c>
      <c r="H10" s="160">
        <v>6</v>
      </c>
      <c r="I10" s="160">
        <v>6.5</v>
      </c>
      <c r="J10" s="160">
        <v>3.1</v>
      </c>
      <c r="K10" s="160">
        <v>3.2</v>
      </c>
      <c r="L10" s="154">
        <f t="shared" si="0"/>
        <v>60.980000000000004</v>
      </c>
      <c r="M10" s="151" t="s">
        <v>543</v>
      </c>
      <c r="N10" s="155"/>
      <c r="O10" s="135"/>
      <c r="P10" s="156">
        <f t="shared" si="1"/>
        <v>5.9563409563409567E-2</v>
      </c>
      <c r="Q10" s="156">
        <f t="shared" si="2"/>
        <v>2.8128898128898124E-2</v>
      </c>
      <c r="R10" s="156">
        <f t="shared" si="3"/>
        <v>1.2474012474012475E-2</v>
      </c>
      <c r="S10" s="156">
        <f t="shared" si="4"/>
        <v>1.3513513513513514E-2</v>
      </c>
      <c r="T10" s="156">
        <f t="shared" si="5"/>
        <v>6.4449064449064453E-3</v>
      </c>
      <c r="U10" s="156">
        <f t="shared" si="6"/>
        <v>6.6528066528066532E-3</v>
      </c>
      <c r="V10" s="157"/>
      <c r="W10" s="135"/>
      <c r="X10" s="158">
        <f t="shared" si="7"/>
        <v>3.4285098846393186E-3</v>
      </c>
      <c r="Y10" s="158">
        <f t="shared" si="8"/>
        <v>1.6191182805993009E-3</v>
      </c>
      <c r="Z10" s="158">
        <f t="shared" si="9"/>
        <v>7.1801254128572108E-4</v>
      </c>
      <c r="AA10" s="158">
        <f t="shared" si="10"/>
        <v>7.7784691972619788E-4</v>
      </c>
      <c r="AB10" s="158">
        <f t="shared" si="11"/>
        <v>3.709731463309559E-4</v>
      </c>
      <c r="AC10" s="158">
        <f t="shared" si="12"/>
        <v>3.8294002201905126E-4</v>
      </c>
      <c r="AD10" s="135"/>
      <c r="AE10" s="135"/>
      <c r="AF10" s="135"/>
      <c r="AG10" s="135"/>
    </row>
    <row r="11" spans="1:33" ht="14.4" x14ac:dyDescent="0.3">
      <c r="A11" s="150">
        <v>5</v>
      </c>
      <c r="B11" s="151" t="s">
        <v>114</v>
      </c>
      <c r="C11" s="152">
        <v>527</v>
      </c>
      <c r="D11" s="151" t="s">
        <v>110</v>
      </c>
      <c r="E11" s="151">
        <v>35000005</v>
      </c>
      <c r="F11" s="159">
        <v>28.25</v>
      </c>
      <c r="G11" s="160">
        <v>12.75</v>
      </c>
      <c r="H11" s="160">
        <v>4.5999999999999996</v>
      </c>
      <c r="I11" s="160">
        <v>10.28</v>
      </c>
      <c r="J11" s="160">
        <v>2.98</v>
      </c>
      <c r="K11" s="160">
        <v>4.2</v>
      </c>
      <c r="L11" s="154">
        <f t="shared" si="0"/>
        <v>63.06</v>
      </c>
      <c r="M11" s="151" t="s">
        <v>544</v>
      </c>
      <c r="N11" s="155"/>
      <c r="O11" s="135"/>
      <c r="P11" s="156">
        <f t="shared" si="1"/>
        <v>1.54758316008316</v>
      </c>
      <c r="Q11" s="156">
        <f t="shared" si="2"/>
        <v>0.69846673596673592</v>
      </c>
      <c r="R11" s="156">
        <f t="shared" si="3"/>
        <v>0.25199584199584196</v>
      </c>
      <c r="S11" s="156">
        <f t="shared" si="4"/>
        <v>0.56315592515592505</v>
      </c>
      <c r="T11" s="156">
        <f t="shared" si="5"/>
        <v>0.16324948024948024</v>
      </c>
      <c r="U11" s="156">
        <f t="shared" si="6"/>
        <v>0.2300831600831601</v>
      </c>
      <c r="V11" s="157"/>
      <c r="W11" s="135"/>
      <c r="X11" s="158">
        <f t="shared" si="7"/>
        <v>8.9079926762720793E-2</v>
      </c>
      <c r="Y11" s="158">
        <f t="shared" si="8"/>
        <v>4.0204214733617349E-2</v>
      </c>
      <c r="Z11" s="158">
        <f t="shared" si="9"/>
        <v>1.4505050021540376E-2</v>
      </c>
      <c r="AA11" s="158">
        <f t="shared" si="10"/>
        <v>3.2415633526398924E-2</v>
      </c>
      <c r="AB11" s="158">
        <f t="shared" si="11"/>
        <v>9.3967497965631135E-3</v>
      </c>
      <c r="AC11" s="158">
        <f t="shared" si="12"/>
        <v>1.3243741324015127E-2</v>
      </c>
      <c r="AD11" s="135"/>
      <c r="AE11" s="135"/>
      <c r="AF11" s="135"/>
      <c r="AG11" s="135"/>
    </row>
    <row r="12" spans="1:33" ht="14.4" x14ac:dyDescent="0.3">
      <c r="A12" s="150">
        <v>6</v>
      </c>
      <c r="B12" s="151" t="s">
        <v>115</v>
      </c>
      <c r="C12" s="152">
        <v>457</v>
      </c>
      <c r="D12" s="151" t="s">
        <v>116</v>
      </c>
      <c r="E12" s="151">
        <v>35000006</v>
      </c>
      <c r="F12" s="159">
        <v>23.97</v>
      </c>
      <c r="G12" s="160">
        <v>13.65</v>
      </c>
      <c r="H12" s="160">
        <v>4.5999999999999996</v>
      </c>
      <c r="I12" s="160">
        <v>8.26</v>
      </c>
      <c r="J12" s="160">
        <v>3.1</v>
      </c>
      <c r="K12" s="160">
        <v>6.3</v>
      </c>
      <c r="L12" s="154">
        <f t="shared" si="0"/>
        <v>59.879999999999995</v>
      </c>
      <c r="M12" s="151" t="s">
        <v>543</v>
      </c>
      <c r="N12" s="155"/>
      <c r="O12" s="135"/>
      <c r="P12" s="156">
        <f t="shared" si="1"/>
        <v>1.1386995841995842</v>
      </c>
      <c r="Q12" s="156">
        <f t="shared" si="2"/>
        <v>0.64844594594594596</v>
      </c>
      <c r="R12" s="156">
        <f t="shared" si="3"/>
        <v>0.21852390852390852</v>
      </c>
      <c r="S12" s="156">
        <f t="shared" si="4"/>
        <v>0.39239293139293135</v>
      </c>
      <c r="T12" s="156">
        <f t="shared" si="5"/>
        <v>0.14726611226611228</v>
      </c>
      <c r="U12" s="156">
        <f t="shared" si="6"/>
        <v>0.29928274428274426</v>
      </c>
      <c r="V12" s="157"/>
      <c r="W12" s="135"/>
      <c r="X12" s="158">
        <f t="shared" si="7"/>
        <v>6.5544313340673011E-2</v>
      </c>
      <c r="Y12" s="158">
        <f t="shared" si="8"/>
        <v>3.7324984443061607E-2</v>
      </c>
      <c r="Z12" s="158">
        <f t="shared" si="9"/>
        <v>1.2578383035757023E-2</v>
      </c>
      <c r="AA12" s="158">
        <f t="shared" si="10"/>
        <v>2.2586400842468046E-2</v>
      </c>
      <c r="AB12" s="158">
        <f t="shared" si="11"/>
        <v>8.4767363936623426E-3</v>
      </c>
      <c r="AC12" s="158">
        <f t="shared" si="12"/>
        <v>1.7226915896797663E-2</v>
      </c>
      <c r="AD12" s="135"/>
      <c r="AE12" s="135"/>
      <c r="AF12" s="135"/>
      <c r="AG12" s="135"/>
    </row>
    <row r="13" spans="1:33" ht="14.4" x14ac:dyDescent="0.3">
      <c r="A13" s="150">
        <v>7</v>
      </c>
      <c r="B13" s="151" t="s">
        <v>117</v>
      </c>
      <c r="C13" s="152">
        <v>107</v>
      </c>
      <c r="D13" s="151" t="s">
        <v>110</v>
      </c>
      <c r="E13" s="151">
        <v>35000007</v>
      </c>
      <c r="F13" s="159">
        <v>29.45</v>
      </c>
      <c r="G13" s="160">
        <v>13.38</v>
      </c>
      <c r="H13" s="160">
        <v>6</v>
      </c>
      <c r="I13" s="160">
        <v>6.5</v>
      </c>
      <c r="J13" s="160">
        <v>3.1</v>
      </c>
      <c r="K13" s="160">
        <v>3.2</v>
      </c>
      <c r="L13" s="154">
        <f t="shared" si="0"/>
        <v>61.63</v>
      </c>
      <c r="M13" s="151" t="s">
        <v>543</v>
      </c>
      <c r="N13" s="155"/>
      <c r="O13" s="135"/>
      <c r="P13" s="156">
        <f t="shared" si="1"/>
        <v>0.32756237006237005</v>
      </c>
      <c r="Q13" s="156">
        <f t="shared" si="2"/>
        <v>0.14882120582120584</v>
      </c>
      <c r="R13" s="156">
        <f t="shared" si="3"/>
        <v>6.673596673596674E-2</v>
      </c>
      <c r="S13" s="156">
        <f t="shared" si="4"/>
        <v>7.2297297297297294E-2</v>
      </c>
      <c r="T13" s="156">
        <f t="shared" si="5"/>
        <v>3.4480249480249477E-2</v>
      </c>
      <c r="U13" s="156">
        <f t="shared" si="6"/>
        <v>3.5592515592515597E-2</v>
      </c>
      <c r="V13" s="157"/>
      <c r="W13" s="135"/>
      <c r="X13" s="158">
        <f t="shared" si="7"/>
        <v>1.8854710162270836E-2</v>
      </c>
      <c r="Y13" s="158">
        <f t="shared" si="8"/>
        <v>8.5662486238092962E-3</v>
      </c>
      <c r="Z13" s="158">
        <f t="shared" si="9"/>
        <v>3.841367095878608E-3</v>
      </c>
      <c r="AA13" s="158">
        <f t="shared" si="10"/>
        <v>4.1614810205351585E-3</v>
      </c>
      <c r="AB13" s="158">
        <f t="shared" si="11"/>
        <v>1.984706332870614E-3</v>
      </c>
      <c r="AC13" s="158">
        <f t="shared" si="12"/>
        <v>2.0487291178019245E-3</v>
      </c>
      <c r="AD13" s="135"/>
      <c r="AE13" s="135"/>
      <c r="AF13" s="135"/>
      <c r="AG13" s="135"/>
    </row>
    <row r="14" spans="1:33" ht="14.4" x14ac:dyDescent="0.3">
      <c r="A14" s="150">
        <v>8</v>
      </c>
      <c r="B14" s="151" t="s">
        <v>118</v>
      </c>
      <c r="C14" s="152">
        <v>39</v>
      </c>
      <c r="D14" s="151" t="s">
        <v>110</v>
      </c>
      <c r="E14" s="151">
        <v>35000008</v>
      </c>
      <c r="F14" s="159">
        <v>28.57</v>
      </c>
      <c r="G14" s="160">
        <v>14.35</v>
      </c>
      <c r="H14" s="160">
        <v>4.5999999999999996</v>
      </c>
      <c r="I14" s="160">
        <v>7.7</v>
      </c>
      <c r="J14" s="160">
        <v>3.1</v>
      </c>
      <c r="K14" s="160">
        <v>3</v>
      </c>
      <c r="L14" s="154">
        <f t="shared" si="0"/>
        <v>61.320000000000007</v>
      </c>
      <c r="M14" s="151" t="s">
        <v>543</v>
      </c>
      <c r="N14" s="155"/>
      <c r="O14" s="135"/>
      <c r="P14" s="156">
        <f t="shared" si="1"/>
        <v>0.11582432432432432</v>
      </c>
      <c r="Q14" s="156">
        <f t="shared" si="2"/>
        <v>5.8175675675675671E-2</v>
      </c>
      <c r="R14" s="156">
        <f t="shared" si="3"/>
        <v>1.8648648648648646E-2</v>
      </c>
      <c r="S14" s="156">
        <f t="shared" si="4"/>
        <v>3.1216216216216217E-2</v>
      </c>
      <c r="T14" s="156">
        <f t="shared" si="5"/>
        <v>1.2567567567567568E-2</v>
      </c>
      <c r="U14" s="156">
        <f t="shared" si="6"/>
        <v>1.2162162162162163E-2</v>
      </c>
      <c r="V14" s="157"/>
      <c r="W14" s="135"/>
      <c r="X14" s="158">
        <f t="shared" si="7"/>
        <v>6.6669259489732418E-3</v>
      </c>
      <c r="Y14" s="158">
        <f t="shared" si="8"/>
        <v>3.3486309894212819E-3</v>
      </c>
      <c r="Z14" s="158">
        <f t="shared" si="9"/>
        <v>1.073428749222153E-3</v>
      </c>
      <c r="AA14" s="158">
        <f t="shared" si="10"/>
        <v>1.7968263845675172E-3</v>
      </c>
      <c r="AB14" s="158">
        <f t="shared" si="11"/>
        <v>7.2339763534536407E-4</v>
      </c>
      <c r="AC14" s="158">
        <f t="shared" si="12"/>
        <v>7.0006222775357814E-4</v>
      </c>
      <c r="AD14" s="135"/>
      <c r="AE14" s="135"/>
      <c r="AF14" s="135"/>
      <c r="AG14" s="135"/>
    </row>
    <row r="15" spans="1:33" ht="14.4" x14ac:dyDescent="0.3">
      <c r="A15" s="150">
        <v>9</v>
      </c>
      <c r="B15" s="151" t="s">
        <v>119</v>
      </c>
      <c r="C15" s="152">
        <v>282</v>
      </c>
      <c r="D15" s="151" t="s">
        <v>116</v>
      </c>
      <c r="E15" s="151">
        <v>35000009</v>
      </c>
      <c r="F15" s="159">
        <v>28.48</v>
      </c>
      <c r="G15" s="160">
        <v>13.54</v>
      </c>
      <c r="H15" s="160">
        <v>3.9</v>
      </c>
      <c r="I15" s="160">
        <v>9.6999999999999993</v>
      </c>
      <c r="J15" s="160">
        <v>3</v>
      </c>
      <c r="K15" s="160">
        <v>3</v>
      </c>
      <c r="L15" s="154">
        <f t="shared" si="0"/>
        <v>61.61999999999999</v>
      </c>
      <c r="M15" s="151" t="s">
        <v>543</v>
      </c>
      <c r="N15" s="155"/>
      <c r="O15" s="135"/>
      <c r="P15" s="156">
        <f t="shared" si="1"/>
        <v>0.83486070686070679</v>
      </c>
      <c r="Q15" s="156">
        <f t="shared" si="2"/>
        <v>0.39691060291060287</v>
      </c>
      <c r="R15" s="156">
        <f t="shared" si="3"/>
        <v>0.11432432432432432</v>
      </c>
      <c r="S15" s="156">
        <f t="shared" si="4"/>
        <v>0.28434511434511428</v>
      </c>
      <c r="T15" s="156">
        <f t="shared" si="5"/>
        <v>8.7941787941787947E-2</v>
      </c>
      <c r="U15" s="156">
        <f t="shared" si="6"/>
        <v>8.7941787941787947E-2</v>
      </c>
      <c r="V15" s="157"/>
      <c r="W15" s="135"/>
      <c r="X15" s="158">
        <f t="shared" si="7"/>
        <v>4.8055143363170738E-2</v>
      </c>
      <c r="Y15" s="158">
        <f t="shared" si="8"/>
        <v>2.2846441051170358E-2</v>
      </c>
      <c r="Z15" s="158">
        <f t="shared" si="9"/>
        <v>6.5805849408836336E-3</v>
      </c>
      <c r="AA15" s="158">
        <f t="shared" si="10"/>
        <v>1.6367095878608011E-2</v>
      </c>
      <c r="AB15" s="158">
        <f t="shared" si="11"/>
        <v>5.0619884160643339E-3</v>
      </c>
      <c r="AC15" s="158">
        <f t="shared" si="12"/>
        <v>5.0619884160643339E-3</v>
      </c>
      <c r="AD15" s="135"/>
      <c r="AE15" s="135"/>
      <c r="AF15" s="135"/>
      <c r="AG15" s="135"/>
    </row>
    <row r="16" spans="1:33" ht="14.4" x14ac:dyDescent="0.3">
      <c r="A16" s="150">
        <v>10</v>
      </c>
      <c r="B16" s="151" t="s">
        <v>120</v>
      </c>
      <c r="C16" s="152">
        <v>726</v>
      </c>
      <c r="D16" s="151" t="s">
        <v>110</v>
      </c>
      <c r="E16" s="151">
        <v>35000010</v>
      </c>
      <c r="F16" s="159">
        <v>31.96</v>
      </c>
      <c r="G16" s="160">
        <v>13.27</v>
      </c>
      <c r="H16" s="160">
        <v>5.9</v>
      </c>
      <c r="I16" s="160">
        <v>6.5</v>
      </c>
      <c r="J16" s="160">
        <v>3.1</v>
      </c>
      <c r="K16" s="160">
        <v>3</v>
      </c>
      <c r="L16" s="154">
        <f t="shared" si="0"/>
        <v>63.730000000000004</v>
      </c>
      <c r="M16" s="151" t="s">
        <v>543</v>
      </c>
      <c r="N16" s="155"/>
      <c r="O16" s="135"/>
      <c r="P16" s="156">
        <f t="shared" si="1"/>
        <v>2.4119501039501037</v>
      </c>
      <c r="Q16" s="156">
        <f t="shared" si="2"/>
        <v>1.0014573804573805</v>
      </c>
      <c r="R16" s="156">
        <f t="shared" si="3"/>
        <v>0.44525987525987532</v>
      </c>
      <c r="S16" s="156">
        <f t="shared" si="4"/>
        <v>0.49054054054054053</v>
      </c>
      <c r="T16" s="156">
        <f t="shared" si="5"/>
        <v>0.23395010395010393</v>
      </c>
      <c r="U16" s="156">
        <f t="shared" si="6"/>
        <v>0.22640332640332642</v>
      </c>
      <c r="V16" s="157"/>
      <c r="W16" s="135"/>
      <c r="X16" s="158">
        <f t="shared" si="7"/>
        <v>0.13883346895792445</v>
      </c>
      <c r="Y16" s="158">
        <f t="shared" si="8"/>
        <v>5.7644559858312197E-2</v>
      </c>
      <c r="Z16" s="158">
        <f t="shared" si="9"/>
        <v>2.562945766119382E-2</v>
      </c>
      <c r="AA16" s="158">
        <f t="shared" si="10"/>
        <v>2.8235843186060983E-2</v>
      </c>
      <c r="AB16" s="158">
        <f t="shared" si="11"/>
        <v>1.34663252118137E-2</v>
      </c>
      <c r="AC16" s="158">
        <f t="shared" si="12"/>
        <v>1.3031927624335839E-2</v>
      </c>
      <c r="AD16" s="135"/>
      <c r="AE16" s="135"/>
      <c r="AF16" s="135"/>
      <c r="AG16" s="135"/>
    </row>
    <row r="17" spans="1:33" ht="14.4" x14ac:dyDescent="0.3">
      <c r="A17" s="150">
        <v>11</v>
      </c>
      <c r="B17" s="151" t="s">
        <v>121</v>
      </c>
      <c r="C17" s="152">
        <v>63</v>
      </c>
      <c r="D17" s="151" t="s">
        <v>110</v>
      </c>
      <c r="E17" s="151">
        <v>35000011</v>
      </c>
      <c r="F17" s="159">
        <v>27.57</v>
      </c>
      <c r="G17" s="160">
        <v>13.46</v>
      </c>
      <c r="H17" s="160">
        <v>6.5</v>
      </c>
      <c r="I17" s="160">
        <v>6.5</v>
      </c>
      <c r="J17" s="160">
        <v>3.1</v>
      </c>
      <c r="K17" s="160">
        <v>3.2</v>
      </c>
      <c r="L17" s="154">
        <f t="shared" si="0"/>
        <v>60.330000000000005</v>
      </c>
      <c r="M17" s="151" t="s">
        <v>543</v>
      </c>
      <c r="N17" s="155"/>
      <c r="O17" s="135"/>
      <c r="P17" s="156">
        <f t="shared" si="1"/>
        <v>0.18055197505197507</v>
      </c>
      <c r="Q17" s="156">
        <f t="shared" si="2"/>
        <v>8.8147609147609149E-2</v>
      </c>
      <c r="R17" s="156">
        <f t="shared" si="3"/>
        <v>4.256756756756757E-2</v>
      </c>
      <c r="S17" s="156">
        <f t="shared" si="4"/>
        <v>4.256756756756757E-2</v>
      </c>
      <c r="T17" s="156">
        <f t="shared" si="5"/>
        <v>2.0301455301455301E-2</v>
      </c>
      <c r="U17" s="156">
        <f t="shared" si="6"/>
        <v>2.0956340956340958E-2</v>
      </c>
      <c r="V17" s="157"/>
      <c r="W17" s="135"/>
      <c r="X17" s="158">
        <f t="shared" si="7"/>
        <v>1.0392693025704849E-2</v>
      </c>
      <c r="Y17" s="158">
        <f t="shared" si="8"/>
        <v>5.073835622995548E-3</v>
      </c>
      <c r="Z17" s="158">
        <f t="shared" si="9"/>
        <v>2.4502177971375233E-3</v>
      </c>
      <c r="AA17" s="158">
        <f t="shared" si="10"/>
        <v>2.4502177971375233E-3</v>
      </c>
      <c r="AB17" s="158">
        <f t="shared" si="11"/>
        <v>1.1685654109425112E-3</v>
      </c>
      <c r="AC17" s="158">
        <f t="shared" si="12"/>
        <v>1.2062610693600116E-3</v>
      </c>
      <c r="AD17" s="135"/>
      <c r="AE17" s="135"/>
      <c r="AF17" s="135"/>
      <c r="AG17" s="135"/>
    </row>
    <row r="18" spans="1:33" ht="14.4" x14ac:dyDescent="0.3">
      <c r="A18" s="150">
        <v>12</v>
      </c>
      <c r="B18" s="151" t="s">
        <v>122</v>
      </c>
      <c r="C18" s="152">
        <v>70</v>
      </c>
      <c r="D18" s="151" t="s">
        <v>110</v>
      </c>
      <c r="E18" s="151">
        <v>35000012</v>
      </c>
      <c r="F18" s="159">
        <v>28.39</v>
      </c>
      <c r="G18" s="160">
        <v>15</v>
      </c>
      <c r="H18" s="160">
        <v>5.5</v>
      </c>
      <c r="I18" s="160">
        <v>7.14</v>
      </c>
      <c r="J18" s="160">
        <v>3.1</v>
      </c>
      <c r="K18" s="160">
        <v>3</v>
      </c>
      <c r="L18" s="154">
        <f t="shared" si="0"/>
        <v>62.13</v>
      </c>
      <c r="M18" s="151" t="s">
        <v>543</v>
      </c>
      <c r="N18" s="155"/>
      <c r="O18" s="135"/>
      <c r="P18" s="156">
        <f t="shared" si="1"/>
        <v>0.20658004158004156</v>
      </c>
      <c r="Q18" s="156">
        <f t="shared" si="2"/>
        <v>0.10914760914760915</v>
      </c>
      <c r="R18" s="156">
        <f t="shared" si="3"/>
        <v>4.0020790020790023E-2</v>
      </c>
      <c r="S18" s="156">
        <f t="shared" si="4"/>
        <v>5.1954261954261949E-2</v>
      </c>
      <c r="T18" s="156">
        <f t="shared" si="5"/>
        <v>2.2557172557172558E-2</v>
      </c>
      <c r="U18" s="156">
        <f t="shared" si="6"/>
        <v>2.1829521829521831E-2</v>
      </c>
      <c r="V18" s="157"/>
      <c r="W18" s="135"/>
      <c r="X18" s="158">
        <f t="shared" si="7"/>
        <v>1.1890886027475947E-2</v>
      </c>
      <c r="Y18" s="158">
        <f t="shared" si="8"/>
        <v>6.2826097362500598E-3</v>
      </c>
      <c r="Z18" s="158">
        <f t="shared" si="9"/>
        <v>2.3036235699583551E-3</v>
      </c>
      <c r="AA18" s="158">
        <f t="shared" si="10"/>
        <v>2.9905222344550281E-3</v>
      </c>
      <c r="AB18" s="158">
        <f t="shared" si="11"/>
        <v>1.2984060121583457E-3</v>
      </c>
      <c r="AC18" s="158">
        <f t="shared" si="12"/>
        <v>1.256521947250012E-3</v>
      </c>
      <c r="AD18" s="135"/>
      <c r="AE18" s="135"/>
      <c r="AF18" s="135"/>
      <c r="AG18" s="135"/>
    </row>
    <row r="19" spans="1:33" ht="14.4" x14ac:dyDescent="0.3">
      <c r="A19" s="150">
        <v>13</v>
      </c>
      <c r="B19" s="151" t="s">
        <v>123</v>
      </c>
      <c r="C19" s="152">
        <v>53</v>
      </c>
      <c r="D19" s="151" t="s">
        <v>110</v>
      </c>
      <c r="E19" s="151">
        <v>35000013</v>
      </c>
      <c r="F19" s="159">
        <v>22.16</v>
      </c>
      <c r="G19" s="160">
        <v>14.81</v>
      </c>
      <c r="H19" s="160">
        <v>6.2</v>
      </c>
      <c r="I19" s="160">
        <v>9.8800000000000008</v>
      </c>
      <c r="J19" s="160">
        <v>2.7</v>
      </c>
      <c r="K19" s="160">
        <v>4.16</v>
      </c>
      <c r="L19" s="154">
        <f t="shared" si="0"/>
        <v>59.910000000000011</v>
      </c>
      <c r="M19" s="151" t="s">
        <v>545</v>
      </c>
      <c r="N19" s="155"/>
      <c r="O19" s="135"/>
      <c r="P19" s="156">
        <f t="shared" si="1"/>
        <v>0.12208731808731808</v>
      </c>
      <c r="Q19" s="156">
        <f t="shared" si="2"/>
        <v>8.1593555093555106E-2</v>
      </c>
      <c r="R19" s="156">
        <f t="shared" si="3"/>
        <v>3.4158004158004157E-2</v>
      </c>
      <c r="S19" s="156">
        <f t="shared" si="4"/>
        <v>5.4432432432432433E-2</v>
      </c>
      <c r="T19" s="156">
        <f t="shared" si="5"/>
        <v>1.4875259875259877E-2</v>
      </c>
      <c r="U19" s="156">
        <f t="shared" si="6"/>
        <v>2.291891891891892E-2</v>
      </c>
      <c r="V19" s="157"/>
      <c r="W19" s="135"/>
      <c r="X19" s="158">
        <f t="shared" si="7"/>
        <v>7.0274280790771143E-3</v>
      </c>
      <c r="Y19" s="158">
        <f t="shared" si="8"/>
        <v>4.6965798669283427E-3</v>
      </c>
      <c r="Z19" s="158">
        <f t="shared" si="9"/>
        <v>1.9661576755540663E-3</v>
      </c>
      <c r="AA19" s="158">
        <f t="shared" si="10"/>
        <v>3.1331673926571252E-3</v>
      </c>
      <c r="AB19" s="158">
        <f t="shared" si="11"/>
        <v>8.5622995548322262E-4</v>
      </c>
      <c r="AC19" s="158">
        <f t="shared" si="12"/>
        <v>1.3192283758556318E-3</v>
      </c>
      <c r="AD19" s="135"/>
      <c r="AE19" s="135"/>
      <c r="AF19" s="135"/>
      <c r="AG19" s="135"/>
    </row>
    <row r="20" spans="1:33" ht="14.4" x14ac:dyDescent="0.3">
      <c r="A20" s="150">
        <v>14</v>
      </c>
      <c r="B20" s="151" t="s">
        <v>124</v>
      </c>
      <c r="C20" s="152">
        <v>193</v>
      </c>
      <c r="D20" s="151" t="s">
        <v>110</v>
      </c>
      <c r="E20" s="151">
        <v>35000014</v>
      </c>
      <c r="F20" s="159">
        <v>27.55</v>
      </c>
      <c r="G20" s="160">
        <v>11.04</v>
      </c>
      <c r="H20" s="160">
        <v>6.95</v>
      </c>
      <c r="I20" s="160">
        <v>7.86</v>
      </c>
      <c r="J20" s="160">
        <v>3.45</v>
      </c>
      <c r="K20" s="160">
        <v>0</v>
      </c>
      <c r="L20" s="154">
        <f t="shared" si="0"/>
        <v>56.850000000000009</v>
      </c>
      <c r="M20" s="151" t="s">
        <v>543</v>
      </c>
      <c r="N20" s="155"/>
      <c r="O20" s="135"/>
      <c r="P20" s="156">
        <f t="shared" si="1"/>
        <v>0.5527182952182953</v>
      </c>
      <c r="Q20" s="156">
        <f t="shared" si="2"/>
        <v>0.22148856548856546</v>
      </c>
      <c r="R20" s="156">
        <f t="shared" si="3"/>
        <v>0.13943347193347194</v>
      </c>
      <c r="S20" s="156">
        <f t="shared" si="4"/>
        <v>0.1576902286902287</v>
      </c>
      <c r="T20" s="156">
        <f t="shared" si="5"/>
        <v>6.9215176715176713E-2</v>
      </c>
      <c r="U20" s="156">
        <f t="shared" si="6"/>
        <v>0</v>
      </c>
      <c r="V20" s="157"/>
      <c r="W20" s="135"/>
      <c r="X20" s="158">
        <f t="shared" si="7"/>
        <v>3.1814836532478102E-2</v>
      </c>
      <c r="Y20" s="158">
        <f t="shared" si="8"/>
        <v>1.2749030683069262E-2</v>
      </c>
      <c r="Z20" s="158">
        <f t="shared" si="9"/>
        <v>8.0258843521133511E-3</v>
      </c>
      <c r="AA20" s="158">
        <f t="shared" si="10"/>
        <v>9.0767555406634434E-3</v>
      </c>
      <c r="AB20" s="158">
        <f t="shared" si="11"/>
        <v>3.9840720884591454E-3</v>
      </c>
      <c r="AC20" s="158">
        <f t="shared" si="12"/>
        <v>0</v>
      </c>
      <c r="AD20" s="135"/>
      <c r="AE20" s="135"/>
      <c r="AF20" s="135"/>
      <c r="AG20" s="135"/>
    </row>
    <row r="21" spans="1:33" ht="15.75" customHeight="1" x14ac:dyDescent="0.3">
      <c r="A21" s="150">
        <v>15</v>
      </c>
      <c r="B21" s="151" t="s">
        <v>125</v>
      </c>
      <c r="C21" s="152">
        <v>455</v>
      </c>
      <c r="D21" s="151" t="s">
        <v>110</v>
      </c>
      <c r="E21" s="151">
        <v>35000015</v>
      </c>
      <c r="F21" s="159">
        <v>27.88</v>
      </c>
      <c r="G21" s="160">
        <v>11.42</v>
      </c>
      <c r="H21" s="160">
        <v>4.5</v>
      </c>
      <c r="I21" s="160">
        <v>6.1</v>
      </c>
      <c r="J21" s="160">
        <v>3.5</v>
      </c>
      <c r="K21" s="160">
        <v>0</v>
      </c>
      <c r="L21" s="154">
        <f t="shared" si="0"/>
        <v>53.4</v>
      </c>
      <c r="M21" s="151" t="s">
        <v>543</v>
      </c>
      <c r="N21" s="155"/>
      <c r="O21" s="135"/>
      <c r="P21" s="156">
        <f t="shared" si="1"/>
        <v>1.3186486486486486</v>
      </c>
      <c r="Q21" s="156">
        <f t="shared" si="2"/>
        <v>0.54013513513513522</v>
      </c>
      <c r="R21" s="156">
        <f t="shared" si="3"/>
        <v>0.21283783783783783</v>
      </c>
      <c r="S21" s="156">
        <f t="shared" si="4"/>
        <v>0.28851351351351351</v>
      </c>
      <c r="T21" s="156">
        <f t="shared" si="5"/>
        <v>0.16554054054054054</v>
      </c>
      <c r="U21" s="156">
        <f t="shared" si="6"/>
        <v>0</v>
      </c>
      <c r="V21" s="157"/>
      <c r="W21" s="135"/>
      <c r="X21" s="158">
        <f t="shared" si="7"/>
        <v>7.5902302426882381E-2</v>
      </c>
      <c r="Y21" s="158">
        <f t="shared" si="8"/>
        <v>3.109054138145613E-2</v>
      </c>
      <c r="Z21" s="158">
        <f t="shared" si="9"/>
        <v>1.2251088985687617E-2</v>
      </c>
      <c r="AA21" s="158">
        <f t="shared" si="10"/>
        <v>1.6607031736154326E-2</v>
      </c>
      <c r="AB21" s="158">
        <f t="shared" si="11"/>
        <v>9.5286247666459233E-3</v>
      </c>
      <c r="AC21" s="158">
        <f t="shared" si="12"/>
        <v>0</v>
      </c>
      <c r="AD21" s="135"/>
      <c r="AE21" s="135"/>
      <c r="AF21" s="135"/>
      <c r="AG21" s="135"/>
    </row>
    <row r="22" spans="1:33" ht="15.75" customHeight="1" x14ac:dyDescent="0.3">
      <c r="A22" s="150">
        <v>16</v>
      </c>
      <c r="B22" s="151" t="s">
        <v>126</v>
      </c>
      <c r="C22" s="152">
        <v>16</v>
      </c>
      <c r="D22" s="151" t="s">
        <v>110</v>
      </c>
      <c r="E22" s="151">
        <v>35000016</v>
      </c>
      <c r="F22" s="159">
        <v>27.18</v>
      </c>
      <c r="G22" s="160">
        <v>13.4</v>
      </c>
      <c r="H22" s="160">
        <v>6</v>
      </c>
      <c r="I22" s="160">
        <v>6.9</v>
      </c>
      <c r="J22" s="160">
        <v>3.1</v>
      </c>
      <c r="K22" s="160">
        <v>3</v>
      </c>
      <c r="L22" s="154">
        <f t="shared" si="0"/>
        <v>59.58</v>
      </c>
      <c r="M22" s="151" t="s">
        <v>543</v>
      </c>
      <c r="N22" s="155"/>
      <c r="O22" s="135"/>
      <c r="P22" s="156">
        <f t="shared" si="1"/>
        <v>4.5205821205821207E-2</v>
      </c>
      <c r="Q22" s="156">
        <f t="shared" si="2"/>
        <v>2.2286902286902287E-2</v>
      </c>
      <c r="R22" s="156">
        <f t="shared" si="3"/>
        <v>9.9792099792099798E-3</v>
      </c>
      <c r="S22" s="156">
        <f t="shared" si="4"/>
        <v>1.1476091476091476E-2</v>
      </c>
      <c r="T22" s="156">
        <f t="shared" si="5"/>
        <v>5.155925155925156E-3</v>
      </c>
      <c r="U22" s="156">
        <f t="shared" si="6"/>
        <v>4.9896049896049899E-3</v>
      </c>
      <c r="V22" s="157"/>
      <c r="W22" s="135"/>
      <c r="X22" s="158">
        <f t="shared" si="7"/>
        <v>2.6020774496194532E-3</v>
      </c>
      <c r="Y22" s="158">
        <f t="shared" si="8"/>
        <v>1.2828490737638218E-3</v>
      </c>
      <c r="Z22" s="158">
        <f t="shared" si="9"/>
        <v>5.7441003302857686E-4</v>
      </c>
      <c r="AA22" s="158">
        <f t="shared" si="10"/>
        <v>6.6057153798286343E-4</v>
      </c>
      <c r="AB22" s="158">
        <f t="shared" si="11"/>
        <v>2.9677851706476474E-4</v>
      </c>
      <c r="AC22" s="158">
        <f t="shared" si="12"/>
        <v>2.8720501651428843E-4</v>
      </c>
      <c r="AD22" s="135"/>
      <c r="AE22" s="135"/>
      <c r="AF22" s="135"/>
      <c r="AG22" s="135"/>
    </row>
    <row r="23" spans="1:33" ht="15.75" customHeight="1" x14ac:dyDescent="0.3">
      <c r="A23" s="150">
        <v>17</v>
      </c>
      <c r="B23" s="151" t="s">
        <v>127</v>
      </c>
      <c r="C23" s="152">
        <v>32</v>
      </c>
      <c r="D23" s="151" t="s">
        <v>110</v>
      </c>
      <c r="E23" s="151">
        <v>35000017</v>
      </c>
      <c r="F23" s="159">
        <v>22.54</v>
      </c>
      <c r="G23" s="160">
        <v>13.5</v>
      </c>
      <c r="H23" s="160">
        <v>6.3</v>
      </c>
      <c r="I23" s="160">
        <v>6.5</v>
      </c>
      <c r="J23" s="160">
        <v>3.1</v>
      </c>
      <c r="K23" s="160">
        <v>3</v>
      </c>
      <c r="L23" s="154">
        <f t="shared" si="0"/>
        <v>54.94</v>
      </c>
      <c r="M23" s="151" t="s">
        <v>543</v>
      </c>
      <c r="N23" s="155"/>
      <c r="O23" s="135"/>
      <c r="P23" s="156">
        <f t="shared" si="1"/>
        <v>7.4977130977130976E-2</v>
      </c>
      <c r="Q23" s="156">
        <f t="shared" si="2"/>
        <v>4.4906444906444909E-2</v>
      </c>
      <c r="R23" s="156">
        <f t="shared" si="3"/>
        <v>2.0956340956340955E-2</v>
      </c>
      <c r="S23" s="156">
        <f t="shared" si="4"/>
        <v>2.1621621621621623E-2</v>
      </c>
      <c r="T23" s="156">
        <f t="shared" si="5"/>
        <v>1.0311850311850312E-2</v>
      </c>
      <c r="U23" s="156">
        <f t="shared" si="6"/>
        <v>9.9792099792099798E-3</v>
      </c>
      <c r="V23" s="157"/>
      <c r="W23" s="135"/>
      <c r="X23" s="158">
        <f t="shared" si="7"/>
        <v>4.3157340481547075E-3</v>
      </c>
      <c r="Y23" s="158">
        <f t="shared" si="8"/>
        <v>2.5848451486285961E-3</v>
      </c>
      <c r="Z23" s="158">
        <f t="shared" si="9"/>
        <v>1.2062610693600114E-3</v>
      </c>
      <c r="AA23" s="158">
        <f t="shared" si="10"/>
        <v>1.2445550715619166E-3</v>
      </c>
      <c r="AB23" s="158">
        <f t="shared" si="11"/>
        <v>5.9355703412952948E-4</v>
      </c>
      <c r="AC23" s="158">
        <f t="shared" si="12"/>
        <v>5.7441003302857686E-4</v>
      </c>
      <c r="AD23" s="135"/>
      <c r="AE23" s="135"/>
      <c r="AF23" s="135"/>
      <c r="AG23" s="135"/>
    </row>
    <row r="24" spans="1:33" ht="15.75" customHeight="1" x14ac:dyDescent="0.3">
      <c r="A24" s="150">
        <v>18</v>
      </c>
      <c r="B24" s="151" t="s">
        <v>128</v>
      </c>
      <c r="C24" s="152">
        <v>46</v>
      </c>
      <c r="D24" s="151" t="s">
        <v>110</v>
      </c>
      <c r="E24" s="151">
        <v>35000018</v>
      </c>
      <c r="F24" s="159">
        <v>27.43</v>
      </c>
      <c r="G24" s="160">
        <v>15</v>
      </c>
      <c r="H24" s="160">
        <v>5.9</v>
      </c>
      <c r="I24" s="160">
        <v>7.3</v>
      </c>
      <c r="J24" s="160">
        <v>3.1</v>
      </c>
      <c r="K24" s="160">
        <v>3</v>
      </c>
      <c r="L24" s="154">
        <f t="shared" si="0"/>
        <v>61.73</v>
      </c>
      <c r="M24" s="151" t="s">
        <v>543</v>
      </c>
      <c r="N24" s="155"/>
      <c r="O24" s="135"/>
      <c r="P24" s="156">
        <f t="shared" si="1"/>
        <v>0.13116216216216217</v>
      </c>
      <c r="Q24" s="156">
        <f t="shared" si="2"/>
        <v>7.172557172557173E-2</v>
      </c>
      <c r="R24" s="156">
        <f t="shared" si="3"/>
        <v>2.8212058212058216E-2</v>
      </c>
      <c r="S24" s="156">
        <f t="shared" si="4"/>
        <v>3.4906444906444907E-2</v>
      </c>
      <c r="T24" s="156">
        <f t="shared" si="5"/>
        <v>1.4823284823284823E-2</v>
      </c>
      <c r="U24" s="156">
        <f t="shared" si="6"/>
        <v>1.4345114345114346E-2</v>
      </c>
      <c r="V24" s="157"/>
      <c r="W24" s="135"/>
      <c r="X24" s="158">
        <f t="shared" si="7"/>
        <v>7.5497822028624765E-3</v>
      </c>
      <c r="Y24" s="158">
        <f t="shared" si="8"/>
        <v>4.1285721123928967E-3</v>
      </c>
      <c r="Z24" s="158">
        <f t="shared" si="9"/>
        <v>1.6239050308745394E-3</v>
      </c>
      <c r="AA24" s="158">
        <f t="shared" si="10"/>
        <v>2.0092384280312099E-3</v>
      </c>
      <c r="AB24" s="158">
        <f t="shared" si="11"/>
        <v>8.5323823656119856E-4</v>
      </c>
      <c r="AC24" s="158">
        <f t="shared" si="12"/>
        <v>8.2571442247857932E-4</v>
      </c>
      <c r="AD24" s="135"/>
      <c r="AE24" s="135"/>
      <c r="AF24" s="135"/>
      <c r="AG24" s="135"/>
    </row>
    <row r="25" spans="1:33" ht="15.75" customHeight="1" x14ac:dyDescent="0.3">
      <c r="A25" s="150">
        <v>19</v>
      </c>
      <c r="B25" s="151" t="s">
        <v>129</v>
      </c>
      <c r="C25" s="152">
        <v>59</v>
      </c>
      <c r="D25" s="151" t="s">
        <v>110</v>
      </c>
      <c r="E25" s="151">
        <v>35000019</v>
      </c>
      <c r="F25" s="159">
        <v>21.83</v>
      </c>
      <c r="G25" s="160">
        <v>13.21</v>
      </c>
      <c r="H25" s="160">
        <v>6</v>
      </c>
      <c r="I25" s="160">
        <v>6.5</v>
      </c>
      <c r="J25" s="160">
        <v>3.1</v>
      </c>
      <c r="K25" s="160">
        <v>3</v>
      </c>
      <c r="L25" s="154">
        <f t="shared" si="0"/>
        <v>53.64</v>
      </c>
      <c r="M25" s="151" t="s">
        <v>543</v>
      </c>
      <c r="N25" s="155"/>
      <c r="O25" s="135"/>
      <c r="P25" s="156">
        <f t="shared" si="1"/>
        <v>0.13388461538461535</v>
      </c>
      <c r="Q25" s="156">
        <f t="shared" si="2"/>
        <v>8.101767151767153E-2</v>
      </c>
      <c r="R25" s="156">
        <f t="shared" si="3"/>
        <v>3.67983367983368E-2</v>
      </c>
      <c r="S25" s="156">
        <f t="shared" si="4"/>
        <v>3.9864864864864867E-2</v>
      </c>
      <c r="T25" s="156">
        <f t="shared" si="5"/>
        <v>1.9012474012474013E-2</v>
      </c>
      <c r="U25" s="156">
        <f t="shared" si="6"/>
        <v>1.83991683991684E-2</v>
      </c>
      <c r="V25" s="157"/>
      <c r="W25" s="135"/>
      <c r="X25" s="158">
        <f t="shared" si="7"/>
        <v>7.706488439998084E-3</v>
      </c>
      <c r="Y25" s="158">
        <f t="shared" si="8"/>
        <v>4.6634316212723192E-3</v>
      </c>
      <c r="Z25" s="158">
        <f t="shared" si="9"/>
        <v>2.1181369967928775E-3</v>
      </c>
      <c r="AA25" s="158">
        <f t="shared" si="10"/>
        <v>2.2946484131922836E-3</v>
      </c>
      <c r="AB25" s="158">
        <f t="shared" si="11"/>
        <v>1.0943707816763199E-3</v>
      </c>
      <c r="AC25" s="158">
        <f t="shared" si="12"/>
        <v>1.0590684983964387E-3</v>
      </c>
      <c r="AD25" s="135"/>
      <c r="AE25" s="135"/>
      <c r="AF25" s="135"/>
      <c r="AG25" s="135"/>
    </row>
    <row r="26" spans="1:33" ht="15.75" customHeight="1" x14ac:dyDescent="0.3">
      <c r="A26" s="150">
        <v>20</v>
      </c>
      <c r="B26" s="151" t="s">
        <v>130</v>
      </c>
      <c r="C26" s="152">
        <v>119</v>
      </c>
      <c r="D26" s="151" t="s">
        <v>110</v>
      </c>
      <c r="E26" s="151">
        <v>35003010</v>
      </c>
      <c r="F26" s="159">
        <v>28.83</v>
      </c>
      <c r="G26" s="160">
        <v>14.56</v>
      </c>
      <c r="H26" s="160">
        <v>6</v>
      </c>
      <c r="I26" s="160">
        <v>6.5</v>
      </c>
      <c r="J26" s="160">
        <v>2.9</v>
      </c>
      <c r="K26" s="160">
        <v>3</v>
      </c>
      <c r="L26" s="154">
        <f t="shared" si="0"/>
        <v>61.79</v>
      </c>
      <c r="M26" s="151" t="s">
        <v>543</v>
      </c>
      <c r="N26" s="155"/>
      <c r="O26" s="135"/>
      <c r="P26" s="156">
        <f t="shared" si="1"/>
        <v>0.35662889812889814</v>
      </c>
      <c r="Q26" s="156">
        <f t="shared" si="2"/>
        <v>0.18010810810810812</v>
      </c>
      <c r="R26" s="156">
        <f t="shared" si="3"/>
        <v>7.4220374220374224E-2</v>
      </c>
      <c r="S26" s="156">
        <f t="shared" si="4"/>
        <v>8.0405405405405403E-2</v>
      </c>
      <c r="T26" s="156">
        <f t="shared" si="5"/>
        <v>3.5873180873180872E-2</v>
      </c>
      <c r="U26" s="156">
        <f t="shared" si="6"/>
        <v>3.7110187110187112E-2</v>
      </c>
      <c r="V26" s="157"/>
      <c r="W26" s="135"/>
      <c r="X26" s="158">
        <f t="shared" si="7"/>
        <v>2.0527799052223444E-2</v>
      </c>
      <c r="Y26" s="158">
        <f t="shared" si="8"/>
        <v>1.0367143746110766E-2</v>
      </c>
      <c r="Z26" s="158">
        <f t="shared" si="9"/>
        <v>4.272174620650041E-3</v>
      </c>
      <c r="AA26" s="158">
        <f t="shared" si="10"/>
        <v>4.6281891723708776E-3</v>
      </c>
      <c r="AB26" s="158">
        <f t="shared" si="11"/>
        <v>2.0648843999808526E-3</v>
      </c>
      <c r="AC26" s="158">
        <f t="shared" si="12"/>
        <v>2.1360873103250205E-3</v>
      </c>
      <c r="AD26" s="135"/>
      <c r="AE26" s="135"/>
      <c r="AF26" s="135"/>
      <c r="AG26" s="135"/>
    </row>
    <row r="27" spans="1:33" ht="15.75" customHeight="1" x14ac:dyDescent="0.3">
      <c r="A27" s="150">
        <v>21</v>
      </c>
      <c r="B27" s="151" t="s">
        <v>133</v>
      </c>
      <c r="C27" s="152">
        <v>165</v>
      </c>
      <c r="D27" s="151" t="s">
        <v>134</v>
      </c>
      <c r="E27" s="151">
        <v>35000021</v>
      </c>
      <c r="F27" s="159">
        <v>21.53</v>
      </c>
      <c r="G27" s="160">
        <v>13.86</v>
      </c>
      <c r="H27" s="160">
        <v>7.15</v>
      </c>
      <c r="I27" s="160">
        <v>11.1</v>
      </c>
      <c r="J27" s="160">
        <v>3.65</v>
      </c>
      <c r="K27" s="160">
        <v>7.75</v>
      </c>
      <c r="L27" s="154">
        <f t="shared" si="0"/>
        <v>65.039999999999992</v>
      </c>
      <c r="M27" s="151" t="s">
        <v>543</v>
      </c>
      <c r="N27" s="155"/>
      <c r="O27" s="135"/>
      <c r="P27" s="156">
        <f t="shared" si="1"/>
        <v>0.36927754677754682</v>
      </c>
      <c r="Q27" s="156">
        <f t="shared" si="2"/>
        <v>0.23772349272349275</v>
      </c>
      <c r="R27" s="156">
        <f t="shared" si="3"/>
        <v>0.12263513513513513</v>
      </c>
      <c r="S27" s="156">
        <f t="shared" si="4"/>
        <v>0.19038461538461537</v>
      </c>
      <c r="T27" s="156">
        <f t="shared" si="5"/>
        <v>6.2603950103950104E-2</v>
      </c>
      <c r="U27" s="156">
        <f t="shared" si="6"/>
        <v>0.13292619542619544</v>
      </c>
      <c r="V27" s="157"/>
      <c r="W27" s="135"/>
      <c r="X27" s="158">
        <f t="shared" si="7"/>
        <v>2.1255863769087169E-2</v>
      </c>
      <c r="Y27" s="158">
        <f t="shared" si="8"/>
        <v>1.368352400555263E-2</v>
      </c>
      <c r="Z27" s="158">
        <f t="shared" si="9"/>
        <v>7.0589607965152457E-3</v>
      </c>
      <c r="AA27" s="158">
        <f t="shared" si="10"/>
        <v>1.0958666411373318E-2</v>
      </c>
      <c r="AB27" s="158">
        <f t="shared" si="11"/>
        <v>3.603525441577713E-3</v>
      </c>
      <c r="AC27" s="158">
        <f t="shared" si="12"/>
        <v>7.651321143075966E-3</v>
      </c>
      <c r="AD27" s="135"/>
      <c r="AE27" s="135"/>
      <c r="AF27" s="135"/>
      <c r="AG27" s="135"/>
    </row>
    <row r="28" spans="1:33" ht="15.75" customHeight="1" x14ac:dyDescent="0.3">
      <c r="A28" s="150">
        <v>22</v>
      </c>
      <c r="B28" s="151" t="s">
        <v>135</v>
      </c>
      <c r="C28" s="152">
        <v>551</v>
      </c>
      <c r="D28" s="151" t="s">
        <v>132</v>
      </c>
      <c r="E28" s="151">
        <v>35000022</v>
      </c>
      <c r="F28" s="159">
        <v>33.729999999999997</v>
      </c>
      <c r="G28" s="160">
        <v>12.53</v>
      </c>
      <c r="H28" s="160">
        <v>6.25</v>
      </c>
      <c r="I28" s="160">
        <v>9.3000000000000007</v>
      </c>
      <c r="J28" s="160">
        <v>3.85</v>
      </c>
      <c r="K28" s="160">
        <v>6.4</v>
      </c>
      <c r="L28" s="154">
        <f t="shared" si="0"/>
        <v>72.06</v>
      </c>
      <c r="M28" s="151" t="s">
        <v>543</v>
      </c>
      <c r="N28" s="155"/>
      <c r="O28" s="135"/>
      <c r="P28" s="156">
        <f t="shared" si="1"/>
        <v>1.9319365904365904</v>
      </c>
      <c r="Q28" s="156">
        <f t="shared" si="2"/>
        <v>0.71767463617463612</v>
      </c>
      <c r="R28" s="156">
        <f t="shared" si="3"/>
        <v>0.35797817047817049</v>
      </c>
      <c r="S28" s="156">
        <f t="shared" si="4"/>
        <v>0.53267151767151766</v>
      </c>
      <c r="T28" s="156">
        <f t="shared" si="5"/>
        <v>0.220514553014553</v>
      </c>
      <c r="U28" s="156">
        <f t="shared" si="6"/>
        <v>0.36656964656964658</v>
      </c>
      <c r="V28" s="157"/>
      <c r="W28" s="135"/>
      <c r="X28" s="158">
        <f t="shared" si="7"/>
        <v>0.11120356852233018</v>
      </c>
      <c r="Y28" s="158">
        <f t="shared" si="8"/>
        <v>4.1309834378440477E-2</v>
      </c>
      <c r="Z28" s="158">
        <f t="shared" si="9"/>
        <v>2.0605464075439183E-2</v>
      </c>
      <c r="AA28" s="158">
        <f t="shared" si="10"/>
        <v>3.0660930544253506E-2</v>
      </c>
      <c r="AB28" s="158">
        <f t="shared" si="11"/>
        <v>1.2692965870470536E-2</v>
      </c>
      <c r="AC28" s="158">
        <f t="shared" si="12"/>
        <v>2.1099995213249727E-2</v>
      </c>
      <c r="AD28" s="135"/>
      <c r="AE28" s="135"/>
      <c r="AF28" s="135"/>
      <c r="AG28" s="135"/>
    </row>
    <row r="29" spans="1:33" ht="15.75" customHeight="1" x14ac:dyDescent="0.3">
      <c r="A29" s="150">
        <v>23</v>
      </c>
      <c r="B29" s="151" t="s">
        <v>137</v>
      </c>
      <c r="C29" s="152">
        <v>69</v>
      </c>
      <c r="D29" s="151" t="s">
        <v>138</v>
      </c>
      <c r="E29" s="151">
        <v>35000024</v>
      </c>
      <c r="F29" s="159">
        <v>24.75</v>
      </c>
      <c r="G29" s="160">
        <v>14.28</v>
      </c>
      <c r="H29" s="160">
        <v>7.1</v>
      </c>
      <c r="I29" s="160">
        <v>10.75</v>
      </c>
      <c r="J29" s="160">
        <v>4.03</v>
      </c>
      <c r="K29" s="160">
        <v>4.26</v>
      </c>
      <c r="L29" s="154">
        <f t="shared" si="0"/>
        <v>65.17</v>
      </c>
      <c r="M29" s="151" t="s">
        <v>543</v>
      </c>
      <c r="N29" s="155"/>
      <c r="O29" s="135"/>
      <c r="P29" s="156">
        <f t="shared" si="1"/>
        <v>0.17752079002079002</v>
      </c>
      <c r="Q29" s="156">
        <f t="shared" si="2"/>
        <v>0.10242411642411642</v>
      </c>
      <c r="R29" s="156">
        <f t="shared" si="3"/>
        <v>5.0925155925155924E-2</v>
      </c>
      <c r="S29" s="156">
        <f t="shared" si="4"/>
        <v>7.7104989604989599E-2</v>
      </c>
      <c r="T29" s="156">
        <f t="shared" si="5"/>
        <v>2.8905405405405406E-2</v>
      </c>
      <c r="U29" s="156">
        <f t="shared" si="6"/>
        <v>3.0555093555093556E-2</v>
      </c>
      <c r="V29" s="157"/>
      <c r="W29" s="135"/>
      <c r="X29" s="158">
        <f t="shared" si="7"/>
        <v>1.0218215978172419E-2</v>
      </c>
      <c r="Y29" s="158">
        <f t="shared" si="8"/>
        <v>5.8956009764970559E-3</v>
      </c>
      <c r="Z29" s="158">
        <f t="shared" si="9"/>
        <v>2.9312861997989564E-3</v>
      </c>
      <c r="AA29" s="158">
        <f t="shared" si="10"/>
        <v>4.4382150208223635E-3</v>
      </c>
      <c r="AB29" s="158">
        <f t="shared" si="11"/>
        <v>1.6638145612943372E-3</v>
      </c>
      <c r="AC29" s="158">
        <f t="shared" si="12"/>
        <v>1.7587717198793739E-3</v>
      </c>
      <c r="AD29" s="135"/>
      <c r="AE29" s="135"/>
      <c r="AF29" s="135"/>
      <c r="AG29" s="135"/>
    </row>
    <row r="30" spans="1:33" ht="15.75" customHeight="1" x14ac:dyDescent="0.3">
      <c r="A30" s="150">
        <v>24</v>
      </c>
      <c r="B30" s="151" t="s">
        <v>139</v>
      </c>
      <c r="C30" s="152">
        <v>54</v>
      </c>
      <c r="D30" s="151" t="s">
        <v>138</v>
      </c>
      <c r="E30" s="151">
        <v>35000025</v>
      </c>
      <c r="F30" s="159">
        <v>29.82</v>
      </c>
      <c r="G30" s="160">
        <v>13.51</v>
      </c>
      <c r="H30" s="160">
        <v>6</v>
      </c>
      <c r="I30" s="160">
        <v>10.5</v>
      </c>
      <c r="J30" s="160">
        <v>3.5</v>
      </c>
      <c r="K30" s="160">
        <v>7</v>
      </c>
      <c r="L30" s="154">
        <f t="shared" si="0"/>
        <v>70.33</v>
      </c>
      <c r="M30" s="151" t="s">
        <v>543</v>
      </c>
      <c r="N30" s="155"/>
      <c r="O30" s="135"/>
      <c r="P30" s="156">
        <f t="shared" si="1"/>
        <v>0.16738877338877339</v>
      </c>
      <c r="Q30" s="156">
        <f t="shared" si="2"/>
        <v>7.5835758835758826E-2</v>
      </c>
      <c r="R30" s="156">
        <f t="shared" si="3"/>
        <v>3.3679833679833682E-2</v>
      </c>
      <c r="S30" s="156">
        <f t="shared" si="4"/>
        <v>5.8939708939708943E-2</v>
      </c>
      <c r="T30" s="156">
        <f t="shared" si="5"/>
        <v>1.9646569646569648E-2</v>
      </c>
      <c r="U30" s="156">
        <f t="shared" si="6"/>
        <v>3.9293139293139295E-2</v>
      </c>
      <c r="V30" s="157"/>
      <c r="W30" s="135"/>
      <c r="X30" s="158">
        <f t="shared" si="7"/>
        <v>9.6350102915130909E-3</v>
      </c>
      <c r="Y30" s="158">
        <f t="shared" si="8"/>
        <v>4.3651572447465413E-3</v>
      </c>
      <c r="Z30" s="158">
        <f t="shared" si="9"/>
        <v>1.9386338614714471E-3</v>
      </c>
      <c r="AA30" s="158">
        <f t="shared" si="10"/>
        <v>3.3926092575750325E-3</v>
      </c>
      <c r="AB30" s="158">
        <f t="shared" si="11"/>
        <v>1.1308697525250107E-3</v>
      </c>
      <c r="AC30" s="158">
        <f t="shared" si="12"/>
        <v>2.2617395050500214E-3</v>
      </c>
      <c r="AD30" s="135"/>
      <c r="AE30" s="135"/>
      <c r="AF30" s="135"/>
      <c r="AG30" s="135"/>
    </row>
    <row r="31" spans="1:33" ht="15.75" customHeight="1" x14ac:dyDescent="0.3">
      <c r="A31" s="150">
        <v>25</v>
      </c>
      <c r="B31" s="151" t="s">
        <v>140</v>
      </c>
      <c r="C31" s="152">
        <v>23</v>
      </c>
      <c r="D31" s="151" t="s">
        <v>138</v>
      </c>
      <c r="E31" s="151">
        <v>35000026</v>
      </c>
      <c r="F31" s="159">
        <v>29.66</v>
      </c>
      <c r="G31" s="160">
        <v>13.53</v>
      </c>
      <c r="H31" s="160">
        <v>7</v>
      </c>
      <c r="I31" s="160">
        <v>10.5</v>
      </c>
      <c r="J31" s="160">
        <v>3.5</v>
      </c>
      <c r="K31" s="160">
        <v>7</v>
      </c>
      <c r="L31" s="154">
        <v>7</v>
      </c>
      <c r="M31" s="151" t="s">
        <v>543</v>
      </c>
      <c r="N31" s="155"/>
      <c r="O31" s="135"/>
      <c r="P31" s="156">
        <f t="shared" si="1"/>
        <v>7.0912681912681907E-2</v>
      </c>
      <c r="Q31" s="156">
        <f t="shared" si="2"/>
        <v>3.234823284823285E-2</v>
      </c>
      <c r="R31" s="156">
        <f t="shared" si="3"/>
        <v>1.6735966735966737E-2</v>
      </c>
      <c r="S31" s="156">
        <f t="shared" si="4"/>
        <v>2.5103950103950105E-2</v>
      </c>
      <c r="T31" s="156">
        <f t="shared" si="5"/>
        <v>8.3679833679833684E-3</v>
      </c>
      <c r="U31" s="156">
        <f t="shared" si="6"/>
        <v>1.6735966735966737E-2</v>
      </c>
      <c r="V31" s="157"/>
      <c r="W31" s="135"/>
      <c r="X31" s="158">
        <f t="shared" si="7"/>
        <v>4.0817816284524433E-3</v>
      </c>
      <c r="Y31" s="158">
        <f t="shared" si="8"/>
        <v>1.8619860226891964E-3</v>
      </c>
      <c r="Z31" s="158">
        <f t="shared" si="9"/>
        <v>9.6333349289167585E-4</v>
      </c>
      <c r="AA31" s="158">
        <f t="shared" si="10"/>
        <v>1.4450002393375137E-3</v>
      </c>
      <c r="AB31" s="158">
        <f t="shared" si="11"/>
        <v>4.8166674644583793E-4</v>
      </c>
      <c r="AC31" s="158">
        <f t="shared" si="12"/>
        <v>9.6333349289167585E-4</v>
      </c>
      <c r="AD31" s="135"/>
      <c r="AE31" s="135"/>
      <c r="AF31" s="135"/>
      <c r="AG31" s="135"/>
    </row>
    <row r="32" spans="1:33" ht="15.75" customHeight="1" x14ac:dyDescent="0.3">
      <c r="A32" s="150">
        <v>26</v>
      </c>
      <c r="B32" s="151" t="s">
        <v>141</v>
      </c>
      <c r="C32" s="152">
        <v>42</v>
      </c>
      <c r="D32" s="151" t="s">
        <v>138</v>
      </c>
      <c r="E32" s="151">
        <v>35000027</v>
      </c>
      <c r="F32" s="159">
        <v>28.87</v>
      </c>
      <c r="G32" s="160">
        <v>13.15</v>
      </c>
      <c r="H32" s="160">
        <v>7</v>
      </c>
      <c r="I32" s="160">
        <v>10.5</v>
      </c>
      <c r="J32" s="160">
        <v>3.5</v>
      </c>
      <c r="K32" s="160">
        <v>7</v>
      </c>
      <c r="L32" s="154">
        <f t="shared" ref="L32:L41" si="13">+SUM(F32:K32)</f>
        <v>70.02000000000001</v>
      </c>
      <c r="M32" s="151" t="s">
        <v>543</v>
      </c>
      <c r="N32" s="155"/>
      <c r="O32" s="135"/>
      <c r="P32" s="156">
        <f t="shared" si="1"/>
        <v>0.12604365904365905</v>
      </c>
      <c r="Q32" s="156">
        <f t="shared" si="2"/>
        <v>5.741164241164242E-2</v>
      </c>
      <c r="R32" s="156">
        <f t="shared" si="3"/>
        <v>3.0561330561330563E-2</v>
      </c>
      <c r="S32" s="156">
        <f t="shared" si="4"/>
        <v>4.5841995841995845E-2</v>
      </c>
      <c r="T32" s="156">
        <f t="shared" si="5"/>
        <v>1.5280665280665282E-2</v>
      </c>
      <c r="U32" s="156">
        <f t="shared" si="6"/>
        <v>3.0561330561330563E-2</v>
      </c>
      <c r="V32" s="157"/>
      <c r="W32" s="135"/>
      <c r="X32" s="158">
        <f t="shared" si="7"/>
        <v>7.2551577234215691E-3</v>
      </c>
      <c r="Y32" s="158">
        <f t="shared" si="8"/>
        <v>3.3046527212675317E-3</v>
      </c>
      <c r="Z32" s="158">
        <f t="shared" si="9"/>
        <v>1.7591307261500167E-3</v>
      </c>
      <c r="AA32" s="158">
        <f t="shared" si="10"/>
        <v>2.6386960892250252E-3</v>
      </c>
      <c r="AB32" s="158">
        <f t="shared" si="11"/>
        <v>8.7956536307500833E-4</v>
      </c>
      <c r="AC32" s="158">
        <f t="shared" si="12"/>
        <v>1.7591307261500167E-3</v>
      </c>
      <c r="AD32" s="135"/>
      <c r="AE32" s="135"/>
      <c r="AF32" s="135"/>
      <c r="AG32" s="135"/>
    </row>
    <row r="33" spans="1:33" ht="15.75" customHeight="1" x14ac:dyDescent="0.3">
      <c r="A33" s="150">
        <v>27</v>
      </c>
      <c r="B33" s="151" t="s">
        <v>142</v>
      </c>
      <c r="C33" s="152">
        <v>51</v>
      </c>
      <c r="D33" s="151" t="s">
        <v>138</v>
      </c>
      <c r="E33" s="151">
        <v>35000028</v>
      </c>
      <c r="F33" s="153">
        <v>13.8</v>
      </c>
      <c r="G33" s="153">
        <v>13.22</v>
      </c>
      <c r="H33" s="153">
        <v>7</v>
      </c>
      <c r="I33" s="153">
        <v>10.5</v>
      </c>
      <c r="J33" s="153">
        <v>3.5</v>
      </c>
      <c r="K33" s="153">
        <v>7</v>
      </c>
      <c r="L33" s="154">
        <f t="shared" si="13"/>
        <v>55.02</v>
      </c>
      <c r="M33" s="151" t="s">
        <v>543</v>
      </c>
      <c r="N33" s="155"/>
      <c r="O33" s="135"/>
      <c r="P33" s="156">
        <f t="shared" si="1"/>
        <v>7.316008316008317E-2</v>
      </c>
      <c r="Q33" s="156">
        <f t="shared" si="2"/>
        <v>7.0085239085239087E-2</v>
      </c>
      <c r="R33" s="156">
        <f t="shared" si="3"/>
        <v>3.7110187110187112E-2</v>
      </c>
      <c r="S33" s="156">
        <f t="shared" si="4"/>
        <v>5.5665280665280668E-2</v>
      </c>
      <c r="T33" s="156">
        <f t="shared" si="5"/>
        <v>1.8555093555093556E-2</v>
      </c>
      <c r="U33" s="156">
        <f t="shared" si="6"/>
        <v>3.7110187110187112E-2</v>
      </c>
      <c r="V33" s="157"/>
      <c r="W33" s="135"/>
      <c r="X33" s="158">
        <f t="shared" si="7"/>
        <v>4.2111435546407549E-3</v>
      </c>
      <c r="Y33" s="158">
        <f t="shared" si="8"/>
        <v>4.0341534632138245E-3</v>
      </c>
      <c r="Z33" s="158">
        <f t="shared" si="9"/>
        <v>2.1360873103250205E-3</v>
      </c>
      <c r="AA33" s="158">
        <f t="shared" si="10"/>
        <v>3.2041309654875305E-3</v>
      </c>
      <c r="AB33" s="158">
        <f t="shared" si="11"/>
        <v>1.0680436551625103E-3</v>
      </c>
      <c r="AC33" s="158">
        <f t="shared" si="12"/>
        <v>2.1360873103250205E-3</v>
      </c>
      <c r="AD33" s="135"/>
      <c r="AE33" s="135"/>
      <c r="AF33" s="135"/>
      <c r="AG33" s="135"/>
    </row>
    <row r="34" spans="1:33" ht="15.75" customHeight="1" x14ac:dyDescent="0.3">
      <c r="A34" s="150">
        <v>28</v>
      </c>
      <c r="B34" s="151" t="s">
        <v>143</v>
      </c>
      <c r="C34" s="152">
        <v>82</v>
      </c>
      <c r="D34" s="151" t="s">
        <v>138</v>
      </c>
      <c r="E34" s="151">
        <v>35000029</v>
      </c>
      <c r="F34" s="153">
        <v>27.48</v>
      </c>
      <c r="G34" s="153">
        <v>13.52</v>
      </c>
      <c r="H34" s="153">
        <v>7</v>
      </c>
      <c r="I34" s="153">
        <v>10.5</v>
      </c>
      <c r="J34" s="153">
        <v>3.5</v>
      </c>
      <c r="K34" s="153">
        <v>7</v>
      </c>
      <c r="L34" s="154">
        <f t="shared" si="13"/>
        <v>69</v>
      </c>
      <c r="M34" s="151" t="s">
        <v>543</v>
      </c>
      <c r="N34" s="155"/>
      <c r="O34" s="135"/>
      <c r="P34" s="156">
        <f t="shared" si="1"/>
        <v>0.23423700623700625</v>
      </c>
      <c r="Q34" s="156">
        <f t="shared" si="2"/>
        <v>0.11524324324324323</v>
      </c>
      <c r="R34" s="156">
        <f t="shared" si="3"/>
        <v>5.9667359667359671E-2</v>
      </c>
      <c r="S34" s="156">
        <f t="shared" si="4"/>
        <v>8.9501039501039506E-2</v>
      </c>
      <c r="T34" s="156">
        <f t="shared" si="5"/>
        <v>2.9833679833679835E-2</v>
      </c>
      <c r="U34" s="156">
        <f t="shared" si="6"/>
        <v>5.9667359667359671E-2</v>
      </c>
      <c r="V34" s="157"/>
      <c r="W34" s="135"/>
      <c r="X34" s="158">
        <f t="shared" si="7"/>
        <v>1.3482839500263272E-2</v>
      </c>
      <c r="Y34" s="158">
        <f t="shared" si="8"/>
        <v>6.633478531425015E-3</v>
      </c>
      <c r="Z34" s="158">
        <f t="shared" si="9"/>
        <v>3.4344933224833662E-3</v>
      </c>
      <c r="AA34" s="158">
        <f t="shared" si="10"/>
        <v>5.1517399837250491E-3</v>
      </c>
      <c r="AB34" s="158">
        <f t="shared" si="11"/>
        <v>1.7172466612416831E-3</v>
      </c>
      <c r="AC34" s="158">
        <f t="shared" si="12"/>
        <v>3.4344933224833662E-3</v>
      </c>
      <c r="AD34" s="135"/>
      <c r="AE34" s="135"/>
      <c r="AF34" s="135"/>
      <c r="AG34" s="135"/>
    </row>
    <row r="35" spans="1:33" ht="15.75" customHeight="1" x14ac:dyDescent="0.3">
      <c r="A35" s="150">
        <v>29</v>
      </c>
      <c r="B35" s="151" t="s">
        <v>144</v>
      </c>
      <c r="C35" s="152">
        <v>62</v>
      </c>
      <c r="D35" s="151" t="s">
        <v>138</v>
      </c>
      <c r="E35" s="151">
        <v>35000030</v>
      </c>
      <c r="F35" s="153">
        <v>24.65</v>
      </c>
      <c r="G35" s="153">
        <v>13.57</v>
      </c>
      <c r="H35" s="153">
        <v>7</v>
      </c>
      <c r="I35" s="153">
        <v>10.5</v>
      </c>
      <c r="J35" s="153">
        <v>3.5</v>
      </c>
      <c r="K35" s="153">
        <v>7</v>
      </c>
      <c r="L35" s="154">
        <f t="shared" si="13"/>
        <v>66.22</v>
      </c>
      <c r="M35" s="151" t="s">
        <v>543</v>
      </c>
      <c r="N35" s="155"/>
      <c r="O35" s="135"/>
      <c r="P35" s="156">
        <f t="shared" si="1"/>
        <v>0.15886694386694386</v>
      </c>
      <c r="Q35" s="156">
        <f t="shared" si="2"/>
        <v>8.7457380457380454E-2</v>
      </c>
      <c r="R35" s="156">
        <f t="shared" si="3"/>
        <v>4.5114345114345117E-2</v>
      </c>
      <c r="S35" s="156">
        <f t="shared" si="4"/>
        <v>6.7671517671517675E-2</v>
      </c>
      <c r="T35" s="156">
        <f t="shared" si="5"/>
        <v>2.2557172557172558E-2</v>
      </c>
      <c r="U35" s="156">
        <f t="shared" si="6"/>
        <v>4.5114345114345117E-2</v>
      </c>
      <c r="V35" s="157"/>
      <c r="W35" s="135"/>
      <c r="X35" s="158">
        <f t="shared" si="7"/>
        <v>9.1444880570580624E-3</v>
      </c>
      <c r="Y35" s="158">
        <f t="shared" si="8"/>
        <v>5.0341055957110721E-3</v>
      </c>
      <c r="Z35" s="158">
        <f t="shared" si="9"/>
        <v>2.5968120243166914E-3</v>
      </c>
      <c r="AA35" s="158">
        <f t="shared" si="10"/>
        <v>3.8952180364750372E-3</v>
      </c>
      <c r="AB35" s="158">
        <f t="shared" si="11"/>
        <v>1.2984060121583457E-3</v>
      </c>
      <c r="AC35" s="158">
        <f t="shared" si="12"/>
        <v>2.5968120243166914E-3</v>
      </c>
      <c r="AD35" s="135"/>
      <c r="AE35" s="135"/>
      <c r="AF35" s="135"/>
      <c r="AG35" s="135"/>
    </row>
    <row r="36" spans="1:33" ht="15.75" customHeight="1" x14ac:dyDescent="0.3">
      <c r="A36" s="150">
        <v>30</v>
      </c>
      <c r="B36" s="151" t="s">
        <v>145</v>
      </c>
      <c r="C36" s="152">
        <v>56</v>
      </c>
      <c r="D36" s="151" t="s">
        <v>138</v>
      </c>
      <c r="E36" s="151">
        <v>35000032</v>
      </c>
      <c r="F36" s="153">
        <v>26.65</v>
      </c>
      <c r="G36" s="153">
        <v>13.17</v>
      </c>
      <c r="H36" s="153">
        <v>7</v>
      </c>
      <c r="I36" s="153">
        <v>10.5</v>
      </c>
      <c r="J36" s="153">
        <v>3.5</v>
      </c>
      <c r="K36" s="153">
        <v>7</v>
      </c>
      <c r="L36" s="154">
        <f t="shared" si="13"/>
        <v>67.819999999999993</v>
      </c>
      <c r="M36" s="151" t="s">
        <v>543</v>
      </c>
      <c r="N36" s="155"/>
      <c r="O36" s="135"/>
      <c r="P36" s="156">
        <f t="shared" si="1"/>
        <v>0.15513513513513513</v>
      </c>
      <c r="Q36" s="156">
        <f t="shared" si="2"/>
        <v>7.6665280665280666E-2</v>
      </c>
      <c r="R36" s="156">
        <f t="shared" si="3"/>
        <v>4.0748440748440751E-2</v>
      </c>
      <c r="S36" s="156">
        <f t="shared" si="4"/>
        <v>6.1122661122661126E-2</v>
      </c>
      <c r="T36" s="156">
        <f t="shared" si="5"/>
        <v>2.0374220374220375E-2</v>
      </c>
      <c r="U36" s="156">
        <f t="shared" si="6"/>
        <v>4.0748440748440751E-2</v>
      </c>
      <c r="V36" s="157"/>
      <c r="W36" s="135"/>
      <c r="X36" s="158">
        <f t="shared" si="7"/>
        <v>8.9296826384567506E-3</v>
      </c>
      <c r="Y36" s="158">
        <f t="shared" si="8"/>
        <v>4.4129050787420415E-3</v>
      </c>
      <c r="Z36" s="158">
        <f t="shared" si="9"/>
        <v>2.3455076348666889E-3</v>
      </c>
      <c r="AA36" s="158">
        <f t="shared" si="10"/>
        <v>3.5182614523000333E-3</v>
      </c>
      <c r="AB36" s="158">
        <f t="shared" si="11"/>
        <v>1.1727538174333444E-3</v>
      </c>
      <c r="AC36" s="158">
        <f t="shared" si="12"/>
        <v>2.3455076348666889E-3</v>
      </c>
      <c r="AD36" s="135"/>
      <c r="AE36" s="135"/>
      <c r="AF36" s="135"/>
      <c r="AG36" s="135"/>
    </row>
    <row r="37" spans="1:33" ht="15.75" customHeight="1" x14ac:dyDescent="0.3">
      <c r="A37" s="150">
        <v>31</v>
      </c>
      <c r="B37" s="151" t="s">
        <v>146</v>
      </c>
      <c r="C37" s="152">
        <v>38</v>
      </c>
      <c r="D37" s="151" t="s">
        <v>138</v>
      </c>
      <c r="E37" s="151">
        <v>35000033</v>
      </c>
      <c r="F37" s="153">
        <v>17.25</v>
      </c>
      <c r="G37" s="153">
        <v>13.58</v>
      </c>
      <c r="H37" s="153">
        <v>7</v>
      </c>
      <c r="I37" s="153">
        <v>10.5</v>
      </c>
      <c r="J37" s="153">
        <v>3.5</v>
      </c>
      <c r="K37" s="153">
        <v>7</v>
      </c>
      <c r="L37" s="154">
        <f t="shared" si="13"/>
        <v>58.83</v>
      </c>
      <c r="M37" s="151" t="s">
        <v>543</v>
      </c>
      <c r="N37" s="155"/>
      <c r="O37" s="135"/>
      <c r="P37" s="156">
        <f t="shared" si="1"/>
        <v>6.8139293139293136E-2</v>
      </c>
      <c r="Q37" s="156">
        <f t="shared" si="2"/>
        <v>5.3642411642411639E-2</v>
      </c>
      <c r="R37" s="156">
        <f t="shared" si="3"/>
        <v>2.7650727650727652E-2</v>
      </c>
      <c r="S37" s="156">
        <f t="shared" si="4"/>
        <v>4.1476091476091478E-2</v>
      </c>
      <c r="T37" s="156">
        <f t="shared" si="5"/>
        <v>1.3825363825363826E-2</v>
      </c>
      <c r="U37" s="156">
        <f t="shared" si="6"/>
        <v>2.7650727650727652E-2</v>
      </c>
      <c r="V37" s="157"/>
      <c r="W37" s="135"/>
      <c r="X37" s="158">
        <f t="shared" si="7"/>
        <v>3.9221435067732513E-3</v>
      </c>
      <c r="Y37" s="158">
        <f t="shared" si="8"/>
        <v>3.0876932650423625E-3</v>
      </c>
      <c r="Z37" s="158">
        <f t="shared" si="9"/>
        <v>1.5915944665166818E-3</v>
      </c>
      <c r="AA37" s="158">
        <f t="shared" si="10"/>
        <v>2.3873916997750226E-3</v>
      </c>
      <c r="AB37" s="158">
        <f t="shared" si="11"/>
        <v>7.9579723325834092E-4</v>
      </c>
      <c r="AC37" s="158">
        <f t="shared" si="12"/>
        <v>1.5915944665166818E-3</v>
      </c>
      <c r="AD37" s="135"/>
      <c r="AE37" s="135"/>
      <c r="AF37" s="135"/>
      <c r="AG37" s="135"/>
    </row>
    <row r="38" spans="1:33" ht="15.75" customHeight="1" x14ac:dyDescent="0.3">
      <c r="A38" s="150">
        <v>32</v>
      </c>
      <c r="B38" s="151" t="s">
        <v>147</v>
      </c>
      <c r="C38" s="152">
        <v>45</v>
      </c>
      <c r="D38" s="151" t="s">
        <v>138</v>
      </c>
      <c r="E38" s="151">
        <v>35000038</v>
      </c>
      <c r="F38" s="153">
        <v>5.3</v>
      </c>
      <c r="G38" s="153">
        <v>11.51</v>
      </c>
      <c r="H38" s="153">
        <v>7</v>
      </c>
      <c r="I38" s="153">
        <v>10.5</v>
      </c>
      <c r="J38" s="153">
        <v>3.5</v>
      </c>
      <c r="K38" s="153">
        <v>7</v>
      </c>
      <c r="L38" s="154">
        <f t="shared" si="13"/>
        <v>44.81</v>
      </c>
      <c r="M38" s="151" t="s">
        <v>543</v>
      </c>
      <c r="N38" s="155"/>
      <c r="O38" s="135"/>
      <c r="P38" s="156">
        <f t="shared" si="1"/>
        <v>2.4792099792099793E-2</v>
      </c>
      <c r="Q38" s="156">
        <f t="shared" si="2"/>
        <v>5.3840956340956349E-2</v>
      </c>
      <c r="R38" s="156">
        <f t="shared" si="3"/>
        <v>3.2744282744282746E-2</v>
      </c>
      <c r="S38" s="156">
        <f t="shared" si="4"/>
        <v>4.9116424116424119E-2</v>
      </c>
      <c r="T38" s="156">
        <f t="shared" si="5"/>
        <v>1.6372141372141373E-2</v>
      </c>
      <c r="U38" s="156">
        <f t="shared" si="6"/>
        <v>3.2744282744282746E-2</v>
      </c>
      <c r="V38" s="157"/>
      <c r="W38" s="135"/>
      <c r="X38" s="158">
        <f t="shared" si="7"/>
        <v>1.4270499258053706E-3</v>
      </c>
      <c r="Y38" s="158">
        <f t="shared" si="8"/>
        <v>3.0991216313244942E-3</v>
      </c>
      <c r="Z38" s="158">
        <f t="shared" si="9"/>
        <v>1.8847829208750179E-3</v>
      </c>
      <c r="AA38" s="158">
        <f t="shared" si="10"/>
        <v>2.8271743813125271E-3</v>
      </c>
      <c r="AB38" s="158">
        <f t="shared" si="11"/>
        <v>9.4239146043750897E-4</v>
      </c>
      <c r="AC38" s="158">
        <f t="shared" si="12"/>
        <v>1.8847829208750179E-3</v>
      </c>
      <c r="AD38" s="135"/>
      <c r="AE38" s="135"/>
      <c r="AF38" s="135"/>
      <c r="AG38" s="135"/>
    </row>
    <row r="39" spans="1:33" ht="15.75" customHeight="1" x14ac:dyDescent="0.3">
      <c r="A39" s="150">
        <v>33</v>
      </c>
      <c r="B39" s="151" t="s">
        <v>148</v>
      </c>
      <c r="C39" s="152">
        <v>461</v>
      </c>
      <c r="D39" s="151" t="s">
        <v>149</v>
      </c>
      <c r="E39" s="151">
        <v>35000039</v>
      </c>
      <c r="F39" s="153">
        <v>22.88</v>
      </c>
      <c r="G39" s="153">
        <v>9.35</v>
      </c>
      <c r="H39" s="153">
        <v>7.46</v>
      </c>
      <c r="I39" s="153">
        <v>11.28</v>
      </c>
      <c r="J39" s="153">
        <v>3.48</v>
      </c>
      <c r="K39" s="153">
        <v>7</v>
      </c>
      <c r="L39" s="154">
        <f t="shared" si="13"/>
        <v>61.449999999999996</v>
      </c>
      <c r="M39" s="151" t="s">
        <v>543</v>
      </c>
      <c r="N39" s="155"/>
      <c r="O39" s="135"/>
      <c r="P39" s="156">
        <f t="shared" si="1"/>
        <v>1.0964324324324324</v>
      </c>
      <c r="Q39" s="156">
        <f t="shared" si="2"/>
        <v>0.44806133056133052</v>
      </c>
      <c r="R39" s="156">
        <f t="shared" si="3"/>
        <v>0.35749064449064449</v>
      </c>
      <c r="S39" s="156">
        <f t="shared" si="4"/>
        <v>0.54054885654885654</v>
      </c>
      <c r="T39" s="156">
        <f t="shared" si="5"/>
        <v>0.16676507276507277</v>
      </c>
      <c r="U39" s="156">
        <f t="shared" si="6"/>
        <v>0.33544698544698542</v>
      </c>
      <c r="V39" s="157"/>
      <c r="W39" s="135"/>
      <c r="X39" s="158">
        <f t="shared" si="7"/>
        <v>6.3111387678904798E-2</v>
      </c>
      <c r="Y39" s="158">
        <f t="shared" si="8"/>
        <v>2.5790711311090897E-2</v>
      </c>
      <c r="Z39" s="158">
        <f t="shared" si="9"/>
        <v>2.0577401751950601E-2</v>
      </c>
      <c r="AA39" s="158">
        <f t="shared" si="10"/>
        <v>3.1114355464075438E-2</v>
      </c>
      <c r="AB39" s="158">
        <f t="shared" si="11"/>
        <v>9.5991096644488048E-3</v>
      </c>
      <c r="AC39" s="158">
        <f t="shared" si="12"/>
        <v>1.9308553922741851E-2</v>
      </c>
      <c r="AD39" s="135"/>
      <c r="AE39" s="135"/>
      <c r="AF39" s="135"/>
      <c r="AG39" s="135"/>
    </row>
    <row r="40" spans="1:33" ht="15.75" customHeight="1" x14ac:dyDescent="0.3">
      <c r="A40" s="150">
        <v>34</v>
      </c>
      <c r="B40" s="151" t="s">
        <v>12</v>
      </c>
      <c r="C40" s="152">
        <v>1763</v>
      </c>
      <c r="D40" s="151" t="s">
        <v>13</v>
      </c>
      <c r="E40" s="151">
        <v>35000194</v>
      </c>
      <c r="F40" s="153">
        <v>33.18</v>
      </c>
      <c r="G40" s="153">
        <v>14.47</v>
      </c>
      <c r="H40" s="153">
        <v>7</v>
      </c>
      <c r="I40" s="153">
        <v>8.1999999999999993</v>
      </c>
      <c r="J40" s="153">
        <v>3.3</v>
      </c>
      <c r="K40" s="153">
        <v>6.6</v>
      </c>
      <c r="L40" s="154">
        <f t="shared" si="13"/>
        <v>72.749999999999986</v>
      </c>
      <c r="M40" s="151" t="s">
        <v>545</v>
      </c>
      <c r="N40" s="155"/>
      <c r="O40" s="135"/>
      <c r="P40" s="156">
        <f t="shared" si="1"/>
        <v>6.0807006237006229</v>
      </c>
      <c r="Q40" s="156">
        <f t="shared" si="2"/>
        <v>2.6518305613305615</v>
      </c>
      <c r="R40" s="156">
        <f t="shared" si="3"/>
        <v>1.2828482328482329</v>
      </c>
      <c r="S40" s="156">
        <f t="shared" si="4"/>
        <v>1.5027650727650725</v>
      </c>
      <c r="T40" s="156">
        <f t="shared" si="5"/>
        <v>0.60477130977130977</v>
      </c>
      <c r="U40" s="156">
        <f t="shared" si="6"/>
        <v>1.2095426195426195</v>
      </c>
      <c r="V40" s="157"/>
      <c r="W40" s="135"/>
      <c r="X40" s="158">
        <f t="shared" si="7"/>
        <v>0.3500092144942798</v>
      </c>
      <c r="Y40" s="158">
        <f t="shared" si="8"/>
        <v>0.15264114929874109</v>
      </c>
      <c r="Z40" s="158">
        <f t="shared" si="9"/>
        <v>7.3841606433392368E-2</v>
      </c>
      <c r="AA40" s="158">
        <f t="shared" si="10"/>
        <v>8.6500167536259623E-2</v>
      </c>
      <c r="AB40" s="158">
        <f t="shared" si="11"/>
        <v>3.4811043032884972E-2</v>
      </c>
      <c r="AC40" s="158">
        <f t="shared" si="12"/>
        <v>6.9622086065769945E-2</v>
      </c>
      <c r="AD40" s="135"/>
      <c r="AE40" s="135"/>
      <c r="AF40" s="135"/>
      <c r="AG40" s="135"/>
    </row>
    <row r="41" spans="1:33" ht="15.75" customHeight="1" x14ac:dyDescent="0.3">
      <c r="A41" s="150">
        <v>35</v>
      </c>
      <c r="B41" s="151" t="s">
        <v>107</v>
      </c>
      <c r="C41" s="152">
        <v>1378</v>
      </c>
      <c r="D41" s="151" t="s">
        <v>108</v>
      </c>
      <c r="E41" s="151">
        <v>35000095</v>
      </c>
      <c r="F41" s="153">
        <v>20.68</v>
      </c>
      <c r="G41" s="153">
        <v>9.25</v>
      </c>
      <c r="H41" s="153">
        <v>8.0500000000000007</v>
      </c>
      <c r="I41" s="153">
        <v>11.19</v>
      </c>
      <c r="J41" s="153">
        <v>3.5</v>
      </c>
      <c r="K41" s="153">
        <v>7</v>
      </c>
      <c r="L41" s="154">
        <f t="shared" si="13"/>
        <v>59.67</v>
      </c>
      <c r="M41" s="151" t="s">
        <v>543</v>
      </c>
      <c r="N41" s="155"/>
      <c r="O41" s="135"/>
      <c r="P41" s="156">
        <f t="shared" si="1"/>
        <v>2.9622702702702703</v>
      </c>
      <c r="Q41" s="156">
        <f t="shared" si="2"/>
        <v>1.325</v>
      </c>
      <c r="R41" s="156">
        <f t="shared" si="3"/>
        <v>1.1531081081081083</v>
      </c>
      <c r="S41" s="156">
        <f t="shared" si="4"/>
        <v>1.602891891891892</v>
      </c>
      <c r="T41" s="156">
        <f t="shared" si="5"/>
        <v>0.50135135135135134</v>
      </c>
      <c r="U41" s="156">
        <f t="shared" si="6"/>
        <v>1.0027027027027027</v>
      </c>
      <c r="V41" s="161" t="s">
        <v>518</v>
      </c>
      <c r="W41" s="162" t="s">
        <v>263</v>
      </c>
      <c r="X41" s="158">
        <f t="shared" si="7"/>
        <v>0.1705102675793404</v>
      </c>
      <c r="Y41" s="158">
        <f t="shared" si="8"/>
        <v>7.6267890479153708E-2</v>
      </c>
      <c r="Z41" s="158">
        <f t="shared" si="9"/>
        <v>6.6373677660236469E-2</v>
      </c>
      <c r="AA41" s="158">
        <f t="shared" si="10"/>
        <v>9.2263534536403236E-2</v>
      </c>
      <c r="AB41" s="158">
        <f t="shared" si="11"/>
        <v>2.8858120721841941E-2</v>
      </c>
      <c r="AC41" s="158">
        <f t="shared" si="12"/>
        <v>5.7716241443683883E-2</v>
      </c>
      <c r="AD41" s="135"/>
      <c r="AE41" s="135"/>
      <c r="AF41" s="135"/>
      <c r="AG41" s="135"/>
    </row>
    <row r="42" spans="1:33" ht="15.75" customHeight="1" x14ac:dyDescent="0.3">
      <c r="A42" s="18"/>
      <c r="B42" s="163" t="s">
        <v>546</v>
      </c>
      <c r="C42" s="164">
        <f>SUM(C7:C41)</f>
        <v>9620</v>
      </c>
      <c r="D42" s="19"/>
      <c r="E42" s="19"/>
      <c r="F42" s="165"/>
      <c r="G42" s="165"/>
      <c r="H42" s="165"/>
      <c r="I42" s="165"/>
      <c r="J42" s="165"/>
      <c r="K42" s="165"/>
      <c r="L42" s="165"/>
      <c r="M42" s="19"/>
      <c r="N42" s="21"/>
      <c r="O42" s="21"/>
      <c r="P42" s="166">
        <f t="shared" ref="P42:U42" si="14">SUM(P7:P41)</f>
        <v>26.304512474012473</v>
      </c>
      <c r="Q42" s="166">
        <f t="shared" si="14"/>
        <v>12.755363825363823</v>
      </c>
      <c r="R42" s="166">
        <f t="shared" si="14"/>
        <v>6.3616746361746355</v>
      </c>
      <c r="S42" s="166">
        <f t="shared" si="14"/>
        <v>8.5960239085239074</v>
      </c>
      <c r="T42" s="166">
        <f t="shared" si="14"/>
        <v>3.2766174636174634</v>
      </c>
      <c r="U42" s="166">
        <f t="shared" si="14"/>
        <v>5.0596621621621614</v>
      </c>
      <c r="V42" s="167">
        <f>SUM(P42:U42)</f>
        <v>62.353854469854468</v>
      </c>
      <c r="W42" s="135">
        <f>(P42/45)*100</f>
        <v>58.454472164472158</v>
      </c>
      <c r="X42" s="133"/>
      <c r="Y42" s="133"/>
      <c r="Z42" s="133"/>
      <c r="AA42" s="133"/>
      <c r="AB42" s="133"/>
      <c r="AC42" s="133"/>
      <c r="AD42" s="135"/>
      <c r="AE42" s="135"/>
      <c r="AF42" s="135"/>
      <c r="AG42" s="135"/>
    </row>
    <row r="43" spans="1:33" ht="14.25" customHeight="1" x14ac:dyDescent="0.3">
      <c r="A43" s="168" t="s">
        <v>236</v>
      </c>
      <c r="B43" s="243" t="s">
        <v>237</v>
      </c>
      <c r="C43" s="229"/>
      <c r="D43" s="229"/>
      <c r="E43" s="230"/>
      <c r="F43" s="169"/>
      <c r="G43" s="169"/>
      <c r="H43" s="169"/>
      <c r="I43" s="169"/>
      <c r="J43" s="169"/>
      <c r="K43" s="169"/>
      <c r="L43" s="170">
        <f t="shared" ref="L43:L62" si="15">+SUM(F43:K43)</f>
        <v>0</v>
      </c>
      <c r="M43" s="168"/>
      <c r="N43" s="171"/>
      <c r="O43" s="1"/>
      <c r="P43" s="148"/>
      <c r="Q43" s="148"/>
      <c r="R43" s="148"/>
      <c r="S43" s="148"/>
      <c r="T43" s="148"/>
      <c r="U43" s="148"/>
      <c r="V43" s="148"/>
      <c r="W43" s="1"/>
      <c r="X43" s="149"/>
      <c r="Y43" s="149"/>
      <c r="Z43" s="149"/>
      <c r="AA43" s="149"/>
      <c r="AB43" s="149"/>
      <c r="AC43" s="149"/>
      <c r="AD43" s="1"/>
      <c r="AE43" s="1"/>
      <c r="AF43" s="1"/>
      <c r="AG43" s="1"/>
    </row>
    <row r="44" spans="1:33" ht="15.75" customHeight="1" x14ac:dyDescent="0.3">
      <c r="A44" s="44">
        <v>1</v>
      </c>
      <c r="B44" s="45" t="s">
        <v>131</v>
      </c>
      <c r="C44" s="46">
        <v>1926</v>
      </c>
      <c r="D44" s="45" t="s">
        <v>132</v>
      </c>
      <c r="E44" s="45">
        <v>35000020</v>
      </c>
      <c r="F44" s="172">
        <v>29.94</v>
      </c>
      <c r="G44" s="173">
        <v>11.67</v>
      </c>
      <c r="H44" s="173">
        <v>4.5</v>
      </c>
      <c r="I44" s="173">
        <v>7.62</v>
      </c>
      <c r="J44" s="173">
        <v>3.5</v>
      </c>
      <c r="K44" s="173">
        <v>4.76</v>
      </c>
      <c r="L44" s="170">
        <f t="shared" si="15"/>
        <v>61.989999999999995</v>
      </c>
      <c r="M44" s="45" t="s">
        <v>547</v>
      </c>
      <c r="N44" s="47"/>
      <c r="O44" s="135"/>
      <c r="P44" s="156">
        <f t="shared" ref="P44:P59" si="16">(F44*C44)/$C$63</f>
        <v>3.4836247205944542</v>
      </c>
      <c r="Q44" s="156">
        <f t="shared" ref="Q44:Q62" si="17">(G44*C44)/$C$63</f>
        <v>1.3578457077266959</v>
      </c>
      <c r="R44" s="156">
        <f t="shared" ref="R44:R62" si="18">(H44*C44)/$C$63</f>
        <v>0.5235908898689059</v>
      </c>
      <c r="S44" s="156">
        <f t="shared" ref="S44:S62" si="19">(I44*C44)/$C$63</f>
        <v>0.88661390684468078</v>
      </c>
      <c r="T44" s="156">
        <f t="shared" ref="T44:T62" si="20">(J44*C44)/$C$63</f>
        <v>0.40723735878692685</v>
      </c>
      <c r="U44" s="156">
        <f t="shared" ref="U44:U62" si="21">(K44*C44)/$C$63</f>
        <v>0.55384280795022056</v>
      </c>
      <c r="V44" s="157"/>
      <c r="W44" s="135"/>
      <c r="X44" s="158">
        <f t="shared" ref="X44:X62" si="22">(F44*C44)/$C$202</f>
        <v>0.34503159255181659</v>
      </c>
      <c r="Y44" s="158">
        <f t="shared" ref="Y44:Y62" si="23">(G44*C44)/$C$202</f>
        <v>0.13448626202671005</v>
      </c>
      <c r="Z44" s="158">
        <f t="shared" ref="Z44:Z62" si="24">(H44*C44)/$C$202</f>
        <v>5.1858455794361207E-2</v>
      </c>
      <c r="AA44" s="158">
        <f t="shared" ref="AA44:AA62" si="25">(I44*C44)/$C$202</f>
        <v>8.7813651811784979E-2</v>
      </c>
      <c r="AB44" s="158">
        <f t="shared" ref="AB44:AB62" si="26">(J44*C44)/$C$202</f>
        <v>4.0334354506725387E-2</v>
      </c>
      <c r="AC44" s="158">
        <f t="shared" ref="AC44:AC62" si="27">(K44*C44)/$C$202</f>
        <v>5.4854722129146521E-2</v>
      </c>
      <c r="AD44" s="135"/>
      <c r="AE44" s="135"/>
      <c r="AF44" s="135"/>
      <c r="AG44" s="135"/>
    </row>
    <row r="45" spans="1:33" ht="15.75" customHeight="1" x14ac:dyDescent="0.3">
      <c r="A45" s="44">
        <v>2</v>
      </c>
      <c r="B45" s="45" t="s">
        <v>136</v>
      </c>
      <c r="C45" s="46">
        <v>2946</v>
      </c>
      <c r="D45" s="45" t="s">
        <v>132</v>
      </c>
      <c r="E45" s="45">
        <v>35000023</v>
      </c>
      <c r="F45" s="174">
        <v>30.54</v>
      </c>
      <c r="G45" s="174">
        <v>12.09</v>
      </c>
      <c r="H45" s="174">
        <v>4.5</v>
      </c>
      <c r="I45" s="174">
        <v>6.02</v>
      </c>
      <c r="J45" s="174">
        <v>2.9</v>
      </c>
      <c r="K45" s="174">
        <v>4.76</v>
      </c>
      <c r="L45" s="170">
        <f t="shared" si="15"/>
        <v>60.809999999999988</v>
      </c>
      <c r="M45" s="45" t="s">
        <v>545</v>
      </c>
      <c r="N45" s="47"/>
      <c r="O45" s="135"/>
      <c r="P45" s="156">
        <f t="shared" si="16"/>
        <v>5.4353192774723613</v>
      </c>
      <c r="Q45" s="156">
        <f t="shared" si="17"/>
        <v>2.1517030145592941</v>
      </c>
      <c r="R45" s="156">
        <f t="shared" si="18"/>
        <v>0.80088201534465053</v>
      </c>
      <c r="S45" s="156">
        <f t="shared" si="19"/>
        <v>1.0714021627499546</v>
      </c>
      <c r="T45" s="156">
        <f t="shared" si="20"/>
        <v>0.51612396544433026</v>
      </c>
      <c r="U45" s="156">
        <f t="shared" si="21"/>
        <v>0.84715519845345244</v>
      </c>
      <c r="V45" s="157"/>
      <c r="W45" s="135"/>
      <c r="X45" s="158">
        <f t="shared" si="22"/>
        <v>0.53833492891675838</v>
      </c>
      <c r="Y45" s="158">
        <f t="shared" si="23"/>
        <v>0.21311294337274425</v>
      </c>
      <c r="Z45" s="158">
        <f t="shared" si="24"/>
        <v>7.9322435498540039E-2</v>
      </c>
      <c r="AA45" s="158">
        <f t="shared" si="25"/>
        <v>0.10611579148915801</v>
      </c>
      <c r="AB45" s="158">
        <f t="shared" si="26"/>
        <v>5.1118902876836916E-2</v>
      </c>
      <c r="AC45" s="158">
        <f t="shared" si="27"/>
        <v>8.3905509549566798E-2</v>
      </c>
      <c r="AD45" s="135"/>
      <c r="AE45" s="135"/>
      <c r="AF45" s="135"/>
      <c r="AG45" s="135"/>
    </row>
    <row r="46" spans="1:33" ht="15.75" customHeight="1" x14ac:dyDescent="0.3">
      <c r="A46" s="44">
        <v>3</v>
      </c>
      <c r="B46" s="45" t="s">
        <v>150</v>
      </c>
      <c r="C46" s="46">
        <v>369</v>
      </c>
      <c r="D46" s="45" t="s">
        <v>151</v>
      </c>
      <c r="E46" s="45">
        <v>35000040</v>
      </c>
      <c r="F46" s="174">
        <v>30.28</v>
      </c>
      <c r="G46" s="174">
        <v>12.7</v>
      </c>
      <c r="H46" s="174">
        <v>5.8</v>
      </c>
      <c r="I46" s="174">
        <v>10.15</v>
      </c>
      <c r="J46" s="174">
        <v>3.18</v>
      </c>
      <c r="K46" s="174">
        <v>3.96</v>
      </c>
      <c r="L46" s="170">
        <f t="shared" si="15"/>
        <v>66.069999999999993</v>
      </c>
      <c r="M46" s="45" t="s">
        <v>545</v>
      </c>
      <c r="N46" s="47"/>
      <c r="O46" s="135"/>
      <c r="P46" s="156">
        <f t="shared" si="16"/>
        <v>0.6750027185404458</v>
      </c>
      <c r="Q46" s="156">
        <f t="shared" si="17"/>
        <v>0.28310880202984356</v>
      </c>
      <c r="R46" s="156">
        <f t="shared" si="18"/>
        <v>0.12929378360418051</v>
      </c>
      <c r="S46" s="156">
        <f t="shared" si="19"/>
        <v>0.22626412130731588</v>
      </c>
      <c r="T46" s="156">
        <f t="shared" si="20"/>
        <v>7.0888660665740358E-2</v>
      </c>
      <c r="U46" s="156">
        <f t="shared" si="21"/>
        <v>8.8276445357337044E-2</v>
      </c>
      <c r="V46" s="157"/>
      <c r="W46" s="135"/>
      <c r="X46" s="158">
        <f t="shared" si="22"/>
        <v>6.6854865731654778E-2</v>
      </c>
      <c r="Y46" s="158">
        <f t="shared" si="23"/>
        <v>2.8040184768560624E-2</v>
      </c>
      <c r="Z46" s="158">
        <f t="shared" si="24"/>
        <v>1.2805753673830834E-2</v>
      </c>
      <c r="AA46" s="158">
        <f t="shared" si="25"/>
        <v>2.2410068929203962E-2</v>
      </c>
      <c r="AB46" s="158">
        <f t="shared" si="26"/>
        <v>7.0210856349624245E-3</v>
      </c>
      <c r="AC46" s="158">
        <f t="shared" si="27"/>
        <v>8.7432387152362265E-3</v>
      </c>
      <c r="AD46" s="135"/>
      <c r="AE46" s="135"/>
      <c r="AF46" s="135"/>
      <c r="AG46" s="135"/>
    </row>
    <row r="47" spans="1:33" ht="15.75" customHeight="1" x14ac:dyDescent="0.3">
      <c r="A47" s="44">
        <v>4</v>
      </c>
      <c r="B47" s="45" t="s">
        <v>152</v>
      </c>
      <c r="C47" s="46">
        <v>281</v>
      </c>
      <c r="D47" s="45" t="s">
        <v>151</v>
      </c>
      <c r="E47" s="45">
        <v>35000041</v>
      </c>
      <c r="F47" s="174">
        <v>16.149999999999999</v>
      </c>
      <c r="G47" s="174">
        <v>7.5</v>
      </c>
      <c r="H47" s="174">
        <v>7.52</v>
      </c>
      <c r="I47" s="174">
        <v>10.029999999999999</v>
      </c>
      <c r="J47" s="174">
        <v>3.45</v>
      </c>
      <c r="K47" s="174">
        <v>6.6</v>
      </c>
      <c r="L47" s="170">
        <f t="shared" si="15"/>
        <v>51.25</v>
      </c>
      <c r="M47" s="45" t="s">
        <v>545</v>
      </c>
      <c r="N47" s="47"/>
      <c r="O47" s="135"/>
      <c r="P47" s="156">
        <f t="shared" si="16"/>
        <v>0.27415876276203704</v>
      </c>
      <c r="Q47" s="156">
        <f t="shared" si="17"/>
        <v>0.12731831088020298</v>
      </c>
      <c r="R47" s="156">
        <f t="shared" si="18"/>
        <v>0.12765782637588352</v>
      </c>
      <c r="S47" s="156">
        <f t="shared" si="19"/>
        <v>0.17026702108379144</v>
      </c>
      <c r="T47" s="156">
        <f t="shared" si="20"/>
        <v>5.8566423004893377E-2</v>
      </c>
      <c r="U47" s="156">
        <f t="shared" si="21"/>
        <v>0.11204011357457862</v>
      </c>
      <c r="V47" s="157"/>
      <c r="W47" s="135"/>
      <c r="X47" s="158">
        <f t="shared" si="22"/>
        <v>2.7153738451964959E-2</v>
      </c>
      <c r="Y47" s="158">
        <f t="shared" si="23"/>
        <v>1.2610095256330478E-2</v>
      </c>
      <c r="Z47" s="158">
        <f t="shared" si="24"/>
        <v>1.2643722177014025E-2</v>
      </c>
      <c r="AA47" s="158">
        <f t="shared" si="25"/>
        <v>1.686390072279929E-2</v>
      </c>
      <c r="AB47" s="158">
        <f t="shared" si="26"/>
        <v>5.8006438179120197E-3</v>
      </c>
      <c r="AC47" s="158">
        <f t="shared" si="27"/>
        <v>1.109688382557082E-2</v>
      </c>
      <c r="AD47" s="135"/>
      <c r="AE47" s="135"/>
      <c r="AF47" s="135"/>
      <c r="AG47" s="135"/>
    </row>
    <row r="48" spans="1:33" ht="15.75" customHeight="1" x14ac:dyDescent="0.3">
      <c r="A48" s="44">
        <v>5</v>
      </c>
      <c r="B48" s="45" t="s">
        <v>153</v>
      </c>
      <c r="C48" s="46">
        <v>332</v>
      </c>
      <c r="D48" s="45" t="s">
        <v>151</v>
      </c>
      <c r="E48" s="45">
        <v>35000042</v>
      </c>
      <c r="F48" s="174">
        <v>29.52</v>
      </c>
      <c r="G48" s="174">
        <v>14.49</v>
      </c>
      <c r="H48" s="174">
        <v>7.64</v>
      </c>
      <c r="I48" s="174">
        <v>11.66</v>
      </c>
      <c r="J48" s="174">
        <v>3.88</v>
      </c>
      <c r="K48" s="174">
        <v>7.69</v>
      </c>
      <c r="L48" s="170">
        <f t="shared" si="15"/>
        <v>74.88</v>
      </c>
      <c r="M48" s="45" t="s">
        <v>543</v>
      </c>
      <c r="N48" s="47"/>
      <c r="O48" s="135"/>
      <c r="P48" s="156">
        <f t="shared" si="16"/>
        <v>0.59207636078052317</v>
      </c>
      <c r="Q48" s="156">
        <f t="shared" si="17"/>
        <v>0.29062284782214703</v>
      </c>
      <c r="R48" s="156">
        <f t="shared" si="18"/>
        <v>0.15323385489035221</v>
      </c>
      <c r="S48" s="156">
        <f t="shared" si="19"/>
        <v>0.23386213979339093</v>
      </c>
      <c r="T48" s="156">
        <f t="shared" si="20"/>
        <v>7.7820334682534881E-2</v>
      </c>
      <c r="U48" s="156">
        <f t="shared" si="21"/>
        <v>0.15423669425481784</v>
      </c>
      <c r="V48" s="157"/>
      <c r="W48" s="135"/>
      <c r="X48" s="158">
        <f t="shared" si="22"/>
        <v>5.8641520271887411E-2</v>
      </c>
      <c r="Y48" s="158">
        <f t="shared" si="23"/>
        <v>2.8784404767603276E-2</v>
      </c>
      <c r="Z48" s="158">
        <f t="shared" si="24"/>
        <v>1.5176870422670049E-2</v>
      </c>
      <c r="AA48" s="158">
        <f t="shared" si="25"/>
        <v>2.3162605906849838E-2</v>
      </c>
      <c r="AB48" s="158">
        <f t="shared" si="26"/>
        <v>7.7076252931884536E-3</v>
      </c>
      <c r="AC48" s="158">
        <f t="shared" si="27"/>
        <v>1.527619549088124E-2</v>
      </c>
      <c r="AD48" s="135"/>
      <c r="AE48" s="135"/>
      <c r="AF48" s="135"/>
      <c r="AG48" s="135"/>
    </row>
    <row r="49" spans="1:33" ht="15.75" customHeight="1" x14ac:dyDescent="0.3">
      <c r="A49" s="44">
        <v>6</v>
      </c>
      <c r="B49" s="45" t="s">
        <v>154</v>
      </c>
      <c r="C49" s="46">
        <v>108</v>
      </c>
      <c r="D49" s="45" t="s">
        <v>151</v>
      </c>
      <c r="E49" s="45">
        <v>35000043</v>
      </c>
      <c r="F49" s="174">
        <v>28.53</v>
      </c>
      <c r="G49" s="174">
        <v>10.52</v>
      </c>
      <c r="H49" s="174">
        <v>7.37</v>
      </c>
      <c r="I49" s="174">
        <v>11.15</v>
      </c>
      <c r="J49" s="174">
        <v>3.8</v>
      </c>
      <c r="K49" s="174">
        <v>7</v>
      </c>
      <c r="L49" s="170">
        <f t="shared" si="15"/>
        <v>68.36999999999999</v>
      </c>
      <c r="M49" s="45" t="s">
        <v>545</v>
      </c>
      <c r="N49" s="47"/>
      <c r="O49" s="135"/>
      <c r="P49" s="156">
        <f t="shared" si="16"/>
        <v>0.18614390140759984</v>
      </c>
      <c r="Q49" s="156">
        <f t="shared" si="17"/>
        <v>6.8637709176584294E-2</v>
      </c>
      <c r="R49" s="156">
        <f t="shared" si="18"/>
        <v>4.8085543406029121E-2</v>
      </c>
      <c r="S49" s="156">
        <f t="shared" si="19"/>
        <v>7.2748142330695348E-2</v>
      </c>
      <c r="T49" s="156">
        <f t="shared" si="20"/>
        <v>2.4793088866066574E-2</v>
      </c>
      <c r="U49" s="156">
        <f t="shared" si="21"/>
        <v>4.5671479490122638E-2</v>
      </c>
      <c r="V49" s="157"/>
      <c r="W49" s="135"/>
      <c r="X49" s="158">
        <f t="shared" si="22"/>
        <v>1.8436408022593463E-2</v>
      </c>
      <c r="Y49" s="158">
        <f t="shared" si="23"/>
        <v>6.7981427408932071E-3</v>
      </c>
      <c r="Z49" s="158">
        <f t="shared" si="24"/>
        <v>4.7625771863481882E-3</v>
      </c>
      <c r="AA49" s="158">
        <f t="shared" si="25"/>
        <v>7.2052558518022119E-3</v>
      </c>
      <c r="AB49" s="158">
        <f t="shared" si="26"/>
        <v>2.4556028911971663E-3</v>
      </c>
      <c r="AC49" s="158">
        <f t="shared" si="27"/>
        <v>4.5234790101000427E-3</v>
      </c>
      <c r="AD49" s="135"/>
      <c r="AE49" s="135"/>
      <c r="AF49" s="135"/>
      <c r="AG49" s="135"/>
    </row>
    <row r="50" spans="1:33" ht="15.75" customHeight="1" x14ac:dyDescent="0.3">
      <c r="A50" s="44">
        <v>7</v>
      </c>
      <c r="B50" s="45" t="s">
        <v>155</v>
      </c>
      <c r="C50" s="46">
        <v>98</v>
      </c>
      <c r="D50" s="45" t="s">
        <v>151</v>
      </c>
      <c r="E50" s="45">
        <v>35000044</v>
      </c>
      <c r="F50" s="174">
        <v>24.05</v>
      </c>
      <c r="G50" s="174">
        <v>13.96</v>
      </c>
      <c r="H50" s="174">
        <v>7.62</v>
      </c>
      <c r="I50" s="174">
        <v>11.06</v>
      </c>
      <c r="J50" s="174">
        <v>3.8</v>
      </c>
      <c r="K50" s="174">
        <v>7</v>
      </c>
      <c r="L50" s="170">
        <f t="shared" si="15"/>
        <v>67.490000000000009</v>
      </c>
      <c r="M50" s="45" t="s">
        <v>545</v>
      </c>
      <c r="N50" s="47"/>
      <c r="O50" s="135"/>
      <c r="P50" s="156">
        <f t="shared" si="16"/>
        <v>0.14238506615115085</v>
      </c>
      <c r="Q50" s="156">
        <f t="shared" si="17"/>
        <v>8.2648462514347862E-2</v>
      </c>
      <c r="R50" s="156">
        <f t="shared" si="18"/>
        <v>4.5113272518576691E-2</v>
      </c>
      <c r="S50" s="156">
        <f t="shared" si="19"/>
        <v>6.5479369298616572E-2</v>
      </c>
      <c r="T50" s="156">
        <f t="shared" si="20"/>
        <v>2.2497432489578927E-2</v>
      </c>
      <c r="U50" s="156">
        <f t="shared" si="21"/>
        <v>4.1442638796592761E-2</v>
      </c>
      <c r="V50" s="157"/>
      <c r="W50" s="135"/>
      <c r="X50" s="158">
        <f t="shared" si="22"/>
        <v>1.4102364654635968E-2</v>
      </c>
      <c r="Y50" s="158">
        <f t="shared" si="23"/>
        <v>8.1858216456847464E-3</v>
      </c>
      <c r="Z50" s="158">
        <f t="shared" si="24"/>
        <v>4.4681920444210425E-3</v>
      </c>
      <c r="AA50" s="158">
        <f t="shared" si="25"/>
        <v>6.4853286104063958E-3</v>
      </c>
      <c r="AB50" s="158">
        <f t="shared" si="26"/>
        <v>2.2282322531233544E-3</v>
      </c>
      <c r="AC50" s="158">
        <f t="shared" si="27"/>
        <v>4.104638361016706E-3</v>
      </c>
      <c r="AD50" s="135"/>
      <c r="AE50" s="135"/>
      <c r="AF50" s="135"/>
      <c r="AG50" s="135"/>
    </row>
    <row r="51" spans="1:33" ht="15.75" customHeight="1" x14ac:dyDescent="0.3">
      <c r="A51" s="44">
        <v>8</v>
      </c>
      <c r="B51" s="45" t="s">
        <v>156</v>
      </c>
      <c r="C51" s="46">
        <v>245</v>
      </c>
      <c r="D51" s="45" t="s">
        <v>151</v>
      </c>
      <c r="E51" s="45">
        <v>35000200</v>
      </c>
      <c r="F51" s="174">
        <v>23.13</v>
      </c>
      <c r="G51" s="174">
        <v>14.04</v>
      </c>
      <c r="H51" s="174">
        <v>7.44</v>
      </c>
      <c r="I51" s="174">
        <v>11.1</v>
      </c>
      <c r="J51" s="174">
        <v>3.88</v>
      </c>
      <c r="K51" s="174">
        <v>7</v>
      </c>
      <c r="L51" s="170">
        <f t="shared" si="15"/>
        <v>66.59</v>
      </c>
      <c r="M51" s="45" t="s">
        <v>545</v>
      </c>
      <c r="N51" s="47"/>
      <c r="O51" s="135"/>
      <c r="P51" s="156">
        <f t="shared" si="16"/>
        <v>0.34234579834471091</v>
      </c>
      <c r="Q51" s="156">
        <f t="shared" si="17"/>
        <v>0.20780523168005799</v>
      </c>
      <c r="R51" s="156">
        <f t="shared" si="18"/>
        <v>0.11011901165951793</v>
      </c>
      <c r="S51" s="156">
        <f t="shared" si="19"/>
        <v>0.16429046094363559</v>
      </c>
      <c r="T51" s="156">
        <f t="shared" si="20"/>
        <v>5.7427656618135689E-2</v>
      </c>
      <c r="U51" s="156">
        <f t="shared" si="21"/>
        <v>0.10360659699148191</v>
      </c>
      <c r="V51" s="157"/>
      <c r="W51" s="135"/>
      <c r="X51" s="158">
        <f t="shared" si="22"/>
        <v>3.3907244746541568E-2</v>
      </c>
      <c r="Y51" s="158">
        <f t="shared" si="23"/>
        <v>2.0581829495955193E-2</v>
      </c>
      <c r="Z51" s="158">
        <f t="shared" si="24"/>
        <v>1.0906610502130105E-2</v>
      </c>
      <c r="AA51" s="158">
        <f t="shared" si="25"/>
        <v>1.6271959216887656E-2</v>
      </c>
      <c r="AB51" s="158">
        <f t="shared" si="26"/>
        <v>5.6878560145517208E-3</v>
      </c>
      <c r="AC51" s="158">
        <f t="shared" si="27"/>
        <v>1.0261595902541764E-2</v>
      </c>
      <c r="AD51" s="135"/>
      <c r="AE51" s="135"/>
      <c r="AF51" s="135"/>
      <c r="AG51" s="135"/>
    </row>
    <row r="52" spans="1:33" ht="15.75" customHeight="1" x14ac:dyDescent="0.3">
      <c r="A52" s="44">
        <v>9</v>
      </c>
      <c r="B52" s="45" t="s">
        <v>157</v>
      </c>
      <c r="C52" s="46">
        <v>113</v>
      </c>
      <c r="D52" s="45" t="s">
        <v>151</v>
      </c>
      <c r="E52" s="45">
        <v>35000206</v>
      </c>
      <c r="F52" s="174">
        <v>13.38</v>
      </c>
      <c r="G52" s="174">
        <v>14.63</v>
      </c>
      <c r="H52" s="174">
        <v>7.77</v>
      </c>
      <c r="I52" s="174">
        <v>10.76</v>
      </c>
      <c r="J52" s="174">
        <v>3.73</v>
      </c>
      <c r="K52" s="174">
        <v>7</v>
      </c>
      <c r="L52" s="170">
        <f t="shared" si="15"/>
        <v>57.269999999999996</v>
      </c>
      <c r="M52" s="45" t="s">
        <v>545</v>
      </c>
      <c r="N52" s="47"/>
      <c r="O52" s="135"/>
      <c r="P52" s="156">
        <f t="shared" si="16"/>
        <v>9.1339334259650823E-2</v>
      </c>
      <c r="Q52" s="156">
        <f t="shared" si="17"/>
        <v>9.987253065909503E-2</v>
      </c>
      <c r="R52" s="156">
        <f t="shared" si="18"/>
        <v>5.3042348818945206E-2</v>
      </c>
      <c r="S52" s="156">
        <f t="shared" si="19"/>
        <v>7.3453754606415747E-2</v>
      </c>
      <c r="T52" s="156">
        <f t="shared" si="20"/>
        <v>2.5463058055941522E-2</v>
      </c>
      <c r="U52" s="156">
        <f t="shared" si="21"/>
        <v>4.7785899836887573E-2</v>
      </c>
      <c r="V52" s="157"/>
      <c r="W52" s="135"/>
      <c r="X52" s="158">
        <f t="shared" si="22"/>
        <v>9.0465990139294433E-3</v>
      </c>
      <c r="Y52" s="158">
        <f t="shared" si="23"/>
        <v>9.8917596094011771E-3</v>
      </c>
      <c r="Z52" s="158">
        <f t="shared" si="24"/>
        <v>5.2535182614523003E-3</v>
      </c>
      <c r="AA52" s="158">
        <f t="shared" si="25"/>
        <v>7.2751424058206879E-3</v>
      </c>
      <c r="AB52" s="158">
        <f t="shared" si="26"/>
        <v>2.5219592168876552E-3</v>
      </c>
      <c r="AC52" s="158">
        <f t="shared" si="27"/>
        <v>4.7328993346417115E-3</v>
      </c>
      <c r="AD52" s="135"/>
      <c r="AE52" s="135"/>
      <c r="AF52" s="135"/>
      <c r="AG52" s="135"/>
    </row>
    <row r="53" spans="1:33" ht="15.75" customHeight="1" x14ac:dyDescent="0.3">
      <c r="A53" s="44">
        <v>10</v>
      </c>
      <c r="B53" s="45" t="s">
        <v>158</v>
      </c>
      <c r="C53" s="46">
        <v>69</v>
      </c>
      <c r="D53" s="45" t="s">
        <v>151</v>
      </c>
      <c r="E53" s="45">
        <v>35000202</v>
      </c>
      <c r="F53" s="174">
        <v>23.57</v>
      </c>
      <c r="G53" s="174">
        <v>13.47</v>
      </c>
      <c r="H53" s="174">
        <v>7.59</v>
      </c>
      <c r="I53" s="174">
        <v>11.34</v>
      </c>
      <c r="J53" s="174">
        <v>3.8</v>
      </c>
      <c r="K53" s="174">
        <v>7.45</v>
      </c>
      <c r="L53" s="170">
        <f t="shared" si="15"/>
        <v>67.22</v>
      </c>
      <c r="M53" s="45" t="s">
        <v>545</v>
      </c>
      <c r="N53" s="47"/>
      <c r="O53" s="135"/>
      <c r="P53" s="156">
        <f t="shared" si="16"/>
        <v>9.82498640729777E-2</v>
      </c>
      <c r="Q53" s="156">
        <f t="shared" si="17"/>
        <v>5.614873436839244E-2</v>
      </c>
      <c r="R53" s="156">
        <f t="shared" si="18"/>
        <v>3.1638373708693289E-2</v>
      </c>
      <c r="S53" s="156">
        <f t="shared" si="19"/>
        <v>4.7269981272276933E-2</v>
      </c>
      <c r="T53" s="156">
        <f t="shared" si="20"/>
        <v>1.5840028997764755E-2</v>
      </c>
      <c r="U53" s="156">
        <f t="shared" si="21"/>
        <v>3.1054793692986169E-2</v>
      </c>
      <c r="V53" s="157"/>
      <c r="W53" s="135"/>
      <c r="X53" s="158">
        <f t="shared" si="22"/>
        <v>9.7310444689100561E-3</v>
      </c>
      <c r="Y53" s="158">
        <f t="shared" si="23"/>
        <v>5.561186635393232E-3</v>
      </c>
      <c r="Z53" s="158">
        <f t="shared" si="24"/>
        <v>3.1335862333062088E-3</v>
      </c>
      <c r="AA53" s="158">
        <f t="shared" si="25"/>
        <v>4.681800775453545E-3</v>
      </c>
      <c r="AB53" s="158">
        <f t="shared" si="26"/>
        <v>1.5688574027093007E-3</v>
      </c>
      <c r="AC53" s="158">
        <f t="shared" si="27"/>
        <v>3.0757862237327082E-3</v>
      </c>
      <c r="AD53" s="135"/>
      <c r="AE53" s="135"/>
      <c r="AF53" s="135"/>
      <c r="AG53" s="135"/>
    </row>
    <row r="54" spans="1:33" ht="15.75" customHeight="1" x14ac:dyDescent="0.3">
      <c r="A54" s="44">
        <v>11</v>
      </c>
      <c r="B54" s="45" t="s">
        <v>159</v>
      </c>
      <c r="C54" s="46">
        <v>38</v>
      </c>
      <c r="D54" s="45" t="s">
        <v>151</v>
      </c>
      <c r="E54" s="45">
        <v>35000203</v>
      </c>
      <c r="F54" s="174">
        <v>24.48</v>
      </c>
      <c r="G54" s="174">
        <v>13.36</v>
      </c>
      <c r="H54" s="174">
        <v>7.54</v>
      </c>
      <c r="I54" s="174">
        <v>11.4</v>
      </c>
      <c r="J54" s="174">
        <v>3.88</v>
      </c>
      <c r="K54" s="174">
        <v>7.6</v>
      </c>
      <c r="L54" s="170">
        <f t="shared" si="15"/>
        <v>68.260000000000005</v>
      </c>
      <c r="M54" s="45" t="s">
        <v>545</v>
      </c>
      <c r="N54" s="47"/>
      <c r="O54" s="135"/>
      <c r="P54" s="156">
        <f t="shared" si="16"/>
        <v>5.6197668096417568E-2</v>
      </c>
      <c r="Q54" s="156">
        <f t="shared" si="17"/>
        <v>3.0669969189874944E-2</v>
      </c>
      <c r="R54" s="156">
        <f t="shared" si="18"/>
        <v>1.7309249078716848E-2</v>
      </c>
      <c r="S54" s="156">
        <f t="shared" si="19"/>
        <v>2.6170482691959162E-2</v>
      </c>
      <c r="T54" s="156">
        <f t="shared" si="20"/>
        <v>8.9071467407720647E-3</v>
      </c>
      <c r="U54" s="156">
        <f t="shared" si="21"/>
        <v>1.7446988461306108E-2</v>
      </c>
      <c r="V54" s="157"/>
      <c r="W54" s="135"/>
      <c r="X54" s="158">
        <f t="shared" si="22"/>
        <v>5.5660332200469101E-3</v>
      </c>
      <c r="Y54" s="158">
        <f t="shared" si="23"/>
        <v>3.037671724666124E-3</v>
      </c>
      <c r="Z54" s="158">
        <f t="shared" si="24"/>
        <v>1.7143746110765401E-3</v>
      </c>
      <c r="AA54" s="158">
        <f t="shared" si="25"/>
        <v>2.5920252740414531E-3</v>
      </c>
      <c r="AB54" s="158">
        <f t="shared" si="26"/>
        <v>8.821980757263893E-4</v>
      </c>
      <c r="AC54" s="158">
        <f t="shared" si="27"/>
        <v>1.7280168493609689E-3</v>
      </c>
      <c r="AD54" s="135"/>
      <c r="AE54" s="135"/>
      <c r="AF54" s="135"/>
      <c r="AG54" s="135"/>
    </row>
    <row r="55" spans="1:33" ht="15.75" customHeight="1" x14ac:dyDescent="0.3">
      <c r="A55" s="44">
        <v>12</v>
      </c>
      <c r="B55" s="45" t="s">
        <v>48</v>
      </c>
      <c r="C55" s="46">
        <v>1637</v>
      </c>
      <c r="D55" s="45" t="s">
        <v>49</v>
      </c>
      <c r="E55" s="45">
        <v>35000096</v>
      </c>
      <c r="F55" s="174">
        <v>34.93</v>
      </c>
      <c r="G55" s="174">
        <v>12.5</v>
      </c>
      <c r="H55" s="174">
        <v>7.29</v>
      </c>
      <c r="I55" s="174">
        <v>11.49</v>
      </c>
      <c r="J55" s="174">
        <v>4.03</v>
      </c>
      <c r="K55" s="174">
        <v>7.68</v>
      </c>
      <c r="L55" s="170">
        <f t="shared" si="15"/>
        <v>77.919999999999987</v>
      </c>
      <c r="M55" s="45" t="s">
        <v>545</v>
      </c>
      <c r="N55" s="47"/>
      <c r="O55" s="135"/>
      <c r="P55" s="156">
        <f t="shared" si="16"/>
        <v>3.454383495438893</v>
      </c>
      <c r="Q55" s="156">
        <f t="shared" si="17"/>
        <v>1.2361807527336435</v>
      </c>
      <c r="R55" s="156">
        <f t="shared" si="18"/>
        <v>0.72094061499426088</v>
      </c>
      <c r="S55" s="156">
        <f t="shared" si="19"/>
        <v>1.1362973479127652</v>
      </c>
      <c r="T55" s="156">
        <f t="shared" si="20"/>
        <v>0.3985446746813267</v>
      </c>
      <c r="U55" s="156">
        <f t="shared" si="21"/>
        <v>0.75950945447955054</v>
      </c>
      <c r="V55" s="157"/>
      <c r="W55" s="135"/>
      <c r="X55" s="158">
        <f t="shared" si="22"/>
        <v>0.34213542913216216</v>
      </c>
      <c r="Y55" s="158">
        <f t="shared" si="23"/>
        <v>0.12243609688382558</v>
      </c>
      <c r="Z55" s="158">
        <f t="shared" si="24"/>
        <v>7.1404731702647065E-2</v>
      </c>
      <c r="AA55" s="158">
        <f t="shared" si="25"/>
        <v>0.11254326025561247</v>
      </c>
      <c r="AB55" s="158">
        <f t="shared" si="26"/>
        <v>3.9473397635345367E-2</v>
      </c>
      <c r="AC55" s="158">
        <f t="shared" si="27"/>
        <v>7.5224737925422433E-2</v>
      </c>
      <c r="AD55" s="135"/>
      <c r="AE55" s="135"/>
      <c r="AF55" s="135"/>
      <c r="AG55" s="135"/>
    </row>
    <row r="56" spans="1:33" ht="15.75" customHeight="1" x14ac:dyDescent="0.3">
      <c r="A56" s="44">
        <v>13</v>
      </c>
      <c r="B56" s="45" t="s">
        <v>50</v>
      </c>
      <c r="C56" s="46">
        <v>1086</v>
      </c>
      <c r="D56" s="45" t="s">
        <v>49</v>
      </c>
      <c r="E56" s="45">
        <v>35000097</v>
      </c>
      <c r="F56" s="174">
        <v>30</v>
      </c>
      <c r="G56" s="174">
        <v>13.42</v>
      </c>
      <c r="H56" s="174">
        <v>7.71</v>
      </c>
      <c r="I56" s="174">
        <v>11.42</v>
      </c>
      <c r="J56" s="174">
        <v>3.88</v>
      </c>
      <c r="K56" s="174">
        <v>7.39</v>
      </c>
      <c r="L56" s="170">
        <f t="shared" si="15"/>
        <v>73.820000000000007</v>
      </c>
      <c r="M56" s="45" t="s">
        <v>545</v>
      </c>
      <c r="N56" s="47"/>
      <c r="O56" s="135"/>
      <c r="P56" s="156">
        <f t="shared" si="16"/>
        <v>1.9682232827886184</v>
      </c>
      <c r="Q56" s="156">
        <f t="shared" si="17"/>
        <v>0.88045188183410872</v>
      </c>
      <c r="R56" s="156">
        <f t="shared" si="18"/>
        <v>0.50583338367667485</v>
      </c>
      <c r="S56" s="156">
        <f t="shared" si="19"/>
        <v>0.7492369963148674</v>
      </c>
      <c r="T56" s="156">
        <f t="shared" si="20"/>
        <v>0.25455687790732801</v>
      </c>
      <c r="U56" s="156">
        <f t="shared" si="21"/>
        <v>0.48483900199359631</v>
      </c>
      <c r="V56" s="157"/>
      <c r="W56" s="135"/>
      <c r="X56" s="158">
        <f t="shared" si="22"/>
        <v>0.19494040495907328</v>
      </c>
      <c r="Y56" s="158">
        <f t="shared" si="23"/>
        <v>8.7203341151692121E-2</v>
      </c>
      <c r="Z56" s="158">
        <f t="shared" si="24"/>
        <v>5.0099684074481829E-2</v>
      </c>
      <c r="AA56" s="158">
        <f t="shared" si="25"/>
        <v>7.420731415442057E-2</v>
      </c>
      <c r="AB56" s="158">
        <f t="shared" si="26"/>
        <v>2.5212292374706815E-2</v>
      </c>
      <c r="AC56" s="158">
        <f t="shared" si="27"/>
        <v>4.8020319754918384E-2</v>
      </c>
      <c r="AD56" s="135"/>
      <c r="AE56" s="135"/>
      <c r="AF56" s="135"/>
      <c r="AG56" s="135"/>
    </row>
    <row r="57" spans="1:33" ht="15.75" customHeight="1" x14ac:dyDescent="0.3">
      <c r="A57" s="44">
        <v>14</v>
      </c>
      <c r="B57" s="45" t="s">
        <v>59</v>
      </c>
      <c r="C57" s="46">
        <v>1211</v>
      </c>
      <c r="D57" s="45" t="s">
        <v>60</v>
      </c>
      <c r="E57" s="45">
        <v>35000107</v>
      </c>
      <c r="F57" s="174">
        <v>32.61</v>
      </c>
      <c r="G57" s="174">
        <v>15</v>
      </c>
      <c r="H57" s="174">
        <v>7</v>
      </c>
      <c r="I57" s="174">
        <v>9.9499999999999993</v>
      </c>
      <c r="J57" s="174">
        <v>4.3</v>
      </c>
      <c r="K57" s="174">
        <v>4.5999999999999996</v>
      </c>
      <c r="L57" s="170">
        <f t="shared" si="15"/>
        <v>73.459999999999994</v>
      </c>
      <c r="M57" s="45" t="s">
        <v>543</v>
      </c>
      <c r="N57" s="47"/>
      <c r="O57" s="135"/>
      <c r="P57" s="156">
        <f t="shared" si="16"/>
        <v>2.3857131637769586</v>
      </c>
      <c r="Q57" s="156">
        <f t="shared" si="17"/>
        <v>1.0973841599710021</v>
      </c>
      <c r="R57" s="156">
        <f t="shared" si="18"/>
        <v>0.51211260798646774</v>
      </c>
      <c r="S57" s="156">
        <f t="shared" si="19"/>
        <v>0.72793149278076474</v>
      </c>
      <c r="T57" s="156">
        <f t="shared" si="20"/>
        <v>0.31458345919168734</v>
      </c>
      <c r="U57" s="156">
        <f t="shared" si="21"/>
        <v>0.33653114239110732</v>
      </c>
      <c r="V57" s="157"/>
      <c r="W57" s="135"/>
      <c r="X57" s="158">
        <f t="shared" si="22"/>
        <v>0.23629020870231199</v>
      </c>
      <c r="Y57" s="158">
        <f t="shared" si="23"/>
        <v>0.10868914843712603</v>
      </c>
      <c r="Z57" s="158">
        <f t="shared" si="24"/>
        <v>5.0721602603992152E-2</v>
      </c>
      <c r="AA57" s="158">
        <f t="shared" si="25"/>
        <v>7.2097135129960258E-2</v>
      </c>
      <c r="AB57" s="158">
        <f t="shared" si="26"/>
        <v>3.1157555885309465E-2</v>
      </c>
      <c r="AC57" s="158">
        <f t="shared" si="27"/>
        <v>3.3331338854051984E-2</v>
      </c>
      <c r="AD57" s="135"/>
      <c r="AE57" s="135"/>
      <c r="AF57" s="135"/>
      <c r="AG57" s="135"/>
    </row>
    <row r="58" spans="1:33" ht="15.75" customHeight="1" x14ac:dyDescent="0.3">
      <c r="A58" s="44">
        <v>15</v>
      </c>
      <c r="B58" s="45" t="s">
        <v>61</v>
      </c>
      <c r="C58" s="46">
        <v>1470</v>
      </c>
      <c r="D58" s="45" t="s">
        <v>60</v>
      </c>
      <c r="E58" s="45">
        <v>35000108</v>
      </c>
      <c r="F58" s="174">
        <v>29.24</v>
      </c>
      <c r="G58" s="174">
        <v>12.13</v>
      </c>
      <c r="H58" s="174">
        <v>5</v>
      </c>
      <c r="I58" s="174">
        <v>8.58</v>
      </c>
      <c r="J58" s="174">
        <v>3</v>
      </c>
      <c r="K58" s="174">
        <v>3.9</v>
      </c>
      <c r="L58" s="170">
        <f t="shared" si="15"/>
        <v>61.849999999999994</v>
      </c>
      <c r="M58" s="45" t="s">
        <v>547</v>
      </c>
      <c r="N58" s="47"/>
      <c r="O58" s="135"/>
      <c r="P58" s="156">
        <f t="shared" si="16"/>
        <v>2.5966773394550833</v>
      </c>
      <c r="Q58" s="156">
        <f t="shared" si="17"/>
        <v>1.0772125898628648</v>
      </c>
      <c r="R58" s="156">
        <f t="shared" si="18"/>
        <v>0.44402827282063673</v>
      </c>
      <c r="S58" s="156">
        <f t="shared" si="19"/>
        <v>0.76195251616021265</v>
      </c>
      <c r="T58" s="156">
        <f t="shared" si="20"/>
        <v>0.26641696369238205</v>
      </c>
      <c r="U58" s="156">
        <f t="shared" si="21"/>
        <v>0.34634205280009667</v>
      </c>
      <c r="V58" s="157"/>
      <c r="W58" s="135"/>
      <c r="X58" s="158">
        <f t="shared" si="22"/>
        <v>0.25718491216313244</v>
      </c>
      <c r="Y58" s="158">
        <f t="shared" si="23"/>
        <v>0.10669127854099852</v>
      </c>
      <c r="Z58" s="158">
        <f t="shared" si="24"/>
        <v>4.3978268153750416E-2</v>
      </c>
      <c r="AA58" s="158">
        <f t="shared" si="25"/>
        <v>7.5466708151835718E-2</v>
      </c>
      <c r="AB58" s="158">
        <f t="shared" si="26"/>
        <v>2.638696089225025E-2</v>
      </c>
      <c r="AC58" s="158">
        <f t="shared" si="27"/>
        <v>3.4303049159925325E-2</v>
      </c>
      <c r="AD58" s="135"/>
      <c r="AE58" s="135"/>
      <c r="AF58" s="135"/>
      <c r="AG58" s="135"/>
    </row>
    <row r="59" spans="1:33" ht="15.75" customHeight="1" x14ac:dyDescent="0.3">
      <c r="A59" s="44">
        <v>16</v>
      </c>
      <c r="B59" s="45" t="s">
        <v>62</v>
      </c>
      <c r="C59" s="46">
        <v>1185</v>
      </c>
      <c r="D59" s="45" t="s">
        <v>60</v>
      </c>
      <c r="E59" s="45">
        <v>35000109</v>
      </c>
      <c r="F59" s="174">
        <v>33.78</v>
      </c>
      <c r="G59" s="174">
        <v>11.34</v>
      </c>
      <c r="H59" s="174">
        <v>7</v>
      </c>
      <c r="I59" s="174">
        <v>11.2</v>
      </c>
      <c r="J59" s="174">
        <v>4.0999999999999996</v>
      </c>
      <c r="K59" s="174">
        <v>4.5999999999999996</v>
      </c>
      <c r="L59" s="170">
        <f t="shared" si="15"/>
        <v>72.02</v>
      </c>
      <c r="M59" s="45"/>
      <c r="N59" s="47"/>
      <c r="O59" s="135"/>
      <c r="P59" s="156">
        <f t="shared" si="16"/>
        <v>2.4182504681930768</v>
      </c>
      <c r="Q59" s="156">
        <f t="shared" si="17"/>
        <v>0.81181054793692986</v>
      </c>
      <c r="R59" s="156">
        <f t="shared" si="18"/>
        <v>0.50111762218329003</v>
      </c>
      <c r="S59" s="156">
        <f t="shared" si="19"/>
        <v>0.80178819549326408</v>
      </c>
      <c r="T59" s="156">
        <f t="shared" si="20"/>
        <v>0.29351175013592701</v>
      </c>
      <c r="U59" s="156">
        <f t="shared" si="21"/>
        <v>0.32930586600616202</v>
      </c>
      <c r="V59" s="157"/>
      <c r="W59" s="135"/>
      <c r="X59" s="158">
        <f t="shared" si="22"/>
        <v>0.23951282849073766</v>
      </c>
      <c r="Y59" s="158">
        <f t="shared" si="23"/>
        <v>8.0404839404528264E-2</v>
      </c>
      <c r="Z59" s="158">
        <f t="shared" si="24"/>
        <v>4.9632616916375473E-2</v>
      </c>
      <c r="AA59" s="158">
        <f t="shared" si="25"/>
        <v>7.9412187066200762E-2</v>
      </c>
      <c r="AB59" s="158">
        <f t="shared" si="26"/>
        <v>2.9070532765305634E-2</v>
      </c>
      <c r="AC59" s="158">
        <f t="shared" si="27"/>
        <v>3.2615719687903881E-2</v>
      </c>
      <c r="AD59" s="135"/>
      <c r="AE59" s="135"/>
      <c r="AF59" s="135"/>
      <c r="AG59" s="135"/>
    </row>
    <row r="60" spans="1:33" ht="15.75" customHeight="1" x14ac:dyDescent="0.3">
      <c r="A60" s="44">
        <v>17</v>
      </c>
      <c r="B60" s="45" t="s">
        <v>34</v>
      </c>
      <c r="C60" s="46">
        <v>1812</v>
      </c>
      <c r="D60" s="45" t="s">
        <v>35</v>
      </c>
      <c r="E60" s="45">
        <v>35000111</v>
      </c>
      <c r="F60" s="174">
        <v>30.8</v>
      </c>
      <c r="G60" s="174">
        <v>14.34</v>
      </c>
      <c r="H60" s="174">
        <v>7.3</v>
      </c>
      <c r="I60" s="174">
        <v>11.16</v>
      </c>
      <c r="J60" s="174">
        <v>4.03</v>
      </c>
      <c r="K60" s="174">
        <v>7.59</v>
      </c>
      <c r="L60" s="170">
        <f t="shared" si="15"/>
        <v>75.22</v>
      </c>
      <c r="M60" s="45" t="s">
        <v>545</v>
      </c>
      <c r="N60" s="47"/>
      <c r="O60" s="135"/>
      <c r="P60" s="156">
        <f t="shared" ref="P60:P62" si="28">(F60*C60)/$C$42</f>
        <v>5.8014137214137209</v>
      </c>
      <c r="Q60" s="156">
        <f t="shared" si="17"/>
        <v>1.5697504983990815</v>
      </c>
      <c r="R60" s="156">
        <f t="shared" si="18"/>
        <v>0.79910590225336797</v>
      </c>
      <c r="S60" s="156">
        <f t="shared" si="19"/>
        <v>1.2216468313900806</v>
      </c>
      <c r="T60" s="156">
        <f t="shared" si="20"/>
        <v>0.44115024466864017</v>
      </c>
      <c r="U60" s="156">
        <f t="shared" si="21"/>
        <v>0.83085120521959765</v>
      </c>
      <c r="V60" s="157"/>
      <c r="W60" s="135"/>
      <c r="X60" s="158">
        <f t="shared" si="22"/>
        <v>0.33393327270116319</v>
      </c>
      <c r="Y60" s="158">
        <f t="shared" si="23"/>
        <v>0.15547412761476231</v>
      </c>
      <c r="Z60" s="158">
        <f t="shared" si="24"/>
        <v>7.9146522425925042E-2</v>
      </c>
      <c r="AA60" s="158">
        <f t="shared" si="25"/>
        <v>0.12099660140730459</v>
      </c>
      <c r="AB60" s="158">
        <f t="shared" si="26"/>
        <v>4.3693217174859994E-2</v>
      </c>
      <c r="AC60" s="158">
        <f t="shared" si="27"/>
        <v>8.2290699344215207E-2</v>
      </c>
      <c r="AD60" s="135"/>
      <c r="AE60" s="135"/>
      <c r="AF60" s="135"/>
      <c r="AG60" s="135"/>
    </row>
    <row r="61" spans="1:33" ht="15.75" customHeight="1" x14ac:dyDescent="0.3">
      <c r="A61" s="44">
        <v>18</v>
      </c>
      <c r="B61" s="45" t="s">
        <v>36</v>
      </c>
      <c r="C61" s="46">
        <v>1182</v>
      </c>
      <c r="D61" s="45" t="s">
        <v>35</v>
      </c>
      <c r="E61" s="45">
        <v>35000110</v>
      </c>
      <c r="F61" s="174">
        <v>26.38</v>
      </c>
      <c r="G61" s="174">
        <v>13.51</v>
      </c>
      <c r="H61" s="174">
        <v>7.74</v>
      </c>
      <c r="I61" s="174">
        <v>11.45</v>
      </c>
      <c r="J61" s="174">
        <v>3.8</v>
      </c>
      <c r="K61" s="174">
        <v>7.84</v>
      </c>
      <c r="L61" s="170">
        <f t="shared" si="15"/>
        <v>70.72</v>
      </c>
      <c r="M61" s="45" t="s">
        <v>545</v>
      </c>
      <c r="N61" s="47"/>
      <c r="O61" s="135"/>
      <c r="P61" s="156">
        <f t="shared" si="28"/>
        <v>3.2412848232848233</v>
      </c>
      <c r="Q61" s="156">
        <f t="shared" si="17"/>
        <v>0.96470851205219599</v>
      </c>
      <c r="R61" s="156">
        <f t="shared" si="18"/>
        <v>0.55269014680118411</v>
      </c>
      <c r="S61" s="156">
        <f t="shared" si="19"/>
        <v>0.81761010088805652</v>
      </c>
      <c r="T61" s="156">
        <f t="shared" si="20"/>
        <v>0.27134658370083969</v>
      </c>
      <c r="U61" s="156">
        <f t="shared" si="21"/>
        <v>0.55983084637225877</v>
      </c>
      <c r="V61" s="157"/>
      <c r="W61" s="135"/>
      <c r="X61" s="158">
        <f t="shared" si="22"/>
        <v>0.18657053276530564</v>
      </c>
      <c r="Y61" s="158">
        <f t="shared" si="23"/>
        <v>9.5548441912785415E-2</v>
      </c>
      <c r="Z61" s="158">
        <f t="shared" si="24"/>
        <v>5.4740558135082093E-2</v>
      </c>
      <c r="AA61" s="158">
        <f t="shared" si="25"/>
        <v>8.0979249437556841E-2</v>
      </c>
      <c r="AB61" s="158">
        <f t="shared" si="26"/>
        <v>2.687520942032454E-2</v>
      </c>
      <c r="AC61" s="158">
        <f t="shared" si="27"/>
        <v>5.5447800488248523E-2</v>
      </c>
      <c r="AD61" s="135"/>
      <c r="AE61" s="135"/>
      <c r="AF61" s="135"/>
      <c r="AG61" s="135"/>
    </row>
    <row r="62" spans="1:33" ht="15.75" customHeight="1" x14ac:dyDescent="0.3">
      <c r="A62" s="44">
        <v>19</v>
      </c>
      <c r="B62" s="45" t="s">
        <v>160</v>
      </c>
      <c r="C62" s="46">
        <v>445</v>
      </c>
      <c r="D62" s="45" t="s">
        <v>161</v>
      </c>
      <c r="E62" s="45">
        <v>35000193</v>
      </c>
      <c r="F62" s="174">
        <v>25.55</v>
      </c>
      <c r="G62" s="174">
        <v>13.22</v>
      </c>
      <c r="H62" s="174">
        <v>7.81</v>
      </c>
      <c r="I62" s="174">
        <v>11.64</v>
      </c>
      <c r="J62" s="174">
        <v>3.8</v>
      </c>
      <c r="K62" s="174">
        <v>7.3</v>
      </c>
      <c r="L62" s="170">
        <f t="shared" si="15"/>
        <v>69.320000000000007</v>
      </c>
      <c r="M62" s="45" t="s">
        <v>545</v>
      </c>
      <c r="N62" s="47"/>
      <c r="O62" s="135"/>
      <c r="P62" s="156">
        <f t="shared" si="28"/>
        <v>1.1818866943866944</v>
      </c>
      <c r="Q62" s="156">
        <f t="shared" si="17"/>
        <v>0.35539781308524138</v>
      </c>
      <c r="R62" s="156">
        <f t="shared" si="18"/>
        <v>0.20995891983326284</v>
      </c>
      <c r="S62" s="156">
        <f t="shared" si="19"/>
        <v>0.31292212891922916</v>
      </c>
      <c r="T62" s="156">
        <f t="shared" si="20"/>
        <v>0.10215670875370024</v>
      </c>
      <c r="U62" s="156">
        <f t="shared" si="21"/>
        <v>0.19624841418473993</v>
      </c>
      <c r="V62" s="161" t="s">
        <v>518</v>
      </c>
      <c r="W62" s="162" t="s">
        <v>263</v>
      </c>
      <c r="X62" s="158">
        <f t="shared" si="22"/>
        <v>6.8030192427361066E-2</v>
      </c>
      <c r="Y62" s="158">
        <f t="shared" si="23"/>
        <v>3.5199966492748078E-2</v>
      </c>
      <c r="Z62" s="158">
        <f t="shared" si="24"/>
        <v>2.0795139055095495E-2</v>
      </c>
      <c r="AA62" s="158">
        <f t="shared" si="25"/>
        <v>3.0993011344598153E-2</v>
      </c>
      <c r="AB62" s="158">
        <f t="shared" si="26"/>
        <v>1.0117993394284619E-2</v>
      </c>
      <c r="AC62" s="158">
        <f t="shared" si="27"/>
        <v>1.9437197836388875E-2</v>
      </c>
      <c r="AD62" s="135"/>
      <c r="AE62" s="135"/>
      <c r="AF62" s="135"/>
      <c r="AG62" s="135"/>
    </row>
    <row r="63" spans="1:33" ht="15.75" customHeight="1" x14ac:dyDescent="0.3">
      <c r="A63" s="18"/>
      <c r="B63" s="163" t="s">
        <v>546</v>
      </c>
      <c r="C63" s="164">
        <f>SUM(C44:C62)</f>
        <v>16553</v>
      </c>
      <c r="D63" s="19"/>
      <c r="E63" s="19"/>
      <c r="F63" s="165"/>
      <c r="G63" s="165"/>
      <c r="H63" s="165"/>
      <c r="I63" s="165"/>
      <c r="J63" s="165"/>
      <c r="K63" s="165"/>
      <c r="L63" s="165"/>
      <c r="M63" s="19"/>
      <c r="N63" s="21"/>
      <c r="O63" s="21"/>
      <c r="P63" s="166">
        <f t="shared" ref="P63:U63" si="29">SUM(P44:P62)</f>
        <v>34.424676461220201</v>
      </c>
      <c r="Q63" s="166">
        <f t="shared" si="29"/>
        <v>12.749278076481602</v>
      </c>
      <c r="R63" s="166">
        <f t="shared" si="29"/>
        <v>6.2857536398235965</v>
      </c>
      <c r="S63" s="166">
        <f t="shared" si="29"/>
        <v>9.5672071527819735</v>
      </c>
      <c r="T63" s="166">
        <f t="shared" si="29"/>
        <v>3.6278324170845164</v>
      </c>
      <c r="U63" s="166">
        <f t="shared" si="29"/>
        <v>5.8860176403068936</v>
      </c>
      <c r="V63" s="167">
        <f>SUM(P63:U63)</f>
        <v>72.540765387698784</v>
      </c>
      <c r="W63" s="135">
        <f>(P63/45)*100</f>
        <v>76.499281024933779</v>
      </c>
      <c r="X63" s="133"/>
      <c r="Y63" s="133"/>
      <c r="Z63" s="133"/>
      <c r="AA63" s="133"/>
      <c r="AB63" s="133"/>
      <c r="AC63" s="133"/>
      <c r="AD63" s="135"/>
      <c r="AE63" s="135"/>
      <c r="AF63" s="135"/>
      <c r="AG63" s="135"/>
    </row>
    <row r="64" spans="1:33" ht="14.25" customHeight="1" x14ac:dyDescent="0.3">
      <c r="A64" s="48" t="s">
        <v>238</v>
      </c>
      <c r="B64" s="228" t="s">
        <v>239</v>
      </c>
      <c r="C64" s="229"/>
      <c r="D64" s="229"/>
      <c r="E64" s="230"/>
      <c r="F64" s="175"/>
      <c r="G64" s="175"/>
      <c r="H64" s="175"/>
      <c r="I64" s="175"/>
      <c r="J64" s="175"/>
      <c r="K64" s="175"/>
      <c r="L64" s="107"/>
      <c r="M64" s="48"/>
      <c r="N64" s="1"/>
      <c r="O64" s="1"/>
      <c r="P64" s="1"/>
      <c r="Q64" s="1"/>
      <c r="R64" s="1"/>
      <c r="S64" s="1"/>
      <c r="T64" s="1"/>
      <c r="U64" s="1"/>
      <c r="V64" s="148"/>
      <c r="W64" s="1"/>
      <c r="X64" s="149"/>
      <c r="Y64" s="149"/>
      <c r="Z64" s="149"/>
      <c r="AA64" s="149"/>
      <c r="AB64" s="149"/>
      <c r="AC64" s="149"/>
      <c r="AD64" s="1"/>
      <c r="AE64" s="1"/>
      <c r="AF64" s="1"/>
      <c r="AG64" s="1"/>
    </row>
    <row r="65" spans="1:33" ht="15.75" customHeight="1" x14ac:dyDescent="0.3">
      <c r="A65" s="12">
        <v>1</v>
      </c>
      <c r="B65" s="13" t="s">
        <v>162</v>
      </c>
      <c r="C65" s="14">
        <v>62</v>
      </c>
      <c r="D65" s="13" t="s">
        <v>163</v>
      </c>
      <c r="E65" s="13">
        <v>35000045</v>
      </c>
      <c r="F65" s="176">
        <v>21.06</v>
      </c>
      <c r="G65" s="176">
        <v>12.8</v>
      </c>
      <c r="H65" s="176">
        <v>7.65</v>
      </c>
      <c r="I65" s="176">
        <v>11.4</v>
      </c>
      <c r="J65" s="176">
        <v>3.88</v>
      </c>
      <c r="K65" s="176">
        <v>7.68</v>
      </c>
      <c r="L65" s="107">
        <f t="shared" ref="L65:L74" si="30">+SUM(F65:K65)</f>
        <v>64.47</v>
      </c>
      <c r="M65" s="13" t="s">
        <v>545</v>
      </c>
      <c r="N65" s="16"/>
      <c r="O65" s="135"/>
      <c r="P65" s="156">
        <f t="shared" ref="P65:P74" si="31">(F65*C65)/$C$75</f>
        <v>0.20203001701995976</v>
      </c>
      <c r="Q65" s="156">
        <f t="shared" ref="Q65:Q74" si="32">(G65*C65)/$C$75</f>
        <v>0.1227912734024447</v>
      </c>
      <c r="R65" s="156">
        <f t="shared" ref="R65:R74" si="33">(H65*C65)/$C$75</f>
        <v>7.3386971994429839E-2</v>
      </c>
      <c r="S65" s="156">
        <f t="shared" ref="S65:S74" si="34">(I65*C65)/$C$75</f>
        <v>0.10936097787405231</v>
      </c>
      <c r="T65" s="156">
        <f t="shared" ref="T65:T74" si="35">(J65*C65)/$C$75</f>
        <v>3.7221104750116044E-2</v>
      </c>
      <c r="U65" s="156">
        <f t="shared" ref="U65:U74" si="36">(K65*C65)/$C$75</f>
        <v>7.3674764041466806E-2</v>
      </c>
      <c r="V65" s="157"/>
      <c r="W65" s="135"/>
      <c r="X65" s="158">
        <f t="shared" ref="X65:X74" si="37">(F65*C65)/$C$202</f>
        <v>7.8126944617299323E-3</v>
      </c>
      <c r="Y65" s="158">
        <f t="shared" ref="Y65:Y74" si="38">(G65*C65)/$C$202</f>
        <v>4.7484562730362358E-3</v>
      </c>
      <c r="Z65" s="158">
        <f t="shared" ref="Z65:Z74" si="39">(H65*C65)/$C$202</f>
        <v>2.8379445694318127E-3</v>
      </c>
      <c r="AA65" s="158">
        <f t="shared" ref="AA65:AA74" si="40">(I65*C65)/$C$202</f>
        <v>4.2290938681728979E-3</v>
      </c>
      <c r="AB65" s="158">
        <f t="shared" ref="AB65:AB74" si="41">(J65*C65)/$C$202</f>
        <v>1.439375807764109E-3</v>
      </c>
      <c r="AC65" s="158">
        <f t="shared" ref="AC65:AC74" si="42">(K65*C65)/$C$202</f>
        <v>2.8490737638217412E-3</v>
      </c>
      <c r="AD65" s="135"/>
      <c r="AE65" s="135"/>
      <c r="AF65" s="135"/>
      <c r="AG65" s="135"/>
    </row>
    <row r="66" spans="1:33" ht="15.75" customHeight="1" x14ac:dyDescent="0.3">
      <c r="A66" s="12">
        <v>2</v>
      </c>
      <c r="B66" s="13" t="s">
        <v>164</v>
      </c>
      <c r="C66" s="14">
        <v>288</v>
      </c>
      <c r="D66" s="13" t="s">
        <v>163</v>
      </c>
      <c r="E66" s="13">
        <v>35000046</v>
      </c>
      <c r="F66" s="176">
        <v>21.67</v>
      </c>
      <c r="G66" s="176">
        <v>11.75</v>
      </c>
      <c r="H66" s="176">
        <v>7.71</v>
      </c>
      <c r="I66" s="176">
        <v>11.64</v>
      </c>
      <c r="J66" s="176">
        <v>3.95</v>
      </c>
      <c r="K66" s="176">
        <v>7.3</v>
      </c>
      <c r="L66" s="107">
        <f t="shared" si="30"/>
        <v>64.02000000000001</v>
      </c>
      <c r="M66" s="13" t="s">
        <v>545</v>
      </c>
      <c r="N66" s="16"/>
      <c r="O66" s="135"/>
      <c r="P66" s="156">
        <f t="shared" si="31"/>
        <v>0.96564443756769314</v>
      </c>
      <c r="Q66" s="156">
        <f t="shared" si="32"/>
        <v>0.52359585331889213</v>
      </c>
      <c r="R66" s="156">
        <f t="shared" si="33"/>
        <v>0.34356800247563052</v>
      </c>
      <c r="S66" s="156">
        <f t="shared" si="34"/>
        <v>0.51869410490484302</v>
      </c>
      <c r="T66" s="156">
        <f t="shared" si="35"/>
        <v>0.17601732941358506</v>
      </c>
      <c r="U66" s="156">
        <f t="shared" si="36"/>
        <v>0.32529784929599259</v>
      </c>
      <c r="V66" s="157"/>
      <c r="W66" s="135"/>
      <c r="X66" s="158">
        <f t="shared" si="37"/>
        <v>3.7342396247187791E-2</v>
      </c>
      <c r="Y66" s="158">
        <f t="shared" si="38"/>
        <v>2.0247953664257336E-2</v>
      </c>
      <c r="Z66" s="158">
        <f t="shared" si="39"/>
        <v>1.3286104063950983E-2</v>
      </c>
      <c r="AA66" s="158">
        <f t="shared" si="40"/>
        <v>2.0058398353357907E-2</v>
      </c>
      <c r="AB66" s="158">
        <f t="shared" si="41"/>
        <v>6.8067588913886369E-3</v>
      </c>
      <c r="AC66" s="158">
        <f t="shared" si="42"/>
        <v>1.2579579723325835E-2</v>
      </c>
      <c r="AD66" s="135"/>
      <c r="AE66" s="135"/>
      <c r="AF66" s="135"/>
      <c r="AG66" s="135"/>
    </row>
    <row r="67" spans="1:33" ht="15.75" customHeight="1" x14ac:dyDescent="0.3">
      <c r="A67" s="12">
        <v>3</v>
      </c>
      <c r="B67" s="13" t="s">
        <v>165</v>
      </c>
      <c r="C67" s="14">
        <v>69</v>
      </c>
      <c r="D67" s="13" t="s">
        <v>163</v>
      </c>
      <c r="E67" s="13">
        <v>35000047</v>
      </c>
      <c r="F67" s="176">
        <v>21.16</v>
      </c>
      <c r="G67" s="176">
        <v>13.72</v>
      </c>
      <c r="H67" s="176">
        <v>7.48</v>
      </c>
      <c r="I67" s="176">
        <v>11.22</v>
      </c>
      <c r="J67" s="176">
        <v>3.8</v>
      </c>
      <c r="K67" s="176">
        <v>7.23</v>
      </c>
      <c r="L67" s="107">
        <f t="shared" si="30"/>
        <v>64.61</v>
      </c>
      <c r="M67" s="13" t="s">
        <v>545</v>
      </c>
      <c r="N67" s="16"/>
      <c r="O67" s="135"/>
      <c r="P67" s="156">
        <f t="shared" si="31"/>
        <v>0.22590747330960853</v>
      </c>
      <c r="Q67" s="156">
        <f t="shared" si="32"/>
        <v>0.14647686832740214</v>
      </c>
      <c r="R67" s="156">
        <f t="shared" si="33"/>
        <v>7.9857651245551609E-2</v>
      </c>
      <c r="S67" s="156">
        <f t="shared" si="34"/>
        <v>0.11978647686832741</v>
      </c>
      <c r="T67" s="156">
        <f t="shared" si="35"/>
        <v>4.0569395017793594E-2</v>
      </c>
      <c r="U67" s="156">
        <f t="shared" si="36"/>
        <v>7.718861209964413E-2</v>
      </c>
      <c r="V67" s="157"/>
      <c r="W67" s="135"/>
      <c r="X67" s="158">
        <f t="shared" si="37"/>
        <v>8.7360585898233686E-3</v>
      </c>
      <c r="Y67" s="158">
        <f t="shared" si="38"/>
        <v>5.6644009382030543E-3</v>
      </c>
      <c r="Z67" s="158">
        <f t="shared" si="39"/>
        <v>3.0881719400698867E-3</v>
      </c>
      <c r="AA67" s="158">
        <f t="shared" si="40"/>
        <v>4.6322579101048299E-3</v>
      </c>
      <c r="AB67" s="158">
        <f t="shared" si="41"/>
        <v>1.5688574027093007E-3</v>
      </c>
      <c r="AC67" s="158">
        <f t="shared" si="42"/>
        <v>2.9849576372600641E-3</v>
      </c>
      <c r="AD67" s="135"/>
      <c r="AE67" s="135"/>
      <c r="AF67" s="135"/>
      <c r="AG67" s="135"/>
    </row>
    <row r="68" spans="1:33" ht="15.75" customHeight="1" x14ac:dyDescent="0.3">
      <c r="A68" s="12">
        <v>4</v>
      </c>
      <c r="B68" s="13" t="s">
        <v>166</v>
      </c>
      <c r="C68" s="14">
        <v>661</v>
      </c>
      <c r="D68" s="13" t="s">
        <v>167</v>
      </c>
      <c r="E68" s="13">
        <v>35000048</v>
      </c>
      <c r="F68" s="176">
        <v>27.21</v>
      </c>
      <c r="G68" s="176">
        <v>10.97</v>
      </c>
      <c r="H68" s="176">
        <v>7.71</v>
      </c>
      <c r="I68" s="176">
        <v>11.27</v>
      </c>
      <c r="J68" s="176">
        <v>3.73</v>
      </c>
      <c r="K68" s="176">
        <v>7.53</v>
      </c>
      <c r="L68" s="107">
        <f t="shared" si="30"/>
        <v>68.419999999999987</v>
      </c>
      <c r="M68" s="13" t="s">
        <v>545</v>
      </c>
      <c r="N68" s="16"/>
      <c r="O68" s="135"/>
      <c r="P68" s="156">
        <f t="shared" si="31"/>
        <v>2.7828887513538607</v>
      </c>
      <c r="Q68" s="156">
        <f t="shared" si="32"/>
        <v>1.121951106297385</v>
      </c>
      <c r="R68" s="156">
        <f t="shared" si="33"/>
        <v>0.78853628345969373</v>
      </c>
      <c r="S68" s="156">
        <f t="shared" si="34"/>
        <v>1.1526334519572952</v>
      </c>
      <c r="T68" s="156">
        <f t="shared" si="35"/>
        <v>0.38148383103821759</v>
      </c>
      <c r="U68" s="156">
        <f t="shared" si="36"/>
        <v>0.77012687606374752</v>
      </c>
      <c r="V68" s="157"/>
      <c r="W68" s="135"/>
      <c r="X68" s="158">
        <f t="shared" si="37"/>
        <v>0.10761697620985114</v>
      </c>
      <c r="Y68" s="158">
        <f t="shared" si="38"/>
        <v>4.3386924991623187E-2</v>
      </c>
      <c r="Z68" s="158">
        <f t="shared" si="39"/>
        <v>3.0493454118998613E-2</v>
      </c>
      <c r="AA68" s="158">
        <f t="shared" si="40"/>
        <v>4.457344071609784E-2</v>
      </c>
      <c r="AB68" s="158">
        <f t="shared" si="41"/>
        <v>1.4752345507634868E-2</v>
      </c>
      <c r="AC68" s="158">
        <f t="shared" si="42"/>
        <v>2.9781544684313817E-2</v>
      </c>
      <c r="AD68" s="135"/>
      <c r="AE68" s="135"/>
      <c r="AF68" s="135"/>
      <c r="AG68" s="135"/>
    </row>
    <row r="69" spans="1:33" ht="15.75" customHeight="1" x14ac:dyDescent="0.3">
      <c r="A69" s="12">
        <v>5</v>
      </c>
      <c r="B69" s="13" t="s">
        <v>168</v>
      </c>
      <c r="C69" s="14">
        <v>515</v>
      </c>
      <c r="D69" s="13" t="s">
        <v>169</v>
      </c>
      <c r="E69" s="13">
        <v>35000049</v>
      </c>
      <c r="F69" s="176">
        <v>28.99</v>
      </c>
      <c r="G69" s="176">
        <v>8.59</v>
      </c>
      <c r="H69" s="176">
        <v>6.15</v>
      </c>
      <c r="I69" s="176">
        <v>7.78</v>
      </c>
      <c r="J69" s="176">
        <v>2.9</v>
      </c>
      <c r="K69" s="176">
        <v>4.24</v>
      </c>
      <c r="L69" s="107">
        <f t="shared" si="30"/>
        <v>58.65</v>
      </c>
      <c r="M69" s="13" t="s">
        <v>547</v>
      </c>
      <c r="N69" s="16"/>
      <c r="O69" s="135"/>
      <c r="P69" s="156">
        <f t="shared" si="31"/>
        <v>2.3100495126102425</v>
      </c>
      <c r="Q69" s="156">
        <f t="shared" si="32"/>
        <v>0.68448862757233486</v>
      </c>
      <c r="R69" s="156">
        <f t="shared" si="33"/>
        <v>0.49005879622466347</v>
      </c>
      <c r="S69" s="156">
        <f t="shared" si="34"/>
        <v>0.61994429831347675</v>
      </c>
      <c r="T69" s="156">
        <f t="shared" si="35"/>
        <v>0.231084635618134</v>
      </c>
      <c r="U69" s="156">
        <f t="shared" si="36"/>
        <v>0.33786167414513385</v>
      </c>
      <c r="V69" s="157"/>
      <c r="W69" s="135"/>
      <c r="X69" s="158">
        <f t="shared" si="37"/>
        <v>8.9331829495955181E-2</v>
      </c>
      <c r="Y69" s="158">
        <f t="shared" si="38"/>
        <v>2.6469831506390314E-2</v>
      </c>
      <c r="Z69" s="158">
        <f t="shared" si="39"/>
        <v>1.8951043511560003E-2</v>
      </c>
      <c r="AA69" s="158">
        <f t="shared" si="40"/>
        <v>2.3973840409745824E-2</v>
      </c>
      <c r="AB69" s="158">
        <f t="shared" si="41"/>
        <v>8.9362644200852038E-3</v>
      </c>
      <c r="AC69" s="158">
        <f t="shared" si="42"/>
        <v>1.3065434876262504E-2</v>
      </c>
      <c r="AD69" s="135"/>
      <c r="AE69" s="135"/>
      <c r="AF69" s="135"/>
      <c r="AG69" s="135"/>
    </row>
    <row r="70" spans="1:33" ht="15.75" customHeight="1" x14ac:dyDescent="0.3">
      <c r="A70" s="12">
        <v>6</v>
      </c>
      <c r="B70" s="13" t="s">
        <v>170</v>
      </c>
      <c r="C70" s="14">
        <v>293</v>
      </c>
      <c r="D70" s="13" t="s">
        <v>169</v>
      </c>
      <c r="E70" s="13">
        <v>35000050</v>
      </c>
      <c r="F70" s="176">
        <v>29.84</v>
      </c>
      <c r="G70" s="176">
        <v>13.45</v>
      </c>
      <c r="H70" s="176">
        <v>5.7</v>
      </c>
      <c r="I70" s="176">
        <v>8.5500000000000007</v>
      </c>
      <c r="J70" s="176">
        <v>3.88</v>
      </c>
      <c r="K70" s="176">
        <v>5.13</v>
      </c>
      <c r="L70" s="107">
        <f t="shared" si="30"/>
        <v>66.550000000000011</v>
      </c>
      <c r="M70" s="13" t="s">
        <v>547</v>
      </c>
      <c r="N70" s="16"/>
      <c r="O70" s="135"/>
      <c r="P70" s="156">
        <f t="shared" si="31"/>
        <v>1.3527959152096551</v>
      </c>
      <c r="Q70" s="156">
        <f t="shared" si="32"/>
        <v>0.60975553148692552</v>
      </c>
      <c r="R70" s="156">
        <f t="shared" si="33"/>
        <v>0.2584094073959462</v>
      </c>
      <c r="S70" s="156">
        <f t="shared" si="34"/>
        <v>0.38761411109391924</v>
      </c>
      <c r="T70" s="156">
        <f t="shared" si="35"/>
        <v>0.17589973696425806</v>
      </c>
      <c r="U70" s="156">
        <f t="shared" si="36"/>
        <v>0.23256846665635153</v>
      </c>
      <c r="V70" s="157"/>
      <c r="W70" s="135"/>
      <c r="X70" s="158">
        <f t="shared" si="37"/>
        <v>5.2313915083050125E-2</v>
      </c>
      <c r="Y70" s="158">
        <f t="shared" si="38"/>
        <v>2.3579831027715284E-2</v>
      </c>
      <c r="Z70" s="158">
        <f t="shared" si="39"/>
        <v>9.9929395433440253E-3</v>
      </c>
      <c r="AA70" s="158">
        <f t="shared" si="40"/>
        <v>1.4989409315016036E-2</v>
      </c>
      <c r="AB70" s="158">
        <f t="shared" si="41"/>
        <v>6.8022114786271595E-3</v>
      </c>
      <c r="AC70" s="158">
        <f t="shared" si="42"/>
        <v>8.9936455890096204E-3</v>
      </c>
      <c r="AD70" s="135"/>
      <c r="AE70" s="135"/>
      <c r="AF70" s="135"/>
      <c r="AG70" s="135"/>
    </row>
    <row r="71" spans="1:33" ht="15.75" customHeight="1" x14ac:dyDescent="0.3">
      <c r="A71" s="12">
        <v>7</v>
      </c>
      <c r="B71" s="13" t="s">
        <v>171</v>
      </c>
      <c r="C71" s="14">
        <v>971</v>
      </c>
      <c r="D71" s="13" t="s">
        <v>169</v>
      </c>
      <c r="E71" s="13">
        <v>35000051</v>
      </c>
      <c r="F71" s="176">
        <v>32.36</v>
      </c>
      <c r="G71" s="176">
        <v>11.79</v>
      </c>
      <c r="H71" s="176">
        <v>4.5</v>
      </c>
      <c r="I71" s="176">
        <v>6.74</v>
      </c>
      <c r="J71" s="176">
        <v>2.9</v>
      </c>
      <c r="K71" s="176">
        <v>3.8</v>
      </c>
      <c r="L71" s="107">
        <f t="shared" si="30"/>
        <v>62.089999999999996</v>
      </c>
      <c r="M71" s="13" t="s">
        <v>547</v>
      </c>
      <c r="N71" s="16"/>
      <c r="O71" s="135"/>
      <c r="P71" s="156">
        <f t="shared" si="31"/>
        <v>4.8617607922017632</v>
      </c>
      <c r="Q71" s="156">
        <f t="shared" si="32"/>
        <v>1.7713275568621381</v>
      </c>
      <c r="R71" s="156">
        <f t="shared" si="33"/>
        <v>0.67607922017638866</v>
      </c>
      <c r="S71" s="156">
        <f t="shared" si="34"/>
        <v>1.0126164319975244</v>
      </c>
      <c r="T71" s="156">
        <f t="shared" si="35"/>
        <v>0.43569549744700603</v>
      </c>
      <c r="U71" s="156">
        <f t="shared" si="36"/>
        <v>0.57091134148228373</v>
      </c>
      <c r="V71" s="157"/>
      <c r="W71" s="135"/>
      <c r="X71" s="158">
        <f t="shared" si="37"/>
        <v>0.18800895122301467</v>
      </c>
      <c r="Y71" s="158">
        <f t="shared" si="38"/>
        <v>6.849893494806375E-2</v>
      </c>
      <c r="Z71" s="158">
        <f t="shared" si="39"/>
        <v>2.614463165956632E-2</v>
      </c>
      <c r="AA71" s="158">
        <f t="shared" si="40"/>
        <v>3.9158848307883777E-2</v>
      </c>
      <c r="AB71" s="158">
        <f t="shared" si="41"/>
        <v>1.6848762625053852E-2</v>
      </c>
      <c r="AC71" s="158">
        <f t="shared" si="42"/>
        <v>2.2077688956967115E-2</v>
      </c>
      <c r="AD71" s="135"/>
      <c r="AE71" s="135"/>
      <c r="AF71" s="135"/>
      <c r="AG71" s="135"/>
    </row>
    <row r="72" spans="1:33" ht="15.75" customHeight="1" x14ac:dyDescent="0.3">
      <c r="A72" s="12">
        <v>8</v>
      </c>
      <c r="B72" s="13" t="s">
        <v>172</v>
      </c>
      <c r="C72" s="14">
        <v>638</v>
      </c>
      <c r="D72" s="13" t="s">
        <v>169</v>
      </c>
      <c r="E72" s="13">
        <v>35000052</v>
      </c>
      <c r="F72" s="176">
        <v>30.12</v>
      </c>
      <c r="G72" s="176">
        <v>12.8</v>
      </c>
      <c r="H72" s="176">
        <v>7</v>
      </c>
      <c r="I72" s="176">
        <v>11.2</v>
      </c>
      <c r="J72" s="176">
        <v>3</v>
      </c>
      <c r="K72" s="176">
        <v>3.2</v>
      </c>
      <c r="L72" s="107">
        <f t="shared" si="30"/>
        <v>67.320000000000007</v>
      </c>
      <c r="M72" s="98"/>
      <c r="O72" s="135"/>
      <c r="P72" s="156">
        <f t="shared" si="31"/>
        <v>2.9733188921553459</v>
      </c>
      <c r="Q72" s="156">
        <f t="shared" si="32"/>
        <v>1.2635618133993503</v>
      </c>
      <c r="R72" s="156">
        <f t="shared" si="33"/>
        <v>0.69101036670276961</v>
      </c>
      <c r="S72" s="156">
        <f t="shared" si="34"/>
        <v>1.1056165867244312</v>
      </c>
      <c r="T72" s="156">
        <f t="shared" si="35"/>
        <v>0.29614730001547268</v>
      </c>
      <c r="U72" s="156">
        <f t="shared" si="36"/>
        <v>0.31589045334983756</v>
      </c>
      <c r="V72" s="157"/>
      <c r="W72" s="135"/>
      <c r="X72" s="158">
        <f t="shared" si="37"/>
        <v>0.11498109233641282</v>
      </c>
      <c r="Y72" s="158">
        <f t="shared" si="38"/>
        <v>4.8863146809630942E-2</v>
      </c>
      <c r="Z72" s="158">
        <f t="shared" si="39"/>
        <v>2.672203341151692E-2</v>
      </c>
      <c r="AA72" s="158">
        <f t="shared" si="40"/>
        <v>4.2755253458427067E-2</v>
      </c>
      <c r="AB72" s="158">
        <f t="shared" si="41"/>
        <v>1.1452300033507251E-2</v>
      </c>
      <c r="AC72" s="158">
        <f t="shared" si="42"/>
        <v>1.2215786702407735E-2</v>
      </c>
      <c r="AD72" s="135"/>
      <c r="AE72" s="135"/>
      <c r="AF72" s="135"/>
      <c r="AG72" s="135"/>
    </row>
    <row r="73" spans="1:33" ht="15.75" customHeight="1" x14ac:dyDescent="0.3">
      <c r="A73" s="12">
        <v>9</v>
      </c>
      <c r="B73" s="13" t="s">
        <v>173</v>
      </c>
      <c r="C73" s="14">
        <v>1911</v>
      </c>
      <c r="D73" s="13" t="s">
        <v>169</v>
      </c>
      <c r="E73" s="13">
        <v>35000053</v>
      </c>
      <c r="F73" s="176">
        <v>34</v>
      </c>
      <c r="G73" s="176">
        <v>12.5</v>
      </c>
      <c r="H73" s="176">
        <v>4.9000000000000004</v>
      </c>
      <c r="I73" s="176">
        <v>8.1</v>
      </c>
      <c r="J73" s="176">
        <v>3.5</v>
      </c>
      <c r="K73" s="176">
        <v>4.4400000000000004</v>
      </c>
      <c r="L73" s="107">
        <f t="shared" si="30"/>
        <v>67.44</v>
      </c>
      <c r="M73" s="13" t="s">
        <v>547</v>
      </c>
      <c r="N73" s="16"/>
      <c r="O73" s="135"/>
      <c r="P73" s="156">
        <f t="shared" si="31"/>
        <v>10.053226056011141</v>
      </c>
      <c r="Q73" s="156">
        <f t="shared" si="32"/>
        <v>3.6960389911805662</v>
      </c>
      <c r="R73" s="156">
        <f t="shared" si="33"/>
        <v>1.4488472845427822</v>
      </c>
      <c r="S73" s="156">
        <f t="shared" si="34"/>
        <v>2.3950332662850067</v>
      </c>
      <c r="T73" s="156">
        <f t="shared" si="35"/>
        <v>1.0348909175305585</v>
      </c>
      <c r="U73" s="156">
        <f t="shared" si="36"/>
        <v>1.3128330496673373</v>
      </c>
      <c r="V73" s="157"/>
      <c r="W73" s="135"/>
      <c r="X73" s="158">
        <f t="shared" si="37"/>
        <v>0.38876789047915372</v>
      </c>
      <c r="Y73" s="158">
        <f t="shared" si="38"/>
        <v>0.14292937149968887</v>
      </c>
      <c r="Z73" s="158">
        <f t="shared" si="39"/>
        <v>5.6028313627878044E-2</v>
      </c>
      <c r="AA73" s="158">
        <f t="shared" si="40"/>
        <v>9.2618232731798367E-2</v>
      </c>
      <c r="AB73" s="158">
        <f t="shared" si="41"/>
        <v>4.0020224019912884E-2</v>
      </c>
      <c r="AC73" s="158">
        <f t="shared" si="42"/>
        <v>5.0768512756689484E-2</v>
      </c>
      <c r="AD73" s="135"/>
      <c r="AE73" s="135"/>
      <c r="AF73" s="135"/>
      <c r="AG73" s="135"/>
    </row>
    <row r="74" spans="1:33" ht="15.75" customHeight="1" x14ac:dyDescent="0.3">
      <c r="A74" s="12">
        <v>10</v>
      </c>
      <c r="B74" s="13" t="s">
        <v>57</v>
      </c>
      <c r="C74" s="14">
        <v>1055</v>
      </c>
      <c r="D74" s="13" t="s">
        <v>58</v>
      </c>
      <c r="E74" s="13">
        <v>35000112</v>
      </c>
      <c r="F74" s="176">
        <v>32.380000000000003</v>
      </c>
      <c r="G74" s="176">
        <v>14.96</v>
      </c>
      <c r="H74" s="176">
        <v>5</v>
      </c>
      <c r="I74" s="176">
        <v>9.6999999999999993</v>
      </c>
      <c r="J74" s="176">
        <v>3</v>
      </c>
      <c r="K74" s="176">
        <v>4.3600000000000003</v>
      </c>
      <c r="L74" s="113">
        <f t="shared" si="30"/>
        <v>69.400000000000006</v>
      </c>
      <c r="M74" s="29" t="s">
        <v>544</v>
      </c>
      <c r="N74" s="31"/>
      <c r="O74" s="135"/>
      <c r="P74" s="156">
        <f t="shared" si="31"/>
        <v>5.285610397648151</v>
      </c>
      <c r="Q74" s="156">
        <f t="shared" si="32"/>
        <v>2.4420238279436797</v>
      </c>
      <c r="R74" s="156">
        <f t="shared" si="33"/>
        <v>0.81618443447315492</v>
      </c>
      <c r="S74" s="156">
        <f t="shared" si="34"/>
        <v>1.5833978028779205</v>
      </c>
      <c r="T74" s="156">
        <f t="shared" si="35"/>
        <v>0.48971066068389291</v>
      </c>
      <c r="U74" s="156">
        <f t="shared" si="36"/>
        <v>0.71171282686059112</v>
      </c>
      <c r="V74" s="161" t="s">
        <v>518</v>
      </c>
      <c r="W74" s="162" t="s">
        <v>263</v>
      </c>
      <c r="X74" s="158">
        <f t="shared" si="37"/>
        <v>0.20439962184672827</v>
      </c>
      <c r="Y74" s="158">
        <f t="shared" si="38"/>
        <v>9.4435402805035665E-2</v>
      </c>
      <c r="Z74" s="158">
        <f t="shared" si="39"/>
        <v>3.1562634627351489E-2</v>
      </c>
      <c r="AA74" s="158">
        <f t="shared" si="40"/>
        <v>6.1231511177061895E-2</v>
      </c>
      <c r="AB74" s="158">
        <f t="shared" si="41"/>
        <v>1.8937580776410896E-2</v>
      </c>
      <c r="AC74" s="158">
        <f t="shared" si="42"/>
        <v>2.7522617395050502E-2</v>
      </c>
      <c r="AD74" s="135"/>
      <c r="AE74" s="135"/>
      <c r="AF74" s="135"/>
      <c r="AG74" s="135"/>
    </row>
    <row r="75" spans="1:33" ht="15.75" customHeight="1" x14ac:dyDescent="0.3">
      <c r="A75" s="18"/>
      <c r="B75" s="19" t="s">
        <v>546</v>
      </c>
      <c r="C75" s="164">
        <f>SUM(C65:C74)</f>
        <v>6463</v>
      </c>
      <c r="D75" s="19"/>
      <c r="E75" s="19"/>
      <c r="F75" s="165"/>
      <c r="G75" s="165"/>
      <c r="H75" s="165"/>
      <c r="I75" s="165"/>
      <c r="J75" s="165"/>
      <c r="K75" s="165"/>
      <c r="L75" s="165"/>
      <c r="M75" s="19"/>
      <c r="N75" s="21"/>
      <c r="O75" s="21"/>
      <c r="P75" s="177">
        <f t="shared" ref="P75:U75" si="43">SUM(P65:P74)</f>
        <v>31.013232245087423</v>
      </c>
      <c r="Q75" s="177">
        <f t="shared" si="43"/>
        <v>12.382011449791118</v>
      </c>
      <c r="R75" s="177">
        <f t="shared" si="43"/>
        <v>5.6659384186910104</v>
      </c>
      <c r="S75" s="177">
        <f t="shared" si="43"/>
        <v>9.0046975088967969</v>
      </c>
      <c r="T75" s="177">
        <f t="shared" si="43"/>
        <v>3.2987204084790345</v>
      </c>
      <c r="U75" s="177">
        <f t="shared" si="43"/>
        <v>4.7280659136623857</v>
      </c>
      <c r="V75" s="167">
        <f>SUM(P75:U75)</f>
        <v>66.092665944607774</v>
      </c>
      <c r="W75" s="135">
        <f>(P75/45)*100</f>
        <v>68.918293877972047</v>
      </c>
      <c r="X75" s="133"/>
      <c r="Y75" s="133"/>
      <c r="Z75" s="133"/>
      <c r="AA75" s="133"/>
      <c r="AB75" s="133"/>
      <c r="AC75" s="133"/>
      <c r="AD75" s="135"/>
      <c r="AE75" s="135"/>
      <c r="AF75" s="135"/>
      <c r="AG75" s="135"/>
    </row>
    <row r="76" spans="1:33" ht="14.25" customHeight="1" x14ac:dyDescent="0.3">
      <c r="A76" s="48" t="s">
        <v>240</v>
      </c>
      <c r="B76" s="228" t="s">
        <v>241</v>
      </c>
      <c r="C76" s="229"/>
      <c r="D76" s="229"/>
      <c r="E76" s="230"/>
      <c r="F76" s="175"/>
      <c r="G76" s="175"/>
      <c r="H76" s="175"/>
      <c r="I76" s="175"/>
      <c r="J76" s="175"/>
      <c r="K76" s="175"/>
      <c r="L76" s="107"/>
      <c r="M76" s="48"/>
      <c r="N76" s="1"/>
      <c r="O76" s="1"/>
      <c r="P76" s="1"/>
      <c r="Q76" s="1"/>
      <c r="R76" s="1"/>
      <c r="S76" s="1"/>
      <c r="T76" s="1"/>
      <c r="U76" s="1"/>
      <c r="V76" s="148"/>
      <c r="W76" s="1"/>
      <c r="X76" s="149"/>
      <c r="Y76" s="149"/>
      <c r="Z76" s="149"/>
      <c r="AA76" s="149"/>
      <c r="AB76" s="149"/>
      <c r="AC76" s="149"/>
      <c r="AD76" s="1"/>
      <c r="AE76" s="1"/>
      <c r="AF76" s="1"/>
      <c r="AG76" s="1"/>
    </row>
    <row r="77" spans="1:33" ht="15.75" customHeight="1" x14ac:dyDescent="0.3">
      <c r="A77" s="178">
        <v>1</v>
      </c>
      <c r="B77" s="179" t="s">
        <v>199</v>
      </c>
      <c r="C77" s="180">
        <v>2143</v>
      </c>
      <c r="D77" s="179" t="s">
        <v>200</v>
      </c>
      <c r="E77" s="179">
        <v>35000073</v>
      </c>
      <c r="F77" s="181">
        <v>24.34</v>
      </c>
      <c r="G77" s="181">
        <v>7.5</v>
      </c>
      <c r="H77" s="181">
        <v>7</v>
      </c>
      <c r="I77" s="181">
        <v>11.27</v>
      </c>
      <c r="J77" s="181">
        <v>3.5</v>
      </c>
      <c r="K77" s="181">
        <v>7.54</v>
      </c>
      <c r="L77" s="182">
        <f t="shared" ref="L77:L95" si="44">+SUM(F77:K77)</f>
        <v>61.15</v>
      </c>
      <c r="M77" s="179" t="s">
        <v>548</v>
      </c>
      <c r="N77" s="133"/>
      <c r="O77" s="135"/>
      <c r="P77" s="156">
        <f t="shared" ref="P77:P95" si="45">(F77*C77)/$C$96</f>
        <v>1.8127061685490879</v>
      </c>
      <c r="Q77" s="156">
        <f t="shared" ref="Q77:Q95" si="46">(G77*C77)/$C$96</f>
        <v>0.55855777584708943</v>
      </c>
      <c r="R77" s="156">
        <f t="shared" ref="R77:R95" si="47">(H77*C77)/$C$96</f>
        <v>0.52132059079061688</v>
      </c>
      <c r="S77" s="156">
        <f t="shared" ref="S77:S95" si="48">(I77*C77)/$C$96</f>
        <v>0.83932615117289311</v>
      </c>
      <c r="T77" s="156">
        <f t="shared" ref="T77:T95" si="49">(J77*C77)/$C$96</f>
        <v>0.26066029539530844</v>
      </c>
      <c r="U77" s="156">
        <f t="shared" ref="U77:U95" si="50">(K77*C77)/$C$96</f>
        <v>0.56153675065160724</v>
      </c>
      <c r="V77" s="157"/>
      <c r="W77" s="135"/>
      <c r="X77" s="158">
        <f t="shared" ref="X77:X95" si="51">(F77*C77)/$C$202</f>
        <v>0.31209982767699013</v>
      </c>
      <c r="Y77" s="158">
        <f t="shared" ref="Y77:Y95" si="52">(G77*C77)/$C$202</f>
        <v>9.616880474845628E-2</v>
      </c>
      <c r="Z77" s="158">
        <f t="shared" ref="Z77:Z95" si="53">(H77*C77)/$C$202</f>
        <v>8.9757551098559193E-2</v>
      </c>
      <c r="AA77" s="158">
        <f t="shared" ref="AA77:AA95" si="54">(I77*C77)/$C$202</f>
        <v>0.14450965726868029</v>
      </c>
      <c r="AB77" s="158">
        <f t="shared" ref="AB77:AB95" si="55">(J77*C77)/$C$202</f>
        <v>4.4878775549279597E-2</v>
      </c>
      <c r="AC77" s="158">
        <f t="shared" ref="AC77:AC95" si="56">(K77*C77)/$C$202</f>
        <v>9.668170504044804E-2</v>
      </c>
      <c r="AD77" s="135"/>
      <c r="AE77" s="135"/>
      <c r="AF77" s="135"/>
      <c r="AG77" s="135"/>
    </row>
    <row r="78" spans="1:33" ht="15.75" customHeight="1" x14ac:dyDescent="0.3">
      <c r="A78" s="178">
        <v>2</v>
      </c>
      <c r="B78" s="179" t="s">
        <v>201</v>
      </c>
      <c r="C78" s="180">
        <v>2721</v>
      </c>
      <c r="D78" s="179" t="s">
        <v>202</v>
      </c>
      <c r="E78" s="179">
        <v>35000074</v>
      </c>
      <c r="F78" s="181">
        <v>32.25</v>
      </c>
      <c r="G78" s="181">
        <v>13.42</v>
      </c>
      <c r="H78" s="181">
        <v>7.6</v>
      </c>
      <c r="I78" s="181">
        <v>11.57</v>
      </c>
      <c r="J78" s="181">
        <v>3.95</v>
      </c>
      <c r="K78" s="181">
        <v>6.8</v>
      </c>
      <c r="L78" s="182">
        <f t="shared" si="44"/>
        <v>75.59</v>
      </c>
      <c r="M78" s="179" t="s">
        <v>548</v>
      </c>
      <c r="N78" s="133"/>
      <c r="O78" s="135"/>
      <c r="P78" s="156">
        <f t="shared" si="45"/>
        <v>3.0496003475238922</v>
      </c>
      <c r="Q78" s="156">
        <f t="shared" si="46"/>
        <v>1.2690119895742833</v>
      </c>
      <c r="R78" s="156">
        <f t="shared" si="47"/>
        <v>0.71866550825369235</v>
      </c>
      <c r="S78" s="156">
        <f t="shared" si="48"/>
        <v>1.0940736750651607</v>
      </c>
      <c r="T78" s="156">
        <f t="shared" si="49"/>
        <v>0.37351694178974809</v>
      </c>
      <c r="U78" s="156">
        <f t="shared" si="50"/>
        <v>0.6430165073848827</v>
      </c>
      <c r="V78" s="157"/>
      <c r="W78" s="135"/>
      <c r="X78" s="158">
        <f t="shared" si="51"/>
        <v>0.52506013355033265</v>
      </c>
      <c r="Y78" s="158">
        <f t="shared" si="52"/>
        <v>0.21849013929443301</v>
      </c>
      <c r="Z78" s="158">
        <f t="shared" si="53"/>
        <v>0.12373510123976832</v>
      </c>
      <c r="AA78" s="158">
        <f t="shared" si="54"/>
        <v>0.18837041070317362</v>
      </c>
      <c r="AB78" s="158">
        <f t="shared" si="55"/>
        <v>6.4309690775932224E-2</v>
      </c>
      <c r="AC78" s="158">
        <f t="shared" si="56"/>
        <v>0.11071035374084534</v>
      </c>
      <c r="AD78" s="135"/>
      <c r="AE78" s="135"/>
      <c r="AF78" s="135"/>
      <c r="AG78" s="135"/>
    </row>
    <row r="79" spans="1:33" ht="15.75" customHeight="1" x14ac:dyDescent="0.3">
      <c r="A79" s="178">
        <v>3</v>
      </c>
      <c r="B79" s="179" t="s">
        <v>203</v>
      </c>
      <c r="C79" s="180">
        <v>1146</v>
      </c>
      <c r="D79" s="179" t="s">
        <v>202</v>
      </c>
      <c r="E79" s="179">
        <v>35000075</v>
      </c>
      <c r="F79" s="181">
        <v>23.24</v>
      </c>
      <c r="G79" s="181">
        <v>13.67</v>
      </c>
      <c r="H79" s="181">
        <v>7</v>
      </c>
      <c r="I79" s="181">
        <v>10.5</v>
      </c>
      <c r="J79" s="181">
        <v>3.5</v>
      </c>
      <c r="K79" s="181">
        <v>7</v>
      </c>
      <c r="L79" s="182">
        <f t="shared" si="44"/>
        <v>64.91</v>
      </c>
      <c r="M79" s="179" t="s">
        <v>548</v>
      </c>
      <c r="N79" s="133"/>
      <c r="O79" s="135"/>
      <c r="P79" s="156">
        <f t="shared" si="45"/>
        <v>0.92556177237185044</v>
      </c>
      <c r="Q79" s="156">
        <f t="shared" si="46"/>
        <v>0.54442467419635099</v>
      </c>
      <c r="R79" s="156">
        <f t="shared" si="47"/>
        <v>0.27878366637706342</v>
      </c>
      <c r="S79" s="156">
        <f t="shared" si="48"/>
        <v>0.41817549956559513</v>
      </c>
      <c r="T79" s="156">
        <f t="shared" si="49"/>
        <v>0.13939183318853171</v>
      </c>
      <c r="U79" s="156">
        <f t="shared" si="50"/>
        <v>0.27878366637706342</v>
      </c>
      <c r="V79" s="157"/>
      <c r="W79" s="135"/>
      <c r="X79" s="158">
        <f t="shared" si="51"/>
        <v>0.15935713943803551</v>
      </c>
      <c r="Y79" s="158">
        <f t="shared" si="52"/>
        <v>9.373546024603896E-2</v>
      </c>
      <c r="Z79" s="158">
        <f t="shared" si="53"/>
        <v>4.7999138384950457E-2</v>
      </c>
      <c r="AA79" s="158">
        <f t="shared" si="54"/>
        <v>7.1998707577425686E-2</v>
      </c>
      <c r="AB79" s="158">
        <f t="shared" si="55"/>
        <v>2.3999569192475229E-2</v>
      </c>
      <c r="AC79" s="158">
        <f t="shared" si="56"/>
        <v>4.7999138384950457E-2</v>
      </c>
      <c r="AD79" s="135"/>
      <c r="AE79" s="135"/>
      <c r="AF79" s="135"/>
      <c r="AG79" s="135"/>
    </row>
    <row r="80" spans="1:33" ht="15.75" customHeight="1" x14ac:dyDescent="0.3">
      <c r="A80" s="178">
        <v>4</v>
      </c>
      <c r="B80" s="179" t="s">
        <v>17</v>
      </c>
      <c r="C80" s="180">
        <v>1144</v>
      </c>
      <c r="D80" s="179" t="s">
        <v>15</v>
      </c>
      <c r="E80" s="179">
        <v>35000132</v>
      </c>
      <c r="F80" s="181">
        <v>25.16</v>
      </c>
      <c r="G80" s="181">
        <v>13.3</v>
      </c>
      <c r="H80" s="181">
        <v>4.5199999999999996</v>
      </c>
      <c r="I80" s="181">
        <v>10.220000000000001</v>
      </c>
      <c r="J80" s="181">
        <v>2.85</v>
      </c>
      <c r="K80" s="181">
        <v>3.5</v>
      </c>
      <c r="L80" s="182">
        <f t="shared" si="44"/>
        <v>59.550000000000004</v>
      </c>
      <c r="M80" s="179" t="s">
        <v>548</v>
      </c>
      <c r="N80" s="133"/>
      <c r="O80" s="135"/>
      <c r="P80" s="156">
        <f t="shared" si="45"/>
        <v>1.0002794092093832</v>
      </c>
      <c r="Q80" s="156">
        <f t="shared" si="46"/>
        <v>0.52876455256298871</v>
      </c>
      <c r="R80" s="156">
        <f t="shared" si="47"/>
        <v>0.1797004344048653</v>
      </c>
      <c r="S80" s="156">
        <f t="shared" si="48"/>
        <v>0.40631381407471767</v>
      </c>
      <c r="T80" s="156">
        <f t="shared" si="49"/>
        <v>0.11330668983492616</v>
      </c>
      <c r="U80" s="156">
        <f t="shared" si="50"/>
        <v>0.13914856646394438</v>
      </c>
      <c r="V80" s="157"/>
      <c r="W80" s="135"/>
      <c r="X80" s="158">
        <f t="shared" si="51"/>
        <v>0.17222153080273803</v>
      </c>
      <c r="Y80" s="158">
        <f t="shared" si="52"/>
        <v>9.1039203484754208E-2</v>
      </c>
      <c r="Z80" s="158">
        <f t="shared" si="53"/>
        <v>3.0939639079029243E-2</v>
      </c>
      <c r="AA80" s="158">
        <f t="shared" si="54"/>
        <v>6.9956440572495338E-2</v>
      </c>
      <c r="AB80" s="158">
        <f t="shared" si="55"/>
        <v>1.9508400746733042E-2</v>
      </c>
      <c r="AC80" s="158">
        <f t="shared" si="56"/>
        <v>2.3957685127566894E-2</v>
      </c>
      <c r="AD80" s="135"/>
      <c r="AE80" s="135"/>
      <c r="AF80" s="135"/>
      <c r="AG80" s="135"/>
    </row>
    <row r="81" spans="1:33" ht="15.75" customHeight="1" x14ac:dyDescent="0.3">
      <c r="A81" s="178">
        <v>5</v>
      </c>
      <c r="B81" s="179" t="s">
        <v>16</v>
      </c>
      <c r="C81" s="180">
        <v>1347</v>
      </c>
      <c r="D81" s="179" t="s">
        <v>15</v>
      </c>
      <c r="E81" s="179">
        <v>35000133</v>
      </c>
      <c r="F81" s="181">
        <v>26.61</v>
      </c>
      <c r="G81" s="181">
        <v>11.74</v>
      </c>
      <c r="H81" s="181">
        <v>7.21</v>
      </c>
      <c r="I81" s="181">
        <v>12.63</v>
      </c>
      <c r="J81" s="181">
        <v>3.5</v>
      </c>
      <c r="K81" s="181">
        <v>7</v>
      </c>
      <c r="L81" s="182">
        <f t="shared" si="44"/>
        <v>68.69</v>
      </c>
      <c r="M81" s="179" t="s">
        <v>549</v>
      </c>
      <c r="N81" s="133"/>
      <c r="O81" s="135"/>
      <c r="P81" s="156">
        <f t="shared" si="45"/>
        <v>1.245653171155517</v>
      </c>
      <c r="Q81" s="156">
        <f t="shared" si="46"/>
        <v>0.54956663770634229</v>
      </c>
      <c r="R81" s="156">
        <f t="shared" si="47"/>
        <v>0.33751068635968723</v>
      </c>
      <c r="S81" s="156">
        <f t="shared" si="48"/>
        <v>0.59122884448305824</v>
      </c>
      <c r="T81" s="156">
        <f t="shared" si="49"/>
        <v>0.16384013900955691</v>
      </c>
      <c r="U81" s="156">
        <f t="shared" si="50"/>
        <v>0.32768027801911381</v>
      </c>
      <c r="V81" s="157"/>
      <c r="W81" s="135"/>
      <c r="X81" s="158">
        <f t="shared" si="51"/>
        <v>0.21446837154755635</v>
      </c>
      <c r="Y81" s="158">
        <f t="shared" si="52"/>
        <v>9.4620769709444261E-2</v>
      </c>
      <c r="Z81" s="158">
        <f t="shared" si="53"/>
        <v>5.8110370494471306E-2</v>
      </c>
      <c r="AA81" s="158">
        <f t="shared" si="54"/>
        <v>0.10179389450002393</v>
      </c>
      <c r="AB81" s="158">
        <f t="shared" si="55"/>
        <v>2.8208917715762769E-2</v>
      </c>
      <c r="AC81" s="158">
        <f t="shared" si="56"/>
        <v>5.6417835431525537E-2</v>
      </c>
      <c r="AD81" s="135"/>
      <c r="AE81" s="135"/>
      <c r="AF81" s="135"/>
      <c r="AG81" s="135"/>
    </row>
    <row r="82" spans="1:33" ht="15.75" customHeight="1" x14ac:dyDescent="0.3">
      <c r="A82" s="178">
        <v>6</v>
      </c>
      <c r="B82" s="179" t="s">
        <v>14</v>
      </c>
      <c r="C82" s="180">
        <v>1733</v>
      </c>
      <c r="D82" s="179" t="s">
        <v>15</v>
      </c>
      <c r="E82" s="179">
        <v>35000134</v>
      </c>
      <c r="F82" s="181">
        <v>12.4</v>
      </c>
      <c r="G82" s="181">
        <v>13.37</v>
      </c>
      <c r="H82" s="181">
        <v>7.21</v>
      </c>
      <c r="I82" s="181">
        <v>12.51</v>
      </c>
      <c r="J82" s="181">
        <v>3.5</v>
      </c>
      <c r="K82" s="181">
        <v>7</v>
      </c>
      <c r="L82" s="182">
        <f t="shared" si="44"/>
        <v>55.989999999999995</v>
      </c>
      <c r="M82" s="179" t="s">
        <v>548</v>
      </c>
      <c r="N82" s="133"/>
      <c r="O82" s="135"/>
      <c r="P82" s="156">
        <f t="shared" si="45"/>
        <v>0.74680104257167679</v>
      </c>
      <c r="Q82" s="156">
        <f t="shared" si="46"/>
        <v>0.80522015638575151</v>
      </c>
      <c r="R82" s="156">
        <f t="shared" si="47"/>
        <v>0.4342286707211121</v>
      </c>
      <c r="S82" s="156">
        <f t="shared" si="48"/>
        <v>0.75342589052997389</v>
      </c>
      <c r="T82" s="156">
        <f t="shared" si="49"/>
        <v>0.21079061685490877</v>
      </c>
      <c r="U82" s="156">
        <f t="shared" si="50"/>
        <v>0.42158123370981754</v>
      </c>
      <c r="V82" s="157"/>
      <c r="W82" s="135"/>
      <c r="X82" s="158">
        <f t="shared" si="51"/>
        <v>0.12857929251830932</v>
      </c>
      <c r="Y82" s="158">
        <f t="shared" si="52"/>
        <v>0.13863751136853189</v>
      </c>
      <c r="Z82" s="158">
        <f t="shared" si="53"/>
        <v>7.4762637020726636E-2</v>
      </c>
      <c r="AA82" s="158">
        <f t="shared" si="54"/>
        <v>0.12971991527452012</v>
      </c>
      <c r="AB82" s="158">
        <f t="shared" si="55"/>
        <v>3.6292542243071178E-2</v>
      </c>
      <c r="AC82" s="158">
        <f t="shared" si="56"/>
        <v>7.2585084486142357E-2</v>
      </c>
      <c r="AD82" s="135"/>
      <c r="AE82" s="135"/>
      <c r="AF82" s="135"/>
      <c r="AG82" s="135"/>
    </row>
    <row r="83" spans="1:33" ht="15.75" customHeight="1" x14ac:dyDescent="0.3">
      <c r="A83" s="178">
        <v>7</v>
      </c>
      <c r="B83" s="179" t="s">
        <v>104</v>
      </c>
      <c r="C83" s="180">
        <v>1229</v>
      </c>
      <c r="D83" s="179" t="s">
        <v>103</v>
      </c>
      <c r="E83" s="179">
        <v>35000135</v>
      </c>
      <c r="F83" s="181">
        <v>32.15</v>
      </c>
      <c r="G83" s="181">
        <v>9</v>
      </c>
      <c r="H83" s="181">
        <v>7.21</v>
      </c>
      <c r="I83" s="181">
        <v>12.63</v>
      </c>
      <c r="J83" s="181">
        <v>3.5</v>
      </c>
      <c r="K83" s="181">
        <v>4.43</v>
      </c>
      <c r="L83" s="182">
        <f t="shared" si="44"/>
        <v>68.920000000000016</v>
      </c>
      <c r="M83" s="179" t="s">
        <v>545</v>
      </c>
      <c r="N83" s="133"/>
      <c r="O83" s="135"/>
      <c r="P83" s="156">
        <f t="shared" si="45"/>
        <v>1.3731485664639445</v>
      </c>
      <c r="Q83" s="156">
        <f t="shared" si="46"/>
        <v>0.38439617723718505</v>
      </c>
      <c r="R83" s="156">
        <f t="shared" si="47"/>
        <v>0.3079440486533449</v>
      </c>
      <c r="S83" s="156">
        <f t="shared" si="48"/>
        <v>0.53943596872284971</v>
      </c>
      <c r="T83" s="156">
        <f t="shared" si="49"/>
        <v>0.14948740225890531</v>
      </c>
      <c r="U83" s="156">
        <f t="shared" si="50"/>
        <v>0.1892083405734144</v>
      </c>
      <c r="V83" s="157"/>
      <c r="W83" s="135"/>
      <c r="X83" s="158">
        <f t="shared" si="51"/>
        <v>0.23641969029725718</v>
      </c>
      <c r="Y83" s="158">
        <f t="shared" si="52"/>
        <v>6.6182805993011351E-2</v>
      </c>
      <c r="Z83" s="158">
        <f t="shared" si="53"/>
        <v>5.3019781245512425E-2</v>
      </c>
      <c r="AA83" s="158">
        <f t="shared" si="54"/>
        <v>9.2876537743525917E-2</v>
      </c>
      <c r="AB83" s="158">
        <f t="shared" si="55"/>
        <v>2.5737757886171077E-2</v>
      </c>
      <c r="AC83" s="158">
        <f t="shared" si="56"/>
        <v>3.2576647838782245E-2</v>
      </c>
      <c r="AD83" s="135"/>
      <c r="AE83" s="135"/>
      <c r="AF83" s="135"/>
      <c r="AG83" s="135"/>
    </row>
    <row r="84" spans="1:33" ht="15.75" customHeight="1" x14ac:dyDescent="0.3">
      <c r="A84" s="178">
        <v>8</v>
      </c>
      <c r="B84" s="179" t="s">
        <v>106</v>
      </c>
      <c r="C84" s="180">
        <v>1292</v>
      </c>
      <c r="D84" s="179" t="s">
        <v>103</v>
      </c>
      <c r="E84" s="179">
        <v>35000136</v>
      </c>
      <c r="F84" s="181">
        <v>28.93</v>
      </c>
      <c r="G84" s="181">
        <v>13.87</v>
      </c>
      <c r="H84" s="181">
        <v>8.9</v>
      </c>
      <c r="I84" s="181">
        <v>11.01</v>
      </c>
      <c r="J84" s="181">
        <v>3.5</v>
      </c>
      <c r="K84" s="181">
        <v>6.11</v>
      </c>
      <c r="L84" s="182">
        <f t="shared" si="44"/>
        <v>72.319999999999993</v>
      </c>
      <c r="M84" s="179" t="s">
        <v>545</v>
      </c>
      <c r="N84" s="133"/>
      <c r="O84" s="135"/>
      <c r="P84" s="156">
        <f t="shared" si="45"/>
        <v>1.2989595134665508</v>
      </c>
      <c r="Q84" s="156">
        <f t="shared" si="46"/>
        <v>0.62276420503909635</v>
      </c>
      <c r="R84" s="156">
        <f t="shared" si="47"/>
        <v>0.39961077324066036</v>
      </c>
      <c r="S84" s="156">
        <f t="shared" si="48"/>
        <v>0.49434995655951347</v>
      </c>
      <c r="T84" s="156">
        <f t="shared" si="49"/>
        <v>0.15715030408340575</v>
      </c>
      <c r="U84" s="156">
        <f t="shared" si="50"/>
        <v>0.27433953084274548</v>
      </c>
      <c r="V84" s="157"/>
      <c r="W84" s="135"/>
      <c r="X84" s="158">
        <f t="shared" si="51"/>
        <v>0.22364630702216265</v>
      </c>
      <c r="Y84" s="158">
        <f t="shared" si="52"/>
        <v>0.1072234455028481</v>
      </c>
      <c r="Z84" s="158">
        <f t="shared" si="53"/>
        <v>6.8802355081135427E-2</v>
      </c>
      <c r="AA84" s="158">
        <f t="shared" si="54"/>
        <v>8.5113924656550669E-2</v>
      </c>
      <c r="AB84" s="158">
        <f t="shared" si="55"/>
        <v>2.7057105930783591E-2</v>
      </c>
      <c r="AC84" s="158">
        <f t="shared" si="56"/>
        <v>4.7233976353453645E-2</v>
      </c>
      <c r="AD84" s="135"/>
      <c r="AE84" s="135"/>
      <c r="AF84" s="135"/>
      <c r="AG84" s="135"/>
    </row>
    <row r="85" spans="1:33" ht="15.75" customHeight="1" x14ac:dyDescent="0.3">
      <c r="A85" s="178">
        <v>9</v>
      </c>
      <c r="B85" s="179" t="s">
        <v>105</v>
      </c>
      <c r="C85" s="180">
        <v>1475</v>
      </c>
      <c r="D85" s="179" t="s">
        <v>103</v>
      </c>
      <c r="E85" s="179">
        <v>35000137</v>
      </c>
      <c r="F85" s="181">
        <v>16.59</v>
      </c>
      <c r="G85" s="181">
        <v>10.16</v>
      </c>
      <c r="H85" s="181">
        <v>4.51</v>
      </c>
      <c r="I85" s="181">
        <v>11.25</v>
      </c>
      <c r="J85" s="181">
        <v>3.2</v>
      </c>
      <c r="K85" s="181">
        <v>3.2</v>
      </c>
      <c r="L85" s="182">
        <f t="shared" si="44"/>
        <v>48.910000000000004</v>
      </c>
      <c r="M85" s="179" t="s">
        <v>548</v>
      </c>
      <c r="N85" s="133"/>
      <c r="O85" s="135"/>
      <c r="P85" s="156">
        <f t="shared" si="45"/>
        <v>0.85039965247610771</v>
      </c>
      <c r="Q85" s="156">
        <f t="shared" si="46"/>
        <v>0.52079930495221549</v>
      </c>
      <c r="R85" s="156">
        <f t="shared" si="47"/>
        <v>0.23118158123370983</v>
      </c>
      <c r="S85" s="156">
        <f t="shared" si="48"/>
        <v>0.57667245873153783</v>
      </c>
      <c r="T85" s="156">
        <f t="shared" si="49"/>
        <v>0.16403127715030408</v>
      </c>
      <c r="U85" s="156">
        <f t="shared" si="50"/>
        <v>0.16403127715030408</v>
      </c>
      <c r="V85" s="157"/>
      <c r="W85" s="135"/>
      <c r="X85" s="158">
        <f t="shared" si="51"/>
        <v>0.14641621990330764</v>
      </c>
      <c r="Y85" s="158">
        <f t="shared" si="52"/>
        <v>8.966779953089847E-2</v>
      </c>
      <c r="Z85" s="158">
        <f t="shared" si="53"/>
        <v>3.9803324398066151E-2</v>
      </c>
      <c r="AA85" s="158">
        <f t="shared" si="54"/>
        <v>9.9287671724666127E-2</v>
      </c>
      <c r="AB85" s="158">
        <f t="shared" si="55"/>
        <v>2.8241826623905029E-2</v>
      </c>
      <c r="AC85" s="158">
        <f t="shared" si="56"/>
        <v>2.8241826623905029E-2</v>
      </c>
      <c r="AD85" s="135"/>
      <c r="AE85" s="135"/>
      <c r="AF85" s="135"/>
      <c r="AG85" s="135"/>
    </row>
    <row r="86" spans="1:33" ht="15.75" customHeight="1" x14ac:dyDescent="0.3">
      <c r="A86" s="178">
        <v>10</v>
      </c>
      <c r="B86" s="179" t="s">
        <v>102</v>
      </c>
      <c r="C86" s="180">
        <v>2522</v>
      </c>
      <c r="D86" s="179" t="s">
        <v>103</v>
      </c>
      <c r="E86" s="179">
        <v>35000195</v>
      </c>
      <c r="F86" s="181">
        <v>34.270000000000003</v>
      </c>
      <c r="G86" s="181">
        <v>12.25</v>
      </c>
      <c r="H86" s="181">
        <v>4.9000000000000004</v>
      </c>
      <c r="I86" s="181">
        <v>8.1</v>
      </c>
      <c r="J86" s="181">
        <v>3.65</v>
      </c>
      <c r="K86" s="181">
        <v>4.96</v>
      </c>
      <c r="L86" s="182">
        <f t="shared" si="44"/>
        <v>68.13</v>
      </c>
      <c r="M86" s="179" t="s">
        <v>548</v>
      </c>
      <c r="N86" s="133"/>
      <c r="O86" s="135"/>
      <c r="P86" s="156">
        <f t="shared" si="45"/>
        <v>3.0036121633362294</v>
      </c>
      <c r="Q86" s="156">
        <f t="shared" si="46"/>
        <v>1.0736576889661165</v>
      </c>
      <c r="R86" s="156">
        <f t="shared" si="47"/>
        <v>0.42946307558644659</v>
      </c>
      <c r="S86" s="156">
        <f t="shared" si="48"/>
        <v>0.70992875760208518</v>
      </c>
      <c r="T86" s="156">
        <f t="shared" si="49"/>
        <v>0.31990616854908771</v>
      </c>
      <c r="U86" s="156">
        <f t="shared" si="50"/>
        <v>0.4347218071242398</v>
      </c>
      <c r="V86" s="157"/>
      <c r="W86" s="135"/>
      <c r="X86" s="158">
        <f t="shared" si="51"/>
        <v>0.517142190416926</v>
      </c>
      <c r="Y86" s="158">
        <f t="shared" si="52"/>
        <v>0.18485532047293093</v>
      </c>
      <c r="Z86" s="158">
        <f t="shared" si="53"/>
        <v>7.3942128189172382E-2</v>
      </c>
      <c r="AA86" s="158">
        <f t="shared" si="54"/>
        <v>0.12223086496577475</v>
      </c>
      <c r="AB86" s="158">
        <f t="shared" si="55"/>
        <v>5.5079340385812067E-2</v>
      </c>
      <c r="AC86" s="158">
        <f t="shared" si="56"/>
        <v>7.4847542003733669E-2</v>
      </c>
      <c r="AD86" s="135"/>
      <c r="AE86" s="135"/>
      <c r="AF86" s="135"/>
      <c r="AG86" s="135"/>
    </row>
    <row r="87" spans="1:33" ht="15.75" customHeight="1" x14ac:dyDescent="0.3">
      <c r="A87" s="178">
        <v>11</v>
      </c>
      <c r="B87" s="179" t="s">
        <v>41</v>
      </c>
      <c r="C87" s="180">
        <v>1044</v>
      </c>
      <c r="D87" s="179" t="s">
        <v>38</v>
      </c>
      <c r="E87" s="179">
        <v>35000139</v>
      </c>
      <c r="F87" s="181">
        <v>20.72</v>
      </c>
      <c r="G87" s="181">
        <v>10.77</v>
      </c>
      <c r="H87" s="181">
        <v>8.5</v>
      </c>
      <c r="I87" s="181">
        <v>12.31</v>
      </c>
      <c r="J87" s="181">
        <v>4.25</v>
      </c>
      <c r="K87" s="181">
        <v>7.4</v>
      </c>
      <c r="L87" s="182">
        <f t="shared" si="44"/>
        <v>63.949999999999996</v>
      </c>
      <c r="M87" s="179" t="s">
        <v>548</v>
      </c>
      <c r="N87" s="133"/>
      <c r="O87" s="135"/>
      <c r="P87" s="156">
        <f t="shared" si="45"/>
        <v>0.75175256298870552</v>
      </c>
      <c r="Q87" s="156">
        <f t="shared" si="46"/>
        <v>0.39075169417897476</v>
      </c>
      <c r="R87" s="156">
        <f t="shared" si="47"/>
        <v>0.30839270199826235</v>
      </c>
      <c r="S87" s="156">
        <f t="shared" si="48"/>
        <v>0.44662519548218943</v>
      </c>
      <c r="T87" s="156">
        <f t="shared" si="49"/>
        <v>0.15419635099913118</v>
      </c>
      <c r="U87" s="156">
        <f t="shared" si="50"/>
        <v>0.26848305821025198</v>
      </c>
      <c r="V87" s="157"/>
      <c r="W87" s="135"/>
      <c r="X87" s="158">
        <f t="shared" si="51"/>
        <v>0.12943181274232923</v>
      </c>
      <c r="Y87" s="158">
        <f t="shared" si="52"/>
        <v>6.7277057105930779E-2</v>
      </c>
      <c r="Z87" s="158">
        <f t="shared" si="53"/>
        <v>5.3097027428079077E-2</v>
      </c>
      <c r="AA87" s="158">
        <f t="shared" si="54"/>
        <v>7.6896989134076887E-2</v>
      </c>
      <c r="AB87" s="158">
        <f t="shared" si="55"/>
        <v>2.6548513714039539E-2</v>
      </c>
      <c r="AC87" s="158">
        <f t="shared" si="56"/>
        <v>4.6225647407974725E-2</v>
      </c>
      <c r="AD87" s="135"/>
      <c r="AE87" s="135"/>
      <c r="AF87" s="135"/>
      <c r="AG87" s="135"/>
    </row>
    <row r="88" spans="1:33" ht="15.75" customHeight="1" x14ac:dyDescent="0.3">
      <c r="A88" s="178">
        <v>12</v>
      </c>
      <c r="B88" s="179" t="s">
        <v>231</v>
      </c>
      <c r="C88" s="180">
        <v>1120</v>
      </c>
      <c r="D88" s="179" t="s">
        <v>38</v>
      </c>
      <c r="E88" s="179">
        <v>35000140</v>
      </c>
      <c r="F88" s="181">
        <v>14.86</v>
      </c>
      <c r="G88" s="181">
        <v>14.29</v>
      </c>
      <c r="H88" s="181">
        <v>4.71</v>
      </c>
      <c r="I88" s="181">
        <v>10.47</v>
      </c>
      <c r="J88" s="181">
        <v>2.5</v>
      </c>
      <c r="K88" s="181">
        <v>4.5</v>
      </c>
      <c r="L88" s="113">
        <f t="shared" si="44"/>
        <v>51.33</v>
      </c>
      <c r="M88" s="29" t="s">
        <v>544</v>
      </c>
      <c r="N88" s="31"/>
      <c r="O88" s="135"/>
      <c r="P88" s="156">
        <f t="shared" si="45"/>
        <v>0.57839096437880111</v>
      </c>
      <c r="Q88" s="156">
        <f t="shared" si="46"/>
        <v>0.55620503909643781</v>
      </c>
      <c r="R88" s="156">
        <f t="shared" si="47"/>
        <v>0.18332580364900086</v>
      </c>
      <c r="S88" s="156">
        <f t="shared" si="48"/>
        <v>0.40752041702867076</v>
      </c>
      <c r="T88" s="156">
        <f t="shared" si="49"/>
        <v>9.7306689834926158E-2</v>
      </c>
      <c r="U88" s="156">
        <f t="shared" si="50"/>
        <v>0.17515204170286708</v>
      </c>
      <c r="V88" s="157"/>
      <c r="W88" s="135"/>
      <c r="X88" s="158">
        <f t="shared" si="51"/>
        <v>9.9583552726054292E-2</v>
      </c>
      <c r="Y88" s="158">
        <f t="shared" si="52"/>
        <v>9.5763726006414238E-2</v>
      </c>
      <c r="Z88" s="158">
        <f t="shared" si="53"/>
        <v>3.1563831314920299E-2</v>
      </c>
      <c r="AA88" s="158">
        <f t="shared" si="54"/>
        <v>7.0164185534440676E-2</v>
      </c>
      <c r="AB88" s="158">
        <f t="shared" si="55"/>
        <v>1.6753625963333494E-2</v>
      </c>
      <c r="AC88" s="158">
        <f t="shared" si="56"/>
        <v>3.0156526734000287E-2</v>
      </c>
      <c r="AD88" s="135"/>
      <c r="AE88" s="135"/>
      <c r="AF88" s="135"/>
      <c r="AG88" s="135"/>
    </row>
    <row r="89" spans="1:33" ht="15.75" customHeight="1" x14ac:dyDescent="0.3">
      <c r="A89" s="178">
        <v>13</v>
      </c>
      <c r="B89" s="179" t="s">
        <v>229</v>
      </c>
      <c r="C89" s="180">
        <v>1185</v>
      </c>
      <c r="D89" s="179" t="s">
        <v>38</v>
      </c>
      <c r="E89" s="179">
        <v>35000141</v>
      </c>
      <c r="F89" s="181">
        <v>26</v>
      </c>
      <c r="G89" s="181">
        <v>8.3000000000000007</v>
      </c>
      <c r="H89" s="181">
        <v>6.5</v>
      </c>
      <c r="I89" s="181">
        <v>8</v>
      </c>
      <c r="J89" s="181">
        <v>3</v>
      </c>
      <c r="K89" s="181">
        <v>6</v>
      </c>
      <c r="L89" s="107">
        <f t="shared" si="44"/>
        <v>57.8</v>
      </c>
      <c r="M89" s="98"/>
      <c r="O89" s="135"/>
      <c r="P89" s="156">
        <f t="shared" si="45"/>
        <v>1.0707211120764553</v>
      </c>
      <c r="Q89" s="156">
        <f t="shared" si="46"/>
        <v>0.34180712423979148</v>
      </c>
      <c r="R89" s="156">
        <f t="shared" si="47"/>
        <v>0.26768027801911382</v>
      </c>
      <c r="S89" s="156">
        <f t="shared" si="48"/>
        <v>0.32945264986967854</v>
      </c>
      <c r="T89" s="156">
        <f t="shared" si="49"/>
        <v>0.12354474370112946</v>
      </c>
      <c r="U89" s="156">
        <f t="shared" si="50"/>
        <v>0.24708948740225892</v>
      </c>
      <c r="V89" s="157"/>
      <c r="W89" s="135"/>
      <c r="X89" s="158">
        <f t="shared" si="51"/>
        <v>0.18434971997510891</v>
      </c>
      <c r="Y89" s="158">
        <f t="shared" si="52"/>
        <v>5.8850102915130917E-2</v>
      </c>
      <c r="Z89" s="158">
        <f t="shared" si="53"/>
        <v>4.6087429993777226E-2</v>
      </c>
      <c r="AA89" s="158">
        <f t="shared" si="54"/>
        <v>5.6722990761571966E-2</v>
      </c>
      <c r="AB89" s="158">
        <f t="shared" si="55"/>
        <v>2.127112153558949E-2</v>
      </c>
      <c r="AC89" s="158">
        <f t="shared" si="56"/>
        <v>4.254224307117898E-2</v>
      </c>
      <c r="AD89" s="135"/>
      <c r="AE89" s="135"/>
      <c r="AF89" s="135"/>
      <c r="AG89" s="135"/>
    </row>
    <row r="90" spans="1:33" ht="15.75" customHeight="1" x14ac:dyDescent="0.3">
      <c r="A90" s="178">
        <v>14</v>
      </c>
      <c r="B90" s="179" t="s">
        <v>37</v>
      </c>
      <c r="C90" s="180">
        <v>1274</v>
      </c>
      <c r="D90" s="179" t="s">
        <v>38</v>
      </c>
      <c r="E90" s="179">
        <v>35000142</v>
      </c>
      <c r="F90" s="181">
        <v>30.14</v>
      </c>
      <c r="G90" s="181">
        <v>10.42</v>
      </c>
      <c r="H90" s="181">
        <v>7</v>
      </c>
      <c r="I90" s="181">
        <v>10.5</v>
      </c>
      <c r="J90" s="181">
        <v>3.5</v>
      </c>
      <c r="K90" s="181">
        <v>7.23</v>
      </c>
      <c r="L90" s="182">
        <f t="shared" si="44"/>
        <v>68.790000000000006</v>
      </c>
      <c r="M90" s="179" t="s">
        <v>543</v>
      </c>
      <c r="N90" s="133"/>
      <c r="O90" s="135"/>
      <c r="P90" s="156">
        <f t="shared" si="45"/>
        <v>1.3344347523892268</v>
      </c>
      <c r="Q90" s="156">
        <f t="shared" si="46"/>
        <v>0.46134074717636836</v>
      </c>
      <c r="R90" s="156">
        <f t="shared" si="47"/>
        <v>0.30992180712423978</v>
      </c>
      <c r="S90" s="156">
        <f t="shared" si="48"/>
        <v>0.46488271068635967</v>
      </c>
      <c r="T90" s="156">
        <f t="shared" si="49"/>
        <v>0.15496090356211989</v>
      </c>
      <c r="U90" s="156">
        <f t="shared" si="50"/>
        <v>0.32010495221546481</v>
      </c>
      <c r="V90" s="157"/>
      <c r="W90" s="135"/>
      <c r="X90" s="158">
        <f t="shared" si="51"/>
        <v>0.22975420037336652</v>
      </c>
      <c r="Y90" s="158">
        <f t="shared" si="52"/>
        <v>7.9430616054760428E-2</v>
      </c>
      <c r="Z90" s="158">
        <f t="shared" si="53"/>
        <v>5.3360298693217172E-2</v>
      </c>
      <c r="AA90" s="158">
        <f t="shared" si="54"/>
        <v>8.0040448039825768E-2</v>
      </c>
      <c r="AB90" s="158">
        <f t="shared" si="55"/>
        <v>2.6680149346608586E-2</v>
      </c>
      <c r="AC90" s="158">
        <f t="shared" si="56"/>
        <v>5.5113565650280028E-2</v>
      </c>
      <c r="AD90" s="135"/>
      <c r="AE90" s="135"/>
      <c r="AF90" s="135"/>
      <c r="AG90" s="135"/>
    </row>
    <row r="91" spans="1:33" ht="15.75" customHeight="1" x14ac:dyDescent="0.3">
      <c r="A91" s="178">
        <v>15</v>
      </c>
      <c r="B91" s="179" t="s">
        <v>40</v>
      </c>
      <c r="C91" s="180">
        <v>1661</v>
      </c>
      <c r="D91" s="179" t="s">
        <v>38</v>
      </c>
      <c r="E91" s="179">
        <v>35000143</v>
      </c>
      <c r="F91" s="181">
        <v>31.54</v>
      </c>
      <c r="G91" s="181">
        <v>10</v>
      </c>
      <c r="H91" s="181">
        <v>7</v>
      </c>
      <c r="I91" s="181">
        <v>10.5</v>
      </c>
      <c r="J91" s="181">
        <v>3.5</v>
      </c>
      <c r="K91" s="181">
        <v>6.4</v>
      </c>
      <c r="L91" s="182">
        <f t="shared" si="44"/>
        <v>68.94</v>
      </c>
      <c r="M91" s="179" t="s">
        <v>543</v>
      </c>
      <c r="N91" s="133"/>
      <c r="O91" s="135"/>
      <c r="P91" s="156">
        <f t="shared" si="45"/>
        <v>1.8206060816681144</v>
      </c>
      <c r="Q91" s="156">
        <f t="shared" si="46"/>
        <v>0.57723718505647259</v>
      </c>
      <c r="R91" s="156">
        <f t="shared" si="47"/>
        <v>0.40406602953953086</v>
      </c>
      <c r="S91" s="156">
        <f t="shared" si="48"/>
        <v>0.60609904430929629</v>
      </c>
      <c r="T91" s="156">
        <f t="shared" si="49"/>
        <v>0.20203301476976543</v>
      </c>
      <c r="U91" s="156">
        <f t="shared" si="50"/>
        <v>0.36943179843614254</v>
      </c>
      <c r="V91" s="157"/>
      <c r="W91" s="135"/>
      <c r="X91" s="158">
        <f t="shared" si="51"/>
        <v>0.31345998276769899</v>
      </c>
      <c r="Y91" s="158">
        <f t="shared" si="52"/>
        <v>9.9384902589631896E-2</v>
      </c>
      <c r="Z91" s="158">
        <f t="shared" si="53"/>
        <v>6.9569431812742333E-2</v>
      </c>
      <c r="AA91" s="158">
        <f t="shared" si="54"/>
        <v>0.1043541477191135</v>
      </c>
      <c r="AB91" s="158">
        <f t="shared" si="55"/>
        <v>3.4784715906371166E-2</v>
      </c>
      <c r="AC91" s="158">
        <f t="shared" si="56"/>
        <v>6.3606337657364426E-2</v>
      </c>
      <c r="AD91" s="135"/>
      <c r="AE91" s="135"/>
      <c r="AF91" s="135"/>
      <c r="AG91" s="135"/>
    </row>
    <row r="92" spans="1:33" ht="15.75" customHeight="1" x14ac:dyDescent="0.3">
      <c r="A92" s="178">
        <v>16</v>
      </c>
      <c r="B92" s="179" t="s">
        <v>39</v>
      </c>
      <c r="C92" s="180">
        <v>1779</v>
      </c>
      <c r="D92" s="179" t="s">
        <v>38</v>
      </c>
      <c r="E92" s="179">
        <v>35000144</v>
      </c>
      <c r="F92" s="181">
        <v>14.54</v>
      </c>
      <c r="G92" s="181">
        <v>9.68</v>
      </c>
      <c r="H92" s="181">
        <v>7</v>
      </c>
      <c r="I92" s="181">
        <v>11.31</v>
      </c>
      <c r="J92" s="181">
        <v>3.5</v>
      </c>
      <c r="K92" s="181">
        <v>7.23</v>
      </c>
      <c r="L92" s="182">
        <f t="shared" si="44"/>
        <v>53.260000000000005</v>
      </c>
      <c r="M92" s="179" t="s">
        <v>548</v>
      </c>
      <c r="N92" s="133"/>
      <c r="O92" s="135"/>
      <c r="P92" s="156">
        <f t="shared" si="45"/>
        <v>0.89892823631624674</v>
      </c>
      <c r="Q92" s="156">
        <f t="shared" si="46"/>
        <v>0.59846116420503914</v>
      </c>
      <c r="R92" s="156">
        <f t="shared" si="47"/>
        <v>0.43277150304083406</v>
      </c>
      <c r="S92" s="156">
        <f t="shared" si="48"/>
        <v>0.69923509991311905</v>
      </c>
      <c r="T92" s="156">
        <f t="shared" si="49"/>
        <v>0.21638575152041703</v>
      </c>
      <c r="U92" s="156">
        <f t="shared" si="50"/>
        <v>0.4469911381407472</v>
      </c>
      <c r="V92" s="157"/>
      <c r="W92" s="135"/>
      <c r="X92" s="158">
        <f t="shared" si="51"/>
        <v>0.15477155234311427</v>
      </c>
      <c r="Y92" s="158">
        <f t="shared" si="52"/>
        <v>0.1030391077497487</v>
      </c>
      <c r="Z92" s="158">
        <f t="shared" si="53"/>
        <v>7.4511751471925708E-2</v>
      </c>
      <c r="AA92" s="158">
        <f t="shared" si="54"/>
        <v>0.12038970130678284</v>
      </c>
      <c r="AB92" s="158">
        <f t="shared" si="55"/>
        <v>3.7255875735962854E-2</v>
      </c>
      <c r="AC92" s="158">
        <f t="shared" si="56"/>
        <v>7.6959994734574697E-2</v>
      </c>
      <c r="AD92" s="135"/>
      <c r="AE92" s="135"/>
      <c r="AF92" s="135"/>
      <c r="AG92" s="135"/>
    </row>
    <row r="93" spans="1:33" ht="15.75" customHeight="1" x14ac:dyDescent="0.3">
      <c r="A93" s="178">
        <v>17</v>
      </c>
      <c r="B93" s="179" t="s">
        <v>23</v>
      </c>
      <c r="C93" s="180">
        <v>1054</v>
      </c>
      <c r="D93" s="179" t="s">
        <v>22</v>
      </c>
      <c r="E93" s="179">
        <v>35000145</v>
      </c>
      <c r="F93" s="181">
        <v>13.04</v>
      </c>
      <c r="G93" s="181">
        <v>6.95</v>
      </c>
      <c r="H93" s="181">
        <v>7</v>
      </c>
      <c r="I93" s="181">
        <v>9.8000000000000007</v>
      </c>
      <c r="J93" s="181">
        <v>3.5</v>
      </c>
      <c r="K93" s="181">
        <v>4.2</v>
      </c>
      <c r="L93" s="107">
        <f t="shared" si="44"/>
        <v>44.49</v>
      </c>
      <c r="M93" s="98"/>
      <c r="O93" s="135"/>
      <c r="P93" s="156">
        <f t="shared" si="45"/>
        <v>0.47764239791485663</v>
      </c>
      <c r="Q93" s="156">
        <f t="shared" si="46"/>
        <v>0.2545716768027802</v>
      </c>
      <c r="R93" s="156">
        <f t="shared" si="47"/>
        <v>0.25640312771503043</v>
      </c>
      <c r="S93" s="156">
        <f t="shared" si="48"/>
        <v>0.35896437880104259</v>
      </c>
      <c r="T93" s="156">
        <f t="shared" si="49"/>
        <v>0.12820156385751522</v>
      </c>
      <c r="U93" s="156">
        <f t="shared" si="50"/>
        <v>0.15384187662901824</v>
      </c>
      <c r="V93" s="157"/>
      <c r="W93" s="135"/>
      <c r="X93" s="158">
        <f t="shared" si="51"/>
        <v>8.2237327078646311E-2</v>
      </c>
      <c r="Y93" s="158">
        <f t="shared" si="52"/>
        <v>4.3830477239002442E-2</v>
      </c>
      <c r="Z93" s="158">
        <f t="shared" si="53"/>
        <v>4.4145804413383755E-2</v>
      </c>
      <c r="AA93" s="158">
        <f t="shared" si="54"/>
        <v>6.1804126178737262E-2</v>
      </c>
      <c r="AB93" s="158">
        <f t="shared" si="55"/>
        <v>2.2072902206691877E-2</v>
      </c>
      <c r="AC93" s="158">
        <f t="shared" si="56"/>
        <v>2.6487482648030254E-2</v>
      </c>
      <c r="AD93" s="135"/>
      <c r="AE93" s="135"/>
      <c r="AF93" s="135"/>
      <c r="AG93" s="135"/>
    </row>
    <row r="94" spans="1:33" ht="15.75" customHeight="1" x14ac:dyDescent="0.3">
      <c r="A94" s="178">
        <v>18</v>
      </c>
      <c r="B94" s="179" t="s">
        <v>21</v>
      </c>
      <c r="C94" s="180">
        <v>1476</v>
      </c>
      <c r="D94" s="179" t="s">
        <v>22</v>
      </c>
      <c r="E94" s="179">
        <v>35000147</v>
      </c>
      <c r="F94" s="181">
        <v>12.06</v>
      </c>
      <c r="G94" s="181">
        <v>12.97</v>
      </c>
      <c r="H94" s="181">
        <v>7.51</v>
      </c>
      <c r="I94" s="181">
        <v>10.4</v>
      </c>
      <c r="J94" s="181">
        <v>3.58</v>
      </c>
      <c r="K94" s="181">
        <v>3.2</v>
      </c>
      <c r="L94" s="107">
        <f t="shared" si="44"/>
        <v>49.72</v>
      </c>
      <c r="M94" s="98"/>
      <c r="O94" s="135"/>
      <c r="P94" s="156">
        <f t="shared" si="45"/>
        <v>0.61861198957428332</v>
      </c>
      <c r="Q94" s="156">
        <f t="shared" si="46"/>
        <v>0.6652900086880974</v>
      </c>
      <c r="R94" s="156">
        <f t="shared" si="47"/>
        <v>0.38522189400521284</v>
      </c>
      <c r="S94" s="156">
        <f t="shared" si="48"/>
        <v>0.53346307558644657</v>
      </c>
      <c r="T94" s="156">
        <f t="shared" si="49"/>
        <v>0.1836344048653345</v>
      </c>
      <c r="U94" s="156">
        <f t="shared" si="50"/>
        <v>0.16414248479582971</v>
      </c>
      <c r="V94" s="157"/>
      <c r="W94" s="135"/>
      <c r="X94" s="158">
        <f t="shared" si="51"/>
        <v>0.10650854434924131</v>
      </c>
      <c r="Y94" s="158">
        <f t="shared" si="52"/>
        <v>0.11454525872385238</v>
      </c>
      <c r="Z94" s="158">
        <f t="shared" si="53"/>
        <v>6.632497247618592E-2</v>
      </c>
      <c r="AA94" s="158">
        <f t="shared" si="54"/>
        <v>9.1848164281269448E-2</v>
      </c>
      <c r="AB94" s="158">
        <f t="shared" si="55"/>
        <v>3.1616964242975443E-2</v>
      </c>
      <c r="AC94" s="158">
        <f t="shared" si="56"/>
        <v>2.8260973625005983E-2</v>
      </c>
      <c r="AD94" s="135"/>
      <c r="AE94" s="135"/>
      <c r="AF94" s="135"/>
      <c r="AG94" s="135"/>
    </row>
    <row r="95" spans="1:33" ht="15.75" customHeight="1" x14ac:dyDescent="0.3">
      <c r="A95" s="178">
        <v>19</v>
      </c>
      <c r="B95" s="179" t="s">
        <v>24</v>
      </c>
      <c r="C95" s="180">
        <v>1430</v>
      </c>
      <c r="D95" s="179" t="s">
        <v>22</v>
      </c>
      <c r="E95" s="179">
        <v>35000148</v>
      </c>
      <c r="F95" s="181">
        <v>19.53</v>
      </c>
      <c r="G95" s="181">
        <v>13.74</v>
      </c>
      <c r="H95" s="181">
        <v>7.51</v>
      </c>
      <c r="I95" s="181">
        <v>10.09</v>
      </c>
      <c r="J95" s="181">
        <v>3.2</v>
      </c>
      <c r="K95" s="181">
        <v>5</v>
      </c>
      <c r="L95" s="107">
        <f t="shared" si="44"/>
        <v>59.070000000000007</v>
      </c>
      <c r="M95" s="98"/>
      <c r="O95" s="135"/>
      <c r="P95" s="156">
        <f t="shared" si="45"/>
        <v>0.97056125108601221</v>
      </c>
      <c r="Q95" s="156">
        <f t="shared" si="46"/>
        <v>0.68282189400521287</v>
      </c>
      <c r="R95" s="156">
        <f t="shared" si="47"/>
        <v>0.37321633362293655</v>
      </c>
      <c r="S95" s="156">
        <f t="shared" si="48"/>
        <v>0.5014317984361425</v>
      </c>
      <c r="T95" s="156">
        <f t="shared" si="49"/>
        <v>0.15902693310165072</v>
      </c>
      <c r="U95" s="156">
        <f t="shared" si="50"/>
        <v>0.24847958297132927</v>
      </c>
      <c r="V95" s="161" t="s">
        <v>518</v>
      </c>
      <c r="W95" s="162" t="s">
        <v>263</v>
      </c>
      <c r="X95" s="158">
        <f t="shared" si="51"/>
        <v>0.1671048537647791</v>
      </c>
      <c r="Y95" s="158">
        <f t="shared" si="52"/>
        <v>0.11756378344741755</v>
      </c>
      <c r="Z95" s="158">
        <f t="shared" si="53"/>
        <v>6.4257934038581196E-2</v>
      </c>
      <c r="AA95" s="158">
        <f t="shared" si="54"/>
        <v>8.6333229620410692E-2</v>
      </c>
      <c r="AB95" s="158">
        <f t="shared" si="55"/>
        <v>2.7380211574362167E-2</v>
      </c>
      <c r="AC95" s="158">
        <f t="shared" si="56"/>
        <v>4.2781580584940887E-2</v>
      </c>
      <c r="AD95" s="135"/>
      <c r="AE95" s="135"/>
      <c r="AF95" s="135"/>
      <c r="AG95" s="135"/>
    </row>
    <row r="96" spans="1:33" ht="15.75" customHeight="1" x14ac:dyDescent="0.3">
      <c r="A96" s="18"/>
      <c r="B96" s="163" t="s">
        <v>546</v>
      </c>
      <c r="C96" s="164">
        <f>SUM(C77:C95)</f>
        <v>28775</v>
      </c>
      <c r="D96" s="19"/>
      <c r="E96" s="19"/>
      <c r="F96" s="165"/>
      <c r="G96" s="165"/>
      <c r="H96" s="165"/>
      <c r="I96" s="165"/>
      <c r="J96" s="165"/>
      <c r="K96" s="165"/>
      <c r="L96" s="165"/>
      <c r="M96" s="19"/>
      <c r="N96" s="21"/>
      <c r="O96" s="21"/>
      <c r="P96" s="166">
        <f t="shared" ref="P96:U96" si="57">SUM(P77:P95)</f>
        <v>23.828371155516944</v>
      </c>
      <c r="Q96" s="166">
        <f t="shared" si="57"/>
        <v>11.385649695916593</v>
      </c>
      <c r="R96" s="166">
        <f t="shared" si="57"/>
        <v>6.7594085143353597</v>
      </c>
      <c r="S96" s="166">
        <f t="shared" si="57"/>
        <v>10.77060538662033</v>
      </c>
      <c r="T96" s="166">
        <f t="shared" si="57"/>
        <v>3.4713720243266728</v>
      </c>
      <c r="U96" s="166">
        <f t="shared" si="57"/>
        <v>5.8277643788010423</v>
      </c>
      <c r="V96" s="167">
        <f>SUM(P96:U96)</f>
        <v>62.043171155516951</v>
      </c>
      <c r="W96" s="135">
        <f>(P96/45)*100</f>
        <v>52.951935901148758</v>
      </c>
      <c r="X96" s="133"/>
      <c r="Y96" s="133"/>
      <c r="Z96" s="133"/>
      <c r="AA96" s="133"/>
      <c r="AB96" s="133"/>
      <c r="AC96" s="133"/>
      <c r="AD96" s="135"/>
      <c r="AE96" s="135"/>
      <c r="AF96" s="135"/>
      <c r="AG96" s="135"/>
    </row>
    <row r="97" spans="1:33" ht="14.25" customHeight="1" x14ac:dyDescent="0.3">
      <c r="A97" s="48" t="s">
        <v>242</v>
      </c>
      <c r="B97" s="228" t="s">
        <v>243</v>
      </c>
      <c r="C97" s="229"/>
      <c r="D97" s="229"/>
      <c r="E97" s="230"/>
      <c r="F97" s="175"/>
      <c r="G97" s="175"/>
      <c r="H97" s="175"/>
      <c r="I97" s="175"/>
      <c r="J97" s="175"/>
      <c r="K97" s="175"/>
      <c r="L97" s="107">
        <f t="shared" ref="L97:L136" si="58">+SUM(F97:K97)</f>
        <v>0</v>
      </c>
      <c r="M97" s="48"/>
      <c r="N97" s="1"/>
      <c r="O97" s="1"/>
      <c r="P97" s="1"/>
      <c r="Q97" s="1"/>
      <c r="R97" s="1"/>
      <c r="S97" s="1"/>
      <c r="T97" s="1"/>
      <c r="U97" s="1"/>
      <c r="V97" s="183"/>
      <c r="W97" s="1"/>
      <c r="X97" s="149"/>
      <c r="Y97" s="149"/>
      <c r="Z97" s="149"/>
      <c r="AA97" s="149"/>
      <c r="AB97" s="149"/>
      <c r="AC97" s="149"/>
      <c r="AD97" s="1"/>
      <c r="AE97" s="1"/>
      <c r="AF97" s="1"/>
      <c r="AG97" s="1"/>
    </row>
    <row r="98" spans="1:33" ht="15.75" customHeight="1" x14ac:dyDescent="0.3">
      <c r="A98" s="184">
        <v>1</v>
      </c>
      <c r="B98" s="185" t="s">
        <v>174</v>
      </c>
      <c r="C98" s="185">
        <v>1232</v>
      </c>
      <c r="D98" s="185" t="s">
        <v>175</v>
      </c>
      <c r="E98" s="185">
        <v>35000055</v>
      </c>
      <c r="F98" s="186">
        <v>27.63</v>
      </c>
      <c r="G98" s="186">
        <v>11.6</v>
      </c>
      <c r="H98" s="186">
        <v>3.5</v>
      </c>
      <c r="I98" s="186">
        <v>4.5</v>
      </c>
      <c r="J98" s="186">
        <v>3.5</v>
      </c>
      <c r="K98" s="186">
        <v>3.2</v>
      </c>
      <c r="L98" s="187">
        <f t="shared" si="58"/>
        <v>53.93</v>
      </c>
      <c r="M98" s="185" t="s">
        <v>549</v>
      </c>
      <c r="N98" s="188"/>
      <c r="O98" s="135"/>
      <c r="P98" s="156">
        <f t="shared" ref="P98:P136" si="59">(F98*C98)/$C$137</f>
        <v>0.87750464013198592</v>
      </c>
      <c r="Q98" s="156">
        <f t="shared" ref="Q98:Q136" si="60">(G98*C98)/$C$137</f>
        <v>0.36840585687770672</v>
      </c>
      <c r="R98" s="156">
        <f t="shared" ref="R98:R136" si="61">(H98*C98)/$C$137</f>
        <v>0.11115693957517014</v>
      </c>
      <c r="S98" s="156">
        <f t="shared" ref="S98:S136" si="62">(I98*C98)/$C$137</f>
        <v>0.1429160651680759</v>
      </c>
      <c r="T98" s="156">
        <f t="shared" ref="T98:T136" si="63">(J98*C98)/$C$137</f>
        <v>0.11115693957517014</v>
      </c>
      <c r="U98" s="156">
        <f t="shared" ref="U98:U136" si="64">(K98*C98)/$C$137</f>
        <v>0.10162920189729842</v>
      </c>
      <c r="V98" s="157"/>
      <c r="W98" s="135"/>
      <c r="X98" s="158">
        <f t="shared" ref="X98:X136" si="65">(F98*C98)/$C$202</f>
        <v>0.20367718156143791</v>
      </c>
      <c r="Y98" s="158">
        <f t="shared" ref="Y98:Y136" si="66">(G98*C98)/$C$202</f>
        <v>8.5510506916854134E-2</v>
      </c>
      <c r="Z98" s="158">
        <f t="shared" ref="Z98:Z136" si="67">(H98*C98)/$C$202</f>
        <v>2.5800583983533579E-2</v>
      </c>
      <c r="AA98" s="158">
        <f t="shared" ref="AA98:AA136" si="68">(I98*C98)/$C$202</f>
        <v>3.3172179407400318E-2</v>
      </c>
      <c r="AB98" s="158">
        <f t="shared" ref="AB98:AB136" si="69">(J98*C98)/$C$202</f>
        <v>2.5800583983533579E-2</v>
      </c>
      <c r="AC98" s="158">
        <f t="shared" ref="AC98:AC136" si="70">(K98*C98)/$C$202</f>
        <v>2.3589105356373558E-2</v>
      </c>
      <c r="AD98" s="135"/>
      <c r="AE98" s="135"/>
      <c r="AF98" s="189">
        <v>2020</v>
      </c>
      <c r="AG98" s="189" t="s">
        <v>550</v>
      </c>
    </row>
    <row r="99" spans="1:33" ht="15.75" customHeight="1" x14ac:dyDescent="0.3">
      <c r="A99" s="184">
        <v>2</v>
      </c>
      <c r="B99" s="185" t="s">
        <v>177</v>
      </c>
      <c r="C99" s="185">
        <v>1155</v>
      </c>
      <c r="D99" s="185" t="s">
        <v>175</v>
      </c>
      <c r="E99" s="185">
        <v>35000056</v>
      </c>
      <c r="F99" s="186">
        <v>30.33</v>
      </c>
      <c r="G99" s="186">
        <v>11.34</v>
      </c>
      <c r="H99" s="186">
        <v>5.2</v>
      </c>
      <c r="I99" s="186">
        <v>9.8000000000000007</v>
      </c>
      <c r="J99" s="186">
        <v>3.58</v>
      </c>
      <c r="K99" s="186">
        <v>5.56</v>
      </c>
      <c r="L99" s="187">
        <f t="shared" si="58"/>
        <v>65.81</v>
      </c>
      <c r="M99" s="185" t="s">
        <v>544</v>
      </c>
      <c r="N99" s="188"/>
      <c r="O99" s="135"/>
      <c r="P99" s="156">
        <f t="shared" si="59"/>
        <v>0.9030508867807796</v>
      </c>
      <c r="Q99" s="156">
        <f t="shared" si="60"/>
        <v>0.3376392039595793</v>
      </c>
      <c r="R99" s="156">
        <f t="shared" si="61"/>
        <v>0.15482573726541554</v>
      </c>
      <c r="S99" s="156">
        <f t="shared" si="62"/>
        <v>0.2917869663848216</v>
      </c>
      <c r="T99" s="156">
        <f t="shared" si="63"/>
        <v>0.10659156527118993</v>
      </c>
      <c r="U99" s="156">
        <f t="shared" si="64"/>
        <v>0.16554444215302122</v>
      </c>
      <c r="V99" s="157"/>
      <c r="W99" s="135"/>
      <c r="X99" s="158">
        <f t="shared" si="65"/>
        <v>0.20960670863051076</v>
      </c>
      <c r="Y99" s="158">
        <f t="shared" si="66"/>
        <v>7.8369273849983254E-2</v>
      </c>
      <c r="Z99" s="158">
        <f t="shared" si="67"/>
        <v>3.5936527691350341E-2</v>
      </c>
      <c r="AA99" s="158">
        <f t="shared" si="68"/>
        <v>6.7726532956775651E-2</v>
      </c>
      <c r="AB99" s="158">
        <f t="shared" si="69"/>
        <v>2.4740917141352733E-2</v>
      </c>
      <c r="AC99" s="158">
        <f t="shared" si="70"/>
        <v>3.842444114690536E-2</v>
      </c>
      <c r="AD99" s="135"/>
      <c r="AE99" s="135"/>
      <c r="AF99" s="189">
        <v>2025</v>
      </c>
      <c r="AG99" s="189" t="s">
        <v>551</v>
      </c>
    </row>
    <row r="100" spans="1:33" ht="15.75" customHeight="1" x14ac:dyDescent="0.3">
      <c r="A100" s="184">
        <v>3</v>
      </c>
      <c r="B100" s="185" t="s">
        <v>178</v>
      </c>
      <c r="C100" s="185">
        <v>422</v>
      </c>
      <c r="D100" s="185" t="s">
        <v>175</v>
      </c>
      <c r="E100" s="185">
        <v>35000057</v>
      </c>
      <c r="F100" s="186">
        <v>22.5</v>
      </c>
      <c r="G100" s="186">
        <v>6.85</v>
      </c>
      <c r="H100" s="186">
        <v>5.08</v>
      </c>
      <c r="I100" s="186">
        <v>9.08</v>
      </c>
      <c r="J100" s="186">
        <v>3.65</v>
      </c>
      <c r="K100" s="186">
        <v>7.6</v>
      </c>
      <c r="L100" s="187">
        <f t="shared" si="58"/>
        <v>54.76</v>
      </c>
      <c r="M100" s="185" t="s">
        <v>548</v>
      </c>
      <c r="N100" s="188"/>
      <c r="O100" s="135"/>
      <c r="P100" s="156">
        <f t="shared" si="59"/>
        <v>0.24476696226025985</v>
      </c>
      <c r="Q100" s="156">
        <f t="shared" si="60"/>
        <v>7.4517941843679103E-2</v>
      </c>
      <c r="R100" s="156">
        <f t="shared" si="61"/>
        <v>5.5262940812538672E-2</v>
      </c>
      <c r="S100" s="156">
        <f t="shared" si="62"/>
        <v>9.8777067436584862E-2</v>
      </c>
      <c r="T100" s="156">
        <f t="shared" si="63"/>
        <v>3.9706640544442152E-2</v>
      </c>
      <c r="U100" s="156">
        <f t="shared" si="64"/>
        <v>8.2676840585687764E-2</v>
      </c>
      <c r="V100" s="157"/>
      <c r="W100" s="135"/>
      <c r="X100" s="158">
        <f t="shared" si="65"/>
        <v>5.6812742329232682E-2</v>
      </c>
      <c r="Y100" s="158">
        <f t="shared" si="66"/>
        <v>1.7296323775788616E-2</v>
      </c>
      <c r="Z100" s="158">
        <f t="shared" si="67"/>
        <v>1.2827054712555647E-2</v>
      </c>
      <c r="AA100" s="158">
        <f t="shared" si="68"/>
        <v>2.2927097793308125E-2</v>
      </c>
      <c r="AB100" s="158">
        <f t="shared" si="69"/>
        <v>9.2162893111866345E-3</v>
      </c>
      <c r="AC100" s="158">
        <f t="shared" si="70"/>
        <v>1.9190081853429707E-2</v>
      </c>
      <c r="AD100" s="135"/>
      <c r="AE100" s="135"/>
      <c r="AF100" s="189">
        <v>2023</v>
      </c>
      <c r="AG100" s="189" t="s">
        <v>552</v>
      </c>
    </row>
    <row r="101" spans="1:33" ht="15.75" customHeight="1" x14ac:dyDescent="0.3">
      <c r="A101" s="184">
        <v>4</v>
      </c>
      <c r="B101" s="185" t="s">
        <v>179</v>
      </c>
      <c r="C101" s="185">
        <v>194</v>
      </c>
      <c r="D101" s="185" t="s">
        <v>175</v>
      </c>
      <c r="E101" s="185">
        <v>35000058</v>
      </c>
      <c r="F101" s="186">
        <v>32.479999999999997</v>
      </c>
      <c r="G101" s="186">
        <v>10.26</v>
      </c>
      <c r="H101" s="186">
        <v>5.6</v>
      </c>
      <c r="I101" s="186">
        <v>9.2200000000000006</v>
      </c>
      <c r="J101" s="186">
        <v>3.5</v>
      </c>
      <c r="K101" s="186">
        <v>5.8</v>
      </c>
      <c r="L101" s="187">
        <f t="shared" si="58"/>
        <v>66.86</v>
      </c>
      <c r="M101" s="185" t="s">
        <v>545</v>
      </c>
      <c r="N101" s="188"/>
      <c r="O101" s="135"/>
      <c r="P101" s="156">
        <f t="shared" si="59"/>
        <v>0.16243349144153432</v>
      </c>
      <c r="Q101" s="156">
        <f t="shared" si="60"/>
        <v>5.131057950092803E-2</v>
      </c>
      <c r="R101" s="156">
        <f t="shared" si="61"/>
        <v>2.8005774386471435E-2</v>
      </c>
      <c r="S101" s="156">
        <f t="shared" si="62"/>
        <v>4.6109507114869046E-2</v>
      </c>
      <c r="T101" s="156">
        <f t="shared" si="63"/>
        <v>1.7503608991544649E-2</v>
      </c>
      <c r="U101" s="156">
        <f t="shared" si="64"/>
        <v>2.9005980614559706E-2</v>
      </c>
      <c r="V101" s="157"/>
      <c r="W101" s="135"/>
      <c r="X101" s="158">
        <f t="shared" si="65"/>
        <v>3.7702359867885685E-2</v>
      </c>
      <c r="Y101" s="158">
        <f t="shared" si="66"/>
        <v>1.1909674022306256E-2</v>
      </c>
      <c r="Z101" s="158">
        <f t="shared" si="67"/>
        <v>6.5004068737733942E-3</v>
      </c>
      <c r="AA101" s="158">
        <f t="shared" si="68"/>
        <v>1.0702455602891198E-2</v>
      </c>
      <c r="AB101" s="158">
        <f t="shared" si="69"/>
        <v>4.0627542961083722E-3</v>
      </c>
      <c r="AC101" s="158">
        <f t="shared" si="70"/>
        <v>6.7325642621224452E-3</v>
      </c>
      <c r="AD101" s="135"/>
      <c r="AE101" s="135"/>
      <c r="AF101" s="189">
        <v>2023</v>
      </c>
      <c r="AG101" s="189" t="s">
        <v>553</v>
      </c>
    </row>
    <row r="102" spans="1:33" ht="15.75" customHeight="1" x14ac:dyDescent="0.3">
      <c r="A102" s="184">
        <v>5</v>
      </c>
      <c r="B102" s="185" t="s">
        <v>180</v>
      </c>
      <c r="C102" s="185">
        <v>684</v>
      </c>
      <c r="D102" s="185" t="s">
        <v>175</v>
      </c>
      <c r="E102" s="185">
        <v>35000059</v>
      </c>
      <c r="F102" s="186">
        <v>32.549999999999997</v>
      </c>
      <c r="G102" s="186">
        <v>12.16</v>
      </c>
      <c r="H102" s="186">
        <v>5.14</v>
      </c>
      <c r="I102" s="186">
        <v>7.1</v>
      </c>
      <c r="J102" s="186">
        <v>3.2</v>
      </c>
      <c r="K102" s="186">
        <v>6.64</v>
      </c>
      <c r="L102" s="187">
        <f t="shared" si="58"/>
        <v>66.789999999999992</v>
      </c>
      <c r="M102" s="185" t="s">
        <v>543</v>
      </c>
      <c r="N102" s="188"/>
      <c r="O102" s="135"/>
      <c r="P102" s="156">
        <f t="shared" si="59"/>
        <v>0.57393792534543198</v>
      </c>
      <c r="Q102" s="156">
        <f t="shared" si="60"/>
        <v>0.21441121880800165</v>
      </c>
      <c r="R102" s="156">
        <f t="shared" si="61"/>
        <v>9.0631057950092797E-2</v>
      </c>
      <c r="S102" s="156">
        <f t="shared" si="62"/>
        <v>0.12519076098164569</v>
      </c>
      <c r="T102" s="156">
        <f t="shared" si="63"/>
        <v>5.6424004949474124E-2</v>
      </c>
      <c r="U102" s="156">
        <f t="shared" si="64"/>
        <v>0.1170798102701588</v>
      </c>
      <c r="V102" s="157"/>
      <c r="W102" s="135"/>
      <c r="X102" s="158">
        <f t="shared" si="65"/>
        <v>0.13321645684744626</v>
      </c>
      <c r="Y102" s="158">
        <f t="shared" si="66"/>
        <v>4.9766885261595908E-2</v>
      </c>
      <c r="Z102" s="158">
        <f t="shared" si="67"/>
        <v>2.1036331434589058E-2</v>
      </c>
      <c r="AA102" s="158">
        <f t="shared" si="68"/>
        <v>2.9057967545833133E-2</v>
      </c>
      <c r="AB102" s="158">
        <f t="shared" si="69"/>
        <v>1.3096548753051555E-2</v>
      </c>
      <c r="AC102" s="158">
        <f t="shared" si="70"/>
        <v>2.7175338662581976E-2</v>
      </c>
      <c r="AD102" s="135"/>
      <c r="AE102" s="135"/>
      <c r="AF102" s="189">
        <v>2022</v>
      </c>
      <c r="AG102" s="189" t="s">
        <v>554</v>
      </c>
    </row>
    <row r="103" spans="1:33" ht="15.75" customHeight="1" x14ac:dyDescent="0.3">
      <c r="A103" s="184">
        <v>6</v>
      </c>
      <c r="B103" s="185" t="s">
        <v>181</v>
      </c>
      <c r="C103" s="185">
        <v>461</v>
      </c>
      <c r="D103" s="185" t="s">
        <v>175</v>
      </c>
      <c r="E103" s="185">
        <v>35000060</v>
      </c>
      <c r="F103" s="186">
        <v>29.73</v>
      </c>
      <c r="G103" s="186">
        <v>10.18</v>
      </c>
      <c r="H103" s="186">
        <v>7.71</v>
      </c>
      <c r="I103" s="186">
        <v>10.25</v>
      </c>
      <c r="J103" s="186">
        <v>3.5</v>
      </c>
      <c r="K103" s="186">
        <v>7.15</v>
      </c>
      <c r="L103" s="187">
        <f t="shared" si="58"/>
        <v>68.52</v>
      </c>
      <c r="M103" s="185" t="s">
        <v>548</v>
      </c>
      <c r="N103" s="188"/>
      <c r="O103" s="135"/>
      <c r="P103" s="156">
        <f t="shared" si="59"/>
        <v>0.35330815632089091</v>
      </c>
      <c r="Q103" s="156">
        <f t="shared" si="60"/>
        <v>0.1209780367085997</v>
      </c>
      <c r="R103" s="156">
        <f t="shared" si="61"/>
        <v>9.1624819550422773E-2</v>
      </c>
      <c r="S103" s="156">
        <f t="shared" si="62"/>
        <v>0.12180990925964116</v>
      </c>
      <c r="T103" s="156">
        <f t="shared" si="63"/>
        <v>4.159362755207259E-2</v>
      </c>
      <c r="U103" s="156">
        <f t="shared" si="64"/>
        <v>8.496983914209115E-2</v>
      </c>
      <c r="V103" s="157"/>
      <c r="W103" s="135"/>
      <c r="X103" s="158">
        <f t="shared" si="65"/>
        <v>8.2006186874730755E-2</v>
      </c>
      <c r="Y103" s="158">
        <f t="shared" si="66"/>
        <v>2.8080154133358862E-2</v>
      </c>
      <c r="Z103" s="158">
        <f t="shared" si="67"/>
        <v>2.1266992963477095E-2</v>
      </c>
      <c r="AA103" s="158">
        <f t="shared" si="68"/>
        <v>2.827323967258628E-2</v>
      </c>
      <c r="AB103" s="158">
        <f t="shared" si="69"/>
        <v>9.6542769613709254E-3</v>
      </c>
      <c r="AC103" s="158">
        <f t="shared" si="70"/>
        <v>1.9722308649657749E-2</v>
      </c>
      <c r="AD103" s="135"/>
      <c r="AE103" s="135"/>
      <c r="AF103" s="189">
        <v>2019</v>
      </c>
      <c r="AG103" s="189" t="s">
        <v>555</v>
      </c>
    </row>
    <row r="104" spans="1:33" ht="15.75" customHeight="1" x14ac:dyDescent="0.3">
      <c r="A104" s="184">
        <v>7</v>
      </c>
      <c r="B104" s="185" t="s">
        <v>176</v>
      </c>
      <c r="C104" s="185">
        <v>50</v>
      </c>
      <c r="D104" s="185" t="s">
        <v>175</v>
      </c>
      <c r="E104" s="185">
        <v>35000197</v>
      </c>
      <c r="F104" s="186">
        <v>12.03</v>
      </c>
      <c r="G104" s="186">
        <v>10</v>
      </c>
      <c r="H104" s="186">
        <v>6.8</v>
      </c>
      <c r="I104" s="186">
        <v>11.39</v>
      </c>
      <c r="J104" s="186">
        <v>3.4</v>
      </c>
      <c r="K104" s="186">
        <v>4.97</v>
      </c>
      <c r="L104" s="187">
        <f t="shared" si="58"/>
        <v>48.589999999999996</v>
      </c>
      <c r="M104" s="185" t="s">
        <v>548</v>
      </c>
      <c r="N104" s="188"/>
      <c r="O104" s="135"/>
      <c r="P104" s="156">
        <f t="shared" si="59"/>
        <v>1.5505774386471438E-2</v>
      </c>
      <c r="Q104" s="156">
        <f t="shared" si="60"/>
        <v>1.2889255516601361E-2</v>
      </c>
      <c r="R104" s="156">
        <f t="shared" si="61"/>
        <v>8.7646937512889257E-3</v>
      </c>
      <c r="S104" s="156">
        <f t="shared" si="62"/>
        <v>1.468086203340895E-2</v>
      </c>
      <c r="T104" s="156">
        <f t="shared" si="63"/>
        <v>4.3823468756444628E-3</v>
      </c>
      <c r="U104" s="156">
        <f t="shared" si="64"/>
        <v>6.4059599917508769E-3</v>
      </c>
      <c r="V104" s="157"/>
      <c r="W104" s="135"/>
      <c r="X104" s="158">
        <f t="shared" si="65"/>
        <v>3.599037863194677E-3</v>
      </c>
      <c r="Y104" s="158">
        <f t="shared" si="66"/>
        <v>2.9917189220238379E-3</v>
      </c>
      <c r="Z104" s="158">
        <f t="shared" si="67"/>
        <v>2.0343688669762099E-3</v>
      </c>
      <c r="AA104" s="158">
        <f t="shared" si="68"/>
        <v>3.4075678521851517E-3</v>
      </c>
      <c r="AB104" s="158">
        <f t="shared" si="69"/>
        <v>1.017184433488105E-3</v>
      </c>
      <c r="AC104" s="158">
        <f t="shared" si="70"/>
        <v>1.4868843042458474E-3</v>
      </c>
      <c r="AD104" s="135"/>
      <c r="AE104" s="135"/>
      <c r="AF104" s="189">
        <v>2019</v>
      </c>
      <c r="AG104" s="189" t="s">
        <v>556</v>
      </c>
    </row>
    <row r="105" spans="1:33" ht="15.75" customHeight="1" x14ac:dyDescent="0.3">
      <c r="A105" s="184">
        <v>8</v>
      </c>
      <c r="B105" s="185" t="s">
        <v>182</v>
      </c>
      <c r="C105" s="185">
        <v>1554</v>
      </c>
      <c r="D105" s="185" t="s">
        <v>183</v>
      </c>
      <c r="E105" s="185">
        <v>35000061</v>
      </c>
      <c r="F105" s="186">
        <v>32.68</v>
      </c>
      <c r="G105" s="186">
        <v>10.130000000000001</v>
      </c>
      <c r="H105" s="186">
        <v>7.69</v>
      </c>
      <c r="I105" s="186">
        <v>11.18</v>
      </c>
      <c r="J105" s="186">
        <v>3.5</v>
      </c>
      <c r="K105" s="186">
        <v>8.2799999999999994</v>
      </c>
      <c r="L105" s="187">
        <f t="shared" si="58"/>
        <v>73.460000000000008</v>
      </c>
      <c r="M105" s="185" t="s">
        <v>548</v>
      </c>
      <c r="N105" s="188"/>
      <c r="O105" s="135"/>
      <c r="P105" s="156">
        <f t="shared" si="59"/>
        <v>1.309154464838111</v>
      </c>
      <c r="Q105" s="156">
        <f t="shared" si="60"/>
        <v>0.40580583625489791</v>
      </c>
      <c r="R105" s="156">
        <f t="shared" si="61"/>
        <v>0.30805990925964116</v>
      </c>
      <c r="S105" s="156">
        <f t="shared" si="62"/>
        <v>0.44786863270777483</v>
      </c>
      <c r="T105" s="156">
        <f t="shared" si="63"/>
        <v>0.14020932150958962</v>
      </c>
      <c r="U105" s="156">
        <f t="shared" si="64"/>
        <v>0.33169519488554339</v>
      </c>
      <c r="V105" s="157"/>
      <c r="W105" s="135"/>
      <c r="X105" s="158">
        <f t="shared" si="65"/>
        <v>0.3038672155473649</v>
      </c>
      <c r="Y105" s="158">
        <f t="shared" si="66"/>
        <v>9.4191398209755403E-2</v>
      </c>
      <c r="Z105" s="158">
        <f t="shared" si="67"/>
        <v>7.1503637930209182E-2</v>
      </c>
      <c r="AA105" s="158">
        <f t="shared" si="68"/>
        <v>0.10395457373988799</v>
      </c>
      <c r="AB105" s="158">
        <f t="shared" si="69"/>
        <v>3.2543918433775312E-2</v>
      </c>
      <c r="AC105" s="158">
        <f t="shared" si="70"/>
        <v>7.6989612751902733E-2</v>
      </c>
      <c r="AD105" s="135"/>
      <c r="AE105" s="135"/>
      <c r="AF105" s="189">
        <v>2023</v>
      </c>
      <c r="AG105" s="189" t="s">
        <v>557</v>
      </c>
    </row>
    <row r="106" spans="1:33" ht="15.75" customHeight="1" x14ac:dyDescent="0.3">
      <c r="A106" s="184">
        <v>9</v>
      </c>
      <c r="B106" s="185" t="s">
        <v>184</v>
      </c>
      <c r="C106" s="185">
        <v>745</v>
      </c>
      <c r="D106" s="185" t="s">
        <v>185</v>
      </c>
      <c r="E106" s="185">
        <v>35000062</v>
      </c>
      <c r="F106" s="186">
        <v>28.63</v>
      </c>
      <c r="G106" s="186">
        <v>10.16</v>
      </c>
      <c r="H106" s="186">
        <v>5.34</v>
      </c>
      <c r="I106" s="186">
        <v>11.53</v>
      </c>
      <c r="J106" s="186">
        <v>4.0999999999999996</v>
      </c>
      <c r="K106" s="186">
        <v>7</v>
      </c>
      <c r="L106" s="187">
        <f t="shared" si="58"/>
        <v>66.759999999999991</v>
      </c>
      <c r="M106" s="185" t="s">
        <v>543</v>
      </c>
      <c r="N106" s="188"/>
      <c r="O106" s="135"/>
      <c r="P106" s="156">
        <f t="shared" si="59"/>
        <v>0.54983888430604244</v>
      </c>
      <c r="Q106" s="156">
        <f t="shared" si="60"/>
        <v>0.19512270571251805</v>
      </c>
      <c r="R106" s="156">
        <f t="shared" si="61"/>
        <v>0.10255465044339038</v>
      </c>
      <c r="S106" s="156">
        <f t="shared" si="62"/>
        <v>0.22143354299855642</v>
      </c>
      <c r="T106" s="156">
        <f t="shared" si="63"/>
        <v>7.8740461950917703E-2</v>
      </c>
      <c r="U106" s="156">
        <f t="shared" si="64"/>
        <v>0.13443493503815221</v>
      </c>
      <c r="V106" s="157"/>
      <c r="W106" s="135"/>
      <c r="X106" s="158">
        <f t="shared" si="65"/>
        <v>0.12762283997893828</v>
      </c>
      <c r="Y106" s="158">
        <f t="shared" si="66"/>
        <v>4.5289837729165672E-2</v>
      </c>
      <c r="Z106" s="158">
        <f t="shared" si="67"/>
        <v>2.3803910774974867E-2</v>
      </c>
      <c r="AA106" s="158">
        <f t="shared" si="68"/>
        <v>5.1396833564692934E-2</v>
      </c>
      <c r="AB106" s="158">
        <f t="shared" si="69"/>
        <v>1.8276410894643623E-2</v>
      </c>
      <c r="AC106" s="158">
        <f t="shared" si="70"/>
        <v>3.1203628356708632E-2</v>
      </c>
      <c r="AD106" s="135"/>
      <c r="AE106" s="135"/>
      <c r="AF106" s="189">
        <v>2022</v>
      </c>
      <c r="AG106" s="189" t="s">
        <v>558</v>
      </c>
    </row>
    <row r="107" spans="1:33" ht="15.75" customHeight="1" x14ac:dyDescent="0.3">
      <c r="A107" s="184">
        <v>10</v>
      </c>
      <c r="B107" s="185" t="s">
        <v>186</v>
      </c>
      <c r="C107" s="185">
        <v>230</v>
      </c>
      <c r="D107" s="185" t="s">
        <v>187</v>
      </c>
      <c r="E107" s="185">
        <v>35000063</v>
      </c>
      <c r="F107" s="186">
        <v>26.37</v>
      </c>
      <c r="G107" s="186">
        <v>13.38</v>
      </c>
      <c r="H107" s="186">
        <v>4.5</v>
      </c>
      <c r="I107" s="186">
        <v>12.11</v>
      </c>
      <c r="J107" s="186">
        <v>4.25</v>
      </c>
      <c r="K107" s="186">
        <v>7.38</v>
      </c>
      <c r="L107" s="187">
        <f t="shared" si="58"/>
        <v>67.989999999999995</v>
      </c>
      <c r="M107" s="185" t="s">
        <v>543</v>
      </c>
      <c r="N107" s="188"/>
      <c r="O107" s="135"/>
      <c r="P107" s="156">
        <f t="shared" si="59"/>
        <v>0.15634924726747784</v>
      </c>
      <c r="Q107" s="156">
        <f t="shared" si="60"/>
        <v>7.9330789853578054E-2</v>
      </c>
      <c r="R107" s="156">
        <f t="shared" si="61"/>
        <v>2.6680758919364816E-2</v>
      </c>
      <c r="S107" s="156">
        <f t="shared" si="62"/>
        <v>7.1800886780779533E-2</v>
      </c>
      <c r="T107" s="156">
        <f t="shared" si="63"/>
        <v>2.5198494534955661E-2</v>
      </c>
      <c r="U107" s="156">
        <f t="shared" si="64"/>
        <v>4.3756444627758295E-2</v>
      </c>
      <c r="V107" s="157"/>
      <c r="W107" s="135"/>
      <c r="X107" s="158">
        <f t="shared" si="65"/>
        <v>3.629014886793356E-2</v>
      </c>
      <c r="Y107" s="158">
        <f t="shared" si="66"/>
        <v>1.8413431621272319E-2</v>
      </c>
      <c r="Z107" s="158">
        <f t="shared" si="67"/>
        <v>6.1928581685893446E-3</v>
      </c>
      <c r="AA107" s="158">
        <f t="shared" si="68"/>
        <v>1.6665669427025992E-2</v>
      </c>
      <c r="AB107" s="158">
        <f t="shared" si="69"/>
        <v>5.8488104925566034E-3</v>
      </c>
      <c r="AC107" s="158">
        <f t="shared" si="70"/>
        <v>1.0156287396486524E-2</v>
      </c>
      <c r="AD107" s="135"/>
      <c r="AE107" s="135"/>
      <c r="AF107" s="189">
        <v>2022</v>
      </c>
      <c r="AG107" s="189" t="s">
        <v>559</v>
      </c>
    </row>
    <row r="108" spans="1:33" ht="15.75" customHeight="1" x14ac:dyDescent="0.3">
      <c r="A108" s="184">
        <v>11</v>
      </c>
      <c r="B108" s="185" t="s">
        <v>130</v>
      </c>
      <c r="C108" s="185">
        <v>367</v>
      </c>
      <c r="D108" s="185" t="s">
        <v>188</v>
      </c>
      <c r="E108" s="185">
        <v>35000064</v>
      </c>
      <c r="F108" s="186">
        <v>20.94</v>
      </c>
      <c r="G108" s="186">
        <v>11.4</v>
      </c>
      <c r="H108" s="186">
        <v>7</v>
      </c>
      <c r="I108" s="186">
        <v>12.63</v>
      </c>
      <c r="J108" s="186">
        <v>3.5</v>
      </c>
      <c r="K108" s="186">
        <v>3.2</v>
      </c>
      <c r="L108" s="187">
        <f t="shared" si="58"/>
        <v>58.670000000000009</v>
      </c>
      <c r="M108" s="185" t="s">
        <v>548</v>
      </c>
      <c r="N108" s="188"/>
      <c r="O108" s="135"/>
      <c r="P108" s="156">
        <f t="shared" si="59"/>
        <v>0.19810734171994226</v>
      </c>
      <c r="Q108" s="156">
        <f t="shared" si="60"/>
        <v>0.10785213446071355</v>
      </c>
      <c r="R108" s="156">
        <f t="shared" si="61"/>
        <v>6.6224994844297794E-2</v>
      </c>
      <c r="S108" s="156">
        <f t="shared" si="62"/>
        <v>0.1194888121262116</v>
      </c>
      <c r="T108" s="156">
        <f t="shared" si="63"/>
        <v>3.3112497422148897E-2</v>
      </c>
      <c r="U108" s="156">
        <f t="shared" si="64"/>
        <v>3.0274283357393281E-2</v>
      </c>
      <c r="V108" s="157"/>
      <c r="W108" s="135"/>
      <c r="X108" s="158">
        <f t="shared" si="65"/>
        <v>4.5982600162749514E-2</v>
      </c>
      <c r="Y108" s="158">
        <f t="shared" si="66"/>
        <v>2.5033507251926667E-2</v>
      </c>
      <c r="Z108" s="158">
        <f t="shared" si="67"/>
        <v>1.5371451821358479E-2</v>
      </c>
      <c r="AA108" s="158">
        <f t="shared" si="68"/>
        <v>2.7734490929108228E-2</v>
      </c>
      <c r="AB108" s="158">
        <f t="shared" si="69"/>
        <v>7.6857259106792395E-3</v>
      </c>
      <c r="AC108" s="158">
        <f t="shared" si="70"/>
        <v>7.0269494040495909E-3</v>
      </c>
      <c r="AD108" s="135"/>
      <c r="AE108" s="135"/>
      <c r="AF108" s="189">
        <v>2019</v>
      </c>
      <c r="AG108" s="189" t="s">
        <v>560</v>
      </c>
    </row>
    <row r="109" spans="1:33" ht="15.75" customHeight="1" x14ac:dyDescent="0.3">
      <c r="A109" s="184">
        <v>12</v>
      </c>
      <c r="B109" s="185" t="s">
        <v>189</v>
      </c>
      <c r="C109" s="185">
        <v>215</v>
      </c>
      <c r="D109" s="185" t="s">
        <v>188</v>
      </c>
      <c r="E109" s="185">
        <v>35000065</v>
      </c>
      <c r="F109" s="186">
        <v>24.17</v>
      </c>
      <c r="G109" s="186">
        <v>5.95</v>
      </c>
      <c r="H109" s="186">
        <v>7</v>
      </c>
      <c r="I109" s="186">
        <v>12.27</v>
      </c>
      <c r="J109" s="186">
        <v>3.5</v>
      </c>
      <c r="K109" s="186">
        <v>7</v>
      </c>
      <c r="L109" s="187">
        <f t="shared" si="58"/>
        <v>59.89</v>
      </c>
      <c r="M109" s="185" t="s">
        <v>548</v>
      </c>
      <c r="N109" s="188"/>
      <c r="O109" s="135"/>
      <c r="P109" s="156">
        <f t="shared" si="59"/>
        <v>0.13395932150958961</v>
      </c>
      <c r="Q109" s="156">
        <f t="shared" si="60"/>
        <v>3.2977160239224583E-2</v>
      </c>
      <c r="R109" s="156">
        <f t="shared" si="61"/>
        <v>3.8796659104970099E-2</v>
      </c>
      <c r="S109" s="156">
        <f t="shared" si="62"/>
        <v>6.8005001031140433E-2</v>
      </c>
      <c r="T109" s="156">
        <f t="shared" si="63"/>
        <v>1.939832955248505E-2</v>
      </c>
      <c r="U109" s="156">
        <f t="shared" si="64"/>
        <v>3.8796659104970099E-2</v>
      </c>
      <c r="V109" s="157"/>
      <c r="W109" s="135"/>
      <c r="X109" s="158">
        <f t="shared" si="65"/>
        <v>3.1093233928485953E-2</v>
      </c>
      <c r="Y109" s="158">
        <f t="shared" si="66"/>
        <v>7.6543128619979894E-3</v>
      </c>
      <c r="Z109" s="158">
        <f t="shared" si="67"/>
        <v>9.0050739552917525E-3</v>
      </c>
      <c r="AA109" s="158">
        <f t="shared" si="68"/>
        <v>1.5784608204489969E-2</v>
      </c>
      <c r="AB109" s="158">
        <f t="shared" si="69"/>
        <v>4.5025369776458763E-3</v>
      </c>
      <c r="AC109" s="158">
        <f t="shared" si="70"/>
        <v>9.0050739552917525E-3</v>
      </c>
      <c r="AD109" s="135"/>
      <c r="AE109" s="135"/>
      <c r="AF109" s="189">
        <v>2025</v>
      </c>
      <c r="AG109" s="189" t="s">
        <v>561</v>
      </c>
    </row>
    <row r="110" spans="1:33" ht="15.75" customHeight="1" x14ac:dyDescent="0.3">
      <c r="A110" s="184">
        <v>13</v>
      </c>
      <c r="B110" s="185" t="s">
        <v>190</v>
      </c>
      <c r="C110" s="185">
        <v>165</v>
      </c>
      <c r="D110" s="185" t="s">
        <v>188</v>
      </c>
      <c r="E110" s="185">
        <v>35000066</v>
      </c>
      <c r="F110" s="186">
        <v>20.22</v>
      </c>
      <c r="G110" s="186">
        <v>11.76</v>
      </c>
      <c r="H110" s="186">
        <v>7</v>
      </c>
      <c r="I110" s="186">
        <v>12.63</v>
      </c>
      <c r="J110" s="186">
        <v>3.5</v>
      </c>
      <c r="K110" s="186">
        <v>7</v>
      </c>
      <c r="L110" s="187">
        <f t="shared" si="58"/>
        <v>62.11</v>
      </c>
      <c r="M110" s="185" t="s">
        <v>547</v>
      </c>
      <c r="N110" s="188"/>
      <c r="O110" s="135"/>
      <c r="P110" s="156">
        <f t="shared" si="59"/>
        <v>8.600484636007423E-2</v>
      </c>
      <c r="Q110" s="156">
        <f t="shared" si="60"/>
        <v>5.0020622808826562E-2</v>
      </c>
      <c r="R110" s="156">
        <f t="shared" si="61"/>
        <v>2.9774180243349144E-2</v>
      </c>
      <c r="S110" s="156">
        <f t="shared" si="62"/>
        <v>5.3721128067642822E-2</v>
      </c>
      <c r="T110" s="156">
        <f t="shared" si="63"/>
        <v>1.4887090121674572E-2</v>
      </c>
      <c r="U110" s="156">
        <f t="shared" si="64"/>
        <v>2.9774180243349144E-2</v>
      </c>
      <c r="V110" s="157"/>
      <c r="W110" s="135"/>
      <c r="X110" s="158">
        <f t="shared" si="65"/>
        <v>1.9962543679096261E-2</v>
      </c>
      <c r="Y110" s="158">
        <f t="shared" si="66"/>
        <v>1.161026279259011E-2</v>
      </c>
      <c r="Z110" s="158">
        <f t="shared" si="67"/>
        <v>6.9108707098750662E-3</v>
      </c>
      <c r="AA110" s="158">
        <f t="shared" si="68"/>
        <v>1.2469185295103156E-2</v>
      </c>
      <c r="AB110" s="158">
        <f t="shared" si="69"/>
        <v>3.4554353549375331E-3</v>
      </c>
      <c r="AC110" s="158">
        <f t="shared" si="70"/>
        <v>6.9108707098750662E-3</v>
      </c>
      <c r="AD110" s="135"/>
      <c r="AE110" s="135"/>
      <c r="AF110" s="189">
        <v>2020</v>
      </c>
      <c r="AG110" s="189" t="s">
        <v>562</v>
      </c>
    </row>
    <row r="111" spans="1:33" ht="15.75" customHeight="1" x14ac:dyDescent="0.3">
      <c r="A111" s="184">
        <v>14</v>
      </c>
      <c r="B111" s="185" t="s">
        <v>191</v>
      </c>
      <c r="C111" s="185">
        <v>629</v>
      </c>
      <c r="D111" s="185" t="s">
        <v>188</v>
      </c>
      <c r="E111" s="185">
        <v>35000067</v>
      </c>
      <c r="F111" s="186">
        <v>19.66</v>
      </c>
      <c r="G111" s="186">
        <v>7.3</v>
      </c>
      <c r="H111" s="186">
        <v>5.75</v>
      </c>
      <c r="I111" s="186">
        <v>10.050000000000001</v>
      </c>
      <c r="J111" s="186">
        <v>4.03</v>
      </c>
      <c r="K111" s="186">
        <v>7</v>
      </c>
      <c r="L111" s="187">
        <f t="shared" si="58"/>
        <v>53.790000000000006</v>
      </c>
      <c r="M111" s="185" t="s">
        <v>543</v>
      </c>
      <c r="N111" s="188"/>
      <c r="O111" s="135"/>
      <c r="P111" s="156">
        <f t="shared" si="59"/>
        <v>0.31878067642812952</v>
      </c>
      <c r="Q111" s="156">
        <f t="shared" si="60"/>
        <v>0.11836718911115693</v>
      </c>
      <c r="R111" s="156">
        <f t="shared" si="61"/>
        <v>9.3234429779335951E-2</v>
      </c>
      <c r="S111" s="156">
        <f t="shared" si="62"/>
        <v>0.16295756857083937</v>
      </c>
      <c r="T111" s="156">
        <f t="shared" si="63"/>
        <v>6.534517426273459E-2</v>
      </c>
      <c r="U111" s="156">
        <f t="shared" si="64"/>
        <v>0.11350278407919158</v>
      </c>
      <c r="V111" s="157"/>
      <c r="W111" s="135"/>
      <c r="X111" s="158">
        <f t="shared" si="65"/>
        <v>7.3992030060791719E-2</v>
      </c>
      <c r="Y111" s="158">
        <f t="shared" si="66"/>
        <v>2.7474151548513712E-2</v>
      </c>
      <c r="Z111" s="158">
        <f t="shared" si="67"/>
        <v>2.1640598822459431E-2</v>
      </c>
      <c r="AA111" s="158">
        <f t="shared" si="68"/>
        <v>3.7824003159255187E-2</v>
      </c>
      <c r="AB111" s="158">
        <f t="shared" si="69"/>
        <v>1.5167237087741134E-2</v>
      </c>
      <c r="AC111" s="158">
        <f t="shared" si="70"/>
        <v>2.6345076827341919E-2</v>
      </c>
      <c r="AD111" s="135"/>
      <c r="AE111" s="135"/>
      <c r="AF111" s="189">
        <v>2024</v>
      </c>
      <c r="AG111" s="189" t="s">
        <v>563</v>
      </c>
    </row>
    <row r="112" spans="1:33" ht="15.75" customHeight="1" x14ac:dyDescent="0.3">
      <c r="A112" s="184">
        <v>15</v>
      </c>
      <c r="B112" s="185" t="s">
        <v>192</v>
      </c>
      <c r="C112" s="185">
        <v>2340</v>
      </c>
      <c r="D112" s="185" t="s">
        <v>188</v>
      </c>
      <c r="E112" s="185">
        <v>35000068</v>
      </c>
      <c r="F112" s="186">
        <v>33.06</v>
      </c>
      <c r="G112" s="186">
        <v>11.7</v>
      </c>
      <c r="H112" s="186">
        <v>4.5</v>
      </c>
      <c r="I112" s="186">
        <v>7.3</v>
      </c>
      <c r="J112" s="186">
        <v>3.58</v>
      </c>
      <c r="K112" s="186">
        <v>5.8</v>
      </c>
      <c r="L112" s="187">
        <f t="shared" si="58"/>
        <v>65.94</v>
      </c>
      <c r="M112" s="185" t="s">
        <v>543</v>
      </c>
      <c r="N112" s="188"/>
      <c r="O112" s="135"/>
      <c r="P112" s="156">
        <f t="shared" si="59"/>
        <v>1.9942359249329762</v>
      </c>
      <c r="Q112" s="156">
        <f t="shared" si="60"/>
        <v>0.7057640750670241</v>
      </c>
      <c r="R112" s="156">
        <f t="shared" si="61"/>
        <v>0.27144772117962468</v>
      </c>
      <c r="S112" s="156">
        <f t="shared" si="62"/>
        <v>0.44034852546916892</v>
      </c>
      <c r="T112" s="156">
        <f t="shared" si="63"/>
        <v>0.21595174262734587</v>
      </c>
      <c r="U112" s="156">
        <f t="shared" si="64"/>
        <v>0.34986595174262736</v>
      </c>
      <c r="V112" s="157"/>
      <c r="W112" s="135"/>
      <c r="X112" s="158">
        <f t="shared" si="65"/>
        <v>0.4628811449906659</v>
      </c>
      <c r="Y112" s="158">
        <f t="shared" si="66"/>
        <v>0.16381456129433727</v>
      </c>
      <c r="Z112" s="158">
        <f t="shared" si="67"/>
        <v>6.3005600497822029E-2</v>
      </c>
      <c r="AA112" s="158">
        <f t="shared" si="68"/>
        <v>0.10220908525202241</v>
      </c>
      <c r="AB112" s="158">
        <f t="shared" si="69"/>
        <v>5.0124455507156197E-2</v>
      </c>
      <c r="AC112" s="158">
        <f t="shared" si="70"/>
        <v>8.1207218419415056E-2</v>
      </c>
      <c r="AD112" s="135"/>
      <c r="AE112" s="135"/>
      <c r="AF112" s="189">
        <v>2025</v>
      </c>
      <c r="AG112" s="189" t="s">
        <v>564</v>
      </c>
    </row>
    <row r="113" spans="1:33" ht="15.75" customHeight="1" x14ac:dyDescent="0.3">
      <c r="A113" s="184">
        <v>16</v>
      </c>
      <c r="B113" s="185" t="s">
        <v>193</v>
      </c>
      <c r="C113" s="185">
        <v>789</v>
      </c>
      <c r="D113" s="185" t="s">
        <v>188</v>
      </c>
      <c r="E113" s="185">
        <v>35000069</v>
      </c>
      <c r="F113" s="186">
        <v>28.8</v>
      </c>
      <c r="G113" s="186">
        <v>12.1</v>
      </c>
      <c r="H113" s="186">
        <v>6.93</v>
      </c>
      <c r="I113" s="186">
        <v>10.79</v>
      </c>
      <c r="J113" s="186">
        <v>4.0999999999999996</v>
      </c>
      <c r="K113" s="186">
        <v>6.84</v>
      </c>
      <c r="L113" s="187">
        <f t="shared" si="58"/>
        <v>69.56</v>
      </c>
      <c r="M113" s="185" t="s">
        <v>548</v>
      </c>
      <c r="N113" s="188"/>
      <c r="O113" s="135"/>
      <c r="P113" s="156">
        <f t="shared" si="59"/>
        <v>0.58577026190967207</v>
      </c>
      <c r="Q113" s="156">
        <f t="shared" si="60"/>
        <v>0.24610486698288306</v>
      </c>
      <c r="R113" s="156">
        <f t="shared" si="61"/>
        <v>0.14095096927201484</v>
      </c>
      <c r="S113" s="156">
        <f t="shared" si="62"/>
        <v>0.21946045576407505</v>
      </c>
      <c r="T113" s="156">
        <f t="shared" si="63"/>
        <v>8.3390905341307484E-2</v>
      </c>
      <c r="U113" s="156">
        <f t="shared" si="64"/>
        <v>0.13912043720354714</v>
      </c>
      <c r="V113" s="157"/>
      <c r="W113" s="135"/>
      <c r="X113" s="158">
        <f t="shared" si="65"/>
        <v>0.13596285481786416</v>
      </c>
      <c r="Y113" s="158">
        <f t="shared" si="66"/>
        <v>5.7123282753338757E-2</v>
      </c>
      <c r="Z113" s="158">
        <f t="shared" si="67"/>
        <v>3.271606194054856E-2</v>
      </c>
      <c r="AA113" s="158">
        <f t="shared" si="68"/>
        <v>5.0938861232109521E-2</v>
      </c>
      <c r="AB113" s="158">
        <f t="shared" si="69"/>
        <v>1.9355823081709824E-2</v>
      </c>
      <c r="AC113" s="158">
        <f t="shared" si="70"/>
        <v>3.2291178019242736E-2</v>
      </c>
      <c r="AD113" s="135"/>
      <c r="AE113" s="135"/>
      <c r="AF113" s="189">
        <v>2025</v>
      </c>
      <c r="AG113" s="189" t="s">
        <v>565</v>
      </c>
    </row>
    <row r="114" spans="1:33" ht="15.75" customHeight="1" x14ac:dyDescent="0.3">
      <c r="A114" s="184">
        <v>17</v>
      </c>
      <c r="B114" s="185" t="s">
        <v>194</v>
      </c>
      <c r="C114" s="185">
        <v>209</v>
      </c>
      <c r="D114" s="185" t="s">
        <v>188</v>
      </c>
      <c r="E114" s="185">
        <v>35000070</v>
      </c>
      <c r="F114" s="186">
        <v>15.05</v>
      </c>
      <c r="G114" s="186">
        <v>11</v>
      </c>
      <c r="H114" s="186">
        <v>7</v>
      </c>
      <c r="I114" s="186">
        <v>12.63</v>
      </c>
      <c r="J114" s="186">
        <v>3.5</v>
      </c>
      <c r="K114" s="186">
        <v>3</v>
      </c>
      <c r="L114" s="187">
        <f t="shared" si="58"/>
        <v>52.18</v>
      </c>
      <c r="M114" s="185" t="s">
        <v>548</v>
      </c>
      <c r="N114" s="188"/>
      <c r="O114" s="135"/>
      <c r="P114" s="156">
        <f t="shared" si="59"/>
        <v>8.1085017529387515E-2</v>
      </c>
      <c r="Q114" s="156">
        <f t="shared" si="60"/>
        <v>5.9264796865333057E-2</v>
      </c>
      <c r="R114" s="156">
        <f t="shared" si="61"/>
        <v>3.7713961641575582E-2</v>
      </c>
      <c r="S114" s="156">
        <f t="shared" si="62"/>
        <v>6.8046762219014234E-2</v>
      </c>
      <c r="T114" s="156">
        <f t="shared" si="63"/>
        <v>1.8856980820787791E-2</v>
      </c>
      <c r="U114" s="156">
        <f t="shared" si="64"/>
        <v>1.6163126417818106E-2</v>
      </c>
      <c r="V114" s="157"/>
      <c r="W114" s="135"/>
      <c r="X114" s="158">
        <f t="shared" si="65"/>
        <v>1.8820604566559766E-2</v>
      </c>
      <c r="Y114" s="158">
        <f t="shared" si="66"/>
        <v>1.3755923603465607E-2</v>
      </c>
      <c r="Z114" s="158">
        <f t="shared" si="67"/>
        <v>8.75376956584175E-3</v>
      </c>
      <c r="AA114" s="158">
        <f t="shared" si="68"/>
        <v>1.579430137379733E-2</v>
      </c>
      <c r="AB114" s="158">
        <f t="shared" si="69"/>
        <v>4.376884782920875E-3</v>
      </c>
      <c r="AC114" s="158">
        <f t="shared" si="70"/>
        <v>3.7516155282178928E-3</v>
      </c>
      <c r="AD114" s="135"/>
      <c r="AE114" s="135"/>
      <c r="AF114" s="189">
        <v>2019</v>
      </c>
      <c r="AG114" s="189" t="s">
        <v>566</v>
      </c>
    </row>
    <row r="115" spans="1:33" ht="15.75" customHeight="1" x14ac:dyDescent="0.3">
      <c r="A115" s="184">
        <v>18</v>
      </c>
      <c r="B115" s="185" t="s">
        <v>195</v>
      </c>
      <c r="C115" s="185">
        <v>13</v>
      </c>
      <c r="D115" s="185" t="s">
        <v>196</v>
      </c>
      <c r="E115" s="185">
        <v>35000071</v>
      </c>
      <c r="F115" s="186">
        <v>24.34</v>
      </c>
      <c r="G115" s="186">
        <v>14.25</v>
      </c>
      <c r="H115" s="186">
        <v>7.08</v>
      </c>
      <c r="I115" s="186">
        <v>12.63</v>
      </c>
      <c r="J115" s="186">
        <v>3.5</v>
      </c>
      <c r="K115" s="186">
        <v>7</v>
      </c>
      <c r="L115" s="187">
        <f t="shared" si="58"/>
        <v>68.800000000000011</v>
      </c>
      <c r="M115" s="185" t="s">
        <v>548</v>
      </c>
      <c r="N115" s="188"/>
      <c r="O115" s="135"/>
      <c r="P115" s="156">
        <f t="shared" si="59"/>
        <v>8.1568364611260061E-3</v>
      </c>
      <c r="Q115" s="156">
        <f t="shared" si="60"/>
        <v>4.775469168900804E-3</v>
      </c>
      <c r="R115" s="156">
        <f t="shared" si="61"/>
        <v>2.3726541554959786E-3</v>
      </c>
      <c r="S115" s="156">
        <f t="shared" si="62"/>
        <v>4.2325737265415551E-3</v>
      </c>
      <c r="T115" s="156">
        <f t="shared" si="63"/>
        <v>1.1729222520107238E-3</v>
      </c>
      <c r="U115" s="156">
        <f t="shared" si="64"/>
        <v>2.3458445040214475E-3</v>
      </c>
      <c r="V115" s="157"/>
      <c r="W115" s="135"/>
      <c r="X115" s="158">
        <f t="shared" si="65"/>
        <v>1.8932794026135658E-3</v>
      </c>
      <c r="Y115" s="158">
        <f t="shared" si="66"/>
        <v>1.1084318606098319E-3</v>
      </c>
      <c r="Z115" s="158">
        <f t="shared" si="67"/>
        <v>5.5071561916614816E-4</v>
      </c>
      <c r="AA115" s="158">
        <f t="shared" si="68"/>
        <v>9.8242065961418783E-4</v>
      </c>
      <c r="AB115" s="158">
        <f t="shared" si="69"/>
        <v>2.7224642190416928E-4</v>
      </c>
      <c r="AC115" s="158">
        <f t="shared" si="70"/>
        <v>5.4449284380833857E-4</v>
      </c>
      <c r="AD115" s="135"/>
      <c r="AE115" s="135"/>
      <c r="AF115" s="189">
        <v>2025</v>
      </c>
      <c r="AG115" s="189" t="s">
        <v>567</v>
      </c>
    </row>
    <row r="116" spans="1:33" ht="15.75" customHeight="1" x14ac:dyDescent="0.3">
      <c r="A116" s="184">
        <v>19</v>
      </c>
      <c r="B116" s="185" t="s">
        <v>197</v>
      </c>
      <c r="C116" s="185">
        <v>20</v>
      </c>
      <c r="D116" s="185" t="s">
        <v>188</v>
      </c>
      <c r="E116" s="185">
        <v>35000198</v>
      </c>
      <c r="F116" s="186">
        <v>28</v>
      </c>
      <c r="G116" s="186">
        <v>10</v>
      </c>
      <c r="H116" s="186">
        <v>4.5</v>
      </c>
      <c r="I116" s="186">
        <v>7.5</v>
      </c>
      <c r="J116" s="186">
        <v>2.5</v>
      </c>
      <c r="K116" s="186">
        <v>5</v>
      </c>
      <c r="L116" s="107">
        <f t="shared" si="58"/>
        <v>57.5</v>
      </c>
      <c r="M116" s="98"/>
      <c r="O116" s="135"/>
      <c r="P116" s="156">
        <f t="shared" si="59"/>
        <v>1.4435966178593525E-2</v>
      </c>
      <c r="Q116" s="156">
        <f t="shared" si="60"/>
        <v>5.1557022066405448E-3</v>
      </c>
      <c r="R116" s="156">
        <f t="shared" si="61"/>
        <v>2.3200659929882451E-3</v>
      </c>
      <c r="S116" s="156">
        <f t="shared" si="62"/>
        <v>3.8667766549804082E-3</v>
      </c>
      <c r="T116" s="156">
        <f t="shared" si="63"/>
        <v>1.2889255516601362E-3</v>
      </c>
      <c r="U116" s="156">
        <f t="shared" si="64"/>
        <v>2.5778511033202724E-3</v>
      </c>
      <c r="V116" s="157"/>
      <c r="W116" s="135"/>
      <c r="X116" s="158">
        <f t="shared" si="65"/>
        <v>3.3507251926666987E-3</v>
      </c>
      <c r="Y116" s="158">
        <f t="shared" si="66"/>
        <v>1.1966875688095352E-3</v>
      </c>
      <c r="Z116" s="158">
        <f t="shared" si="67"/>
        <v>5.3850940596429089E-4</v>
      </c>
      <c r="AA116" s="158">
        <f t="shared" si="68"/>
        <v>8.9751567660715137E-4</v>
      </c>
      <c r="AB116" s="158">
        <f t="shared" si="69"/>
        <v>2.9917189220238379E-4</v>
      </c>
      <c r="AC116" s="158">
        <f t="shared" si="70"/>
        <v>5.9834378440476758E-4</v>
      </c>
      <c r="AD116" s="135"/>
      <c r="AE116" s="135"/>
      <c r="AF116" s="190"/>
      <c r="AG116" s="190"/>
    </row>
    <row r="117" spans="1:33" ht="15.75" customHeight="1" x14ac:dyDescent="0.3">
      <c r="A117" s="184">
        <v>20</v>
      </c>
      <c r="B117" s="185" t="s">
        <v>198</v>
      </c>
      <c r="C117" s="185">
        <v>54</v>
      </c>
      <c r="D117" s="185" t="s">
        <v>187</v>
      </c>
      <c r="E117" s="185">
        <v>35000199</v>
      </c>
      <c r="F117" s="186">
        <v>24.64</v>
      </c>
      <c r="G117" s="186">
        <v>13.4</v>
      </c>
      <c r="H117" s="186">
        <v>4.28</v>
      </c>
      <c r="I117" s="186">
        <v>10.3</v>
      </c>
      <c r="J117" s="186">
        <v>4.25</v>
      </c>
      <c r="K117" s="186">
        <v>7</v>
      </c>
      <c r="L117" s="187">
        <f t="shared" si="58"/>
        <v>63.870000000000005</v>
      </c>
      <c r="M117" s="185" t="s">
        <v>543</v>
      </c>
      <c r="N117" s="188"/>
      <c r="O117" s="135"/>
      <c r="P117" s="156">
        <f t="shared" si="59"/>
        <v>3.429985564033821E-2</v>
      </c>
      <c r="Q117" s="156">
        <f t="shared" si="60"/>
        <v>1.8653330583625491E-2</v>
      </c>
      <c r="R117" s="156">
        <f t="shared" si="61"/>
        <v>5.9579294699938137E-3</v>
      </c>
      <c r="S117" s="156">
        <f t="shared" si="62"/>
        <v>1.4338007836667355E-2</v>
      </c>
      <c r="T117" s="156">
        <f t="shared" si="63"/>
        <v>5.9161682821200247E-3</v>
      </c>
      <c r="U117" s="156">
        <f t="shared" si="64"/>
        <v>9.7442771705506283E-3</v>
      </c>
      <c r="V117" s="157"/>
      <c r="W117" s="135"/>
      <c r="X117" s="158">
        <f t="shared" si="65"/>
        <v>7.9613230577760749E-3</v>
      </c>
      <c r="Y117" s="158">
        <f t="shared" si="66"/>
        <v>4.3296156239528982E-3</v>
      </c>
      <c r="Z117" s="158">
        <f t="shared" si="67"/>
        <v>1.382892154516299E-3</v>
      </c>
      <c r="AA117" s="158">
        <f t="shared" si="68"/>
        <v>3.3279881288593178E-3</v>
      </c>
      <c r="AB117" s="158">
        <f t="shared" si="69"/>
        <v>1.3731989852089417E-3</v>
      </c>
      <c r="AC117" s="158">
        <f t="shared" si="70"/>
        <v>2.2617395050500214E-3</v>
      </c>
      <c r="AD117" s="135"/>
      <c r="AE117" s="135"/>
      <c r="AF117" s="189">
        <v>2022</v>
      </c>
      <c r="AG117" s="189" t="s">
        <v>568</v>
      </c>
    </row>
    <row r="118" spans="1:33" ht="15.75" customHeight="1" x14ac:dyDescent="0.3">
      <c r="A118" s="184">
        <v>21</v>
      </c>
      <c r="B118" s="185" t="s">
        <v>55</v>
      </c>
      <c r="C118" s="185">
        <v>1332</v>
      </c>
      <c r="D118" s="185" t="s">
        <v>52</v>
      </c>
      <c r="E118" s="185">
        <v>35000113</v>
      </c>
      <c r="F118" s="186">
        <v>23.17</v>
      </c>
      <c r="G118" s="186">
        <v>11.2</v>
      </c>
      <c r="H118" s="186">
        <v>6.48</v>
      </c>
      <c r="I118" s="186">
        <v>11.18</v>
      </c>
      <c r="J118" s="186">
        <v>4.03</v>
      </c>
      <c r="K118" s="186">
        <v>8.0500000000000007</v>
      </c>
      <c r="L118" s="187">
        <f t="shared" si="58"/>
        <v>64.110000000000014</v>
      </c>
      <c r="M118" s="185" t="s">
        <v>548</v>
      </c>
      <c r="N118" s="188"/>
      <c r="O118" s="135"/>
      <c r="P118" s="156">
        <f t="shared" si="59"/>
        <v>0.79558775005155713</v>
      </c>
      <c r="Q118" s="156">
        <f t="shared" si="60"/>
        <v>0.38457413899773146</v>
      </c>
      <c r="R118" s="156">
        <f t="shared" si="61"/>
        <v>0.22250360899154467</v>
      </c>
      <c r="S118" s="156">
        <f t="shared" si="62"/>
        <v>0.38388739946380696</v>
      </c>
      <c r="T118" s="156">
        <f t="shared" si="63"/>
        <v>0.13837801608579089</v>
      </c>
      <c r="U118" s="156">
        <f t="shared" si="64"/>
        <v>0.27641266240461954</v>
      </c>
      <c r="V118" s="157"/>
      <c r="W118" s="135"/>
      <c r="X118" s="158">
        <f t="shared" si="65"/>
        <v>0.18466349145565078</v>
      </c>
      <c r="Y118" s="158">
        <f t="shared" si="66"/>
        <v>8.926331913264085E-2</v>
      </c>
      <c r="Z118" s="158">
        <f t="shared" si="67"/>
        <v>5.1645206069599353E-2</v>
      </c>
      <c r="AA118" s="158">
        <f t="shared" si="68"/>
        <v>8.9103920348475418E-2</v>
      </c>
      <c r="AB118" s="158">
        <f t="shared" si="69"/>
        <v>3.211885500933416E-2</v>
      </c>
      <c r="AC118" s="158">
        <f t="shared" si="70"/>
        <v>6.4158010626585618E-2</v>
      </c>
      <c r="AD118" s="135"/>
      <c r="AE118" s="135"/>
      <c r="AF118" s="189">
        <v>2023</v>
      </c>
      <c r="AG118" s="189" t="s">
        <v>569</v>
      </c>
    </row>
    <row r="119" spans="1:33" ht="15.75" customHeight="1" x14ac:dyDescent="0.3">
      <c r="A119" s="184">
        <v>22</v>
      </c>
      <c r="B119" s="185" t="s">
        <v>51</v>
      </c>
      <c r="C119" s="185">
        <v>1058</v>
      </c>
      <c r="D119" s="185" t="s">
        <v>52</v>
      </c>
      <c r="E119" s="185">
        <v>35000114</v>
      </c>
      <c r="F119" s="186">
        <v>29.15</v>
      </c>
      <c r="G119" s="186">
        <v>14.34</v>
      </c>
      <c r="H119" s="186">
        <v>8.6300000000000008</v>
      </c>
      <c r="I119" s="186">
        <v>10.92</v>
      </c>
      <c r="J119" s="186">
        <v>4.03</v>
      </c>
      <c r="K119" s="186">
        <v>8.35</v>
      </c>
      <c r="L119" s="187">
        <f t="shared" si="58"/>
        <v>75.419999999999987</v>
      </c>
      <c r="M119" s="185" t="s">
        <v>543</v>
      </c>
      <c r="N119" s="188"/>
      <c r="O119" s="135"/>
      <c r="P119" s="156">
        <f t="shared" si="59"/>
        <v>0.79502732522169517</v>
      </c>
      <c r="Q119" s="156">
        <f t="shared" si="60"/>
        <v>0.39110435141266237</v>
      </c>
      <c r="R119" s="156">
        <f t="shared" si="61"/>
        <v>0.23537172612909882</v>
      </c>
      <c r="S119" s="156">
        <f t="shared" si="62"/>
        <v>0.297828418230563</v>
      </c>
      <c r="T119" s="156">
        <f t="shared" si="63"/>
        <v>0.10991286863270779</v>
      </c>
      <c r="U119" s="156">
        <f t="shared" si="64"/>
        <v>0.22773510002062278</v>
      </c>
      <c r="V119" s="157"/>
      <c r="W119" s="135"/>
      <c r="X119" s="158">
        <f t="shared" si="65"/>
        <v>0.18453341151692115</v>
      </c>
      <c r="Y119" s="158">
        <f t="shared" si="66"/>
        <v>9.077904360729501E-2</v>
      </c>
      <c r="Z119" s="158">
        <f t="shared" si="67"/>
        <v>5.4632018572591076E-2</v>
      </c>
      <c r="AA119" s="158">
        <f t="shared" si="68"/>
        <v>6.9128811449906666E-2</v>
      </c>
      <c r="AB119" s="158">
        <f t="shared" si="69"/>
        <v>2.5511823273179843E-2</v>
      </c>
      <c r="AC119" s="158">
        <f t="shared" si="70"/>
        <v>5.2859484945670381E-2</v>
      </c>
      <c r="AD119" s="135"/>
      <c r="AE119" s="135"/>
      <c r="AF119" s="189">
        <v>2025</v>
      </c>
      <c r="AG119" s="189" t="s">
        <v>570</v>
      </c>
    </row>
    <row r="120" spans="1:33" ht="15.75" customHeight="1" x14ac:dyDescent="0.3">
      <c r="A120" s="184">
        <v>23</v>
      </c>
      <c r="B120" s="185" t="s">
        <v>56</v>
      </c>
      <c r="C120" s="185">
        <v>1045</v>
      </c>
      <c r="D120" s="185" t="s">
        <v>52</v>
      </c>
      <c r="E120" s="185">
        <v>35000115</v>
      </c>
      <c r="F120" s="186">
        <v>27.22</v>
      </c>
      <c r="G120" s="186">
        <v>13.31</v>
      </c>
      <c r="H120" s="186">
        <v>6</v>
      </c>
      <c r="I120" s="186">
        <v>8.68</v>
      </c>
      <c r="J120" s="186">
        <v>4.03</v>
      </c>
      <c r="K120" s="186">
        <v>7.08</v>
      </c>
      <c r="L120" s="187">
        <f t="shared" si="58"/>
        <v>66.320000000000007</v>
      </c>
      <c r="M120" s="185" t="s">
        <v>543</v>
      </c>
      <c r="N120" s="188"/>
      <c r="O120" s="135"/>
      <c r="P120" s="156">
        <f t="shared" si="59"/>
        <v>0.73326716848834805</v>
      </c>
      <c r="Q120" s="156">
        <f t="shared" si="60"/>
        <v>0.35855202103526501</v>
      </c>
      <c r="R120" s="156">
        <f t="shared" si="61"/>
        <v>0.16163126417818108</v>
      </c>
      <c r="S120" s="156">
        <f t="shared" si="62"/>
        <v>0.23382656217776862</v>
      </c>
      <c r="T120" s="156">
        <f t="shared" si="63"/>
        <v>0.10856233243967829</v>
      </c>
      <c r="U120" s="156">
        <f t="shared" si="64"/>
        <v>0.19072489173025367</v>
      </c>
      <c r="V120" s="157"/>
      <c r="W120" s="135"/>
      <c r="X120" s="158">
        <f t="shared" si="65"/>
        <v>0.17019829113015172</v>
      </c>
      <c r="Y120" s="158">
        <f t="shared" si="66"/>
        <v>8.3223337800966926E-2</v>
      </c>
      <c r="Z120" s="158">
        <f t="shared" si="67"/>
        <v>3.7516155282178928E-2</v>
      </c>
      <c r="AA120" s="158">
        <f t="shared" si="68"/>
        <v>5.4273371308218854E-2</v>
      </c>
      <c r="AB120" s="158">
        <f t="shared" si="69"/>
        <v>2.5198350964530183E-2</v>
      </c>
      <c r="AC120" s="158">
        <f t="shared" si="70"/>
        <v>4.426906323297114E-2</v>
      </c>
      <c r="AD120" s="135"/>
      <c r="AE120" s="135"/>
      <c r="AF120" s="189">
        <v>2022</v>
      </c>
      <c r="AG120" s="189" t="s">
        <v>571</v>
      </c>
    </row>
    <row r="121" spans="1:33" ht="15.75" customHeight="1" x14ac:dyDescent="0.3">
      <c r="A121" s="184">
        <v>24</v>
      </c>
      <c r="B121" s="185" t="s">
        <v>54</v>
      </c>
      <c r="C121" s="185">
        <v>1273</v>
      </c>
      <c r="D121" s="185" t="s">
        <v>52</v>
      </c>
      <c r="E121" s="185">
        <v>35000116</v>
      </c>
      <c r="F121" s="186">
        <v>23.58</v>
      </c>
      <c r="G121" s="186">
        <v>7.9</v>
      </c>
      <c r="H121" s="186">
        <v>6.48</v>
      </c>
      <c r="I121" s="186">
        <v>10.66</v>
      </c>
      <c r="J121" s="186">
        <v>4.03</v>
      </c>
      <c r="K121" s="186">
        <v>7</v>
      </c>
      <c r="L121" s="187">
        <f t="shared" si="58"/>
        <v>59.649999999999991</v>
      </c>
      <c r="M121" s="185" t="s">
        <v>548</v>
      </c>
      <c r="N121" s="188"/>
      <c r="O121" s="135"/>
      <c r="P121" s="156">
        <f t="shared" si="59"/>
        <v>0.77380233037739732</v>
      </c>
      <c r="Q121" s="156">
        <f t="shared" si="60"/>
        <v>0.25924675190760982</v>
      </c>
      <c r="R121" s="156">
        <f t="shared" si="61"/>
        <v>0.2126479686533306</v>
      </c>
      <c r="S121" s="156">
        <f t="shared" si="62"/>
        <v>0.34981903485254695</v>
      </c>
      <c r="T121" s="156">
        <f t="shared" si="63"/>
        <v>0.13224865951742629</v>
      </c>
      <c r="U121" s="156">
        <f t="shared" si="64"/>
        <v>0.22971231181686946</v>
      </c>
      <c r="V121" s="157"/>
      <c r="W121" s="135"/>
      <c r="X121" s="158">
        <f t="shared" si="65"/>
        <v>0.17960688813364606</v>
      </c>
      <c r="Y121" s="158">
        <f t="shared" si="66"/>
        <v>6.0173639366234266E-2</v>
      </c>
      <c r="Z121" s="158">
        <f t="shared" si="67"/>
        <v>4.9357618113063044E-2</v>
      </c>
      <c r="AA121" s="158">
        <f t="shared" si="68"/>
        <v>8.1196328562538889E-2</v>
      </c>
      <c r="AB121" s="158">
        <f t="shared" si="69"/>
        <v>3.0696172993154951E-2</v>
      </c>
      <c r="AC121" s="158">
        <f t="shared" si="70"/>
        <v>5.3318414628308844E-2</v>
      </c>
      <c r="AD121" s="135"/>
      <c r="AE121" s="135"/>
      <c r="AF121" s="189">
        <v>2023</v>
      </c>
      <c r="AG121" s="189" t="s">
        <v>572</v>
      </c>
    </row>
    <row r="122" spans="1:33" ht="15.75" customHeight="1" x14ac:dyDescent="0.3">
      <c r="A122" s="184">
        <v>25</v>
      </c>
      <c r="B122" s="185" t="s">
        <v>53</v>
      </c>
      <c r="C122" s="185">
        <v>2433</v>
      </c>
      <c r="D122" s="185" t="s">
        <v>52</v>
      </c>
      <c r="E122" s="185">
        <v>35000117</v>
      </c>
      <c r="F122" s="186">
        <v>33.46</v>
      </c>
      <c r="G122" s="186">
        <v>12.33</v>
      </c>
      <c r="H122" s="186">
        <v>4.46</v>
      </c>
      <c r="I122" s="186">
        <v>8.02</v>
      </c>
      <c r="J122" s="186">
        <v>3.65</v>
      </c>
      <c r="K122" s="186">
        <v>5.56</v>
      </c>
      <c r="L122" s="187">
        <f t="shared" si="58"/>
        <v>67.47999999999999</v>
      </c>
      <c r="M122" s="185" t="s">
        <v>543</v>
      </c>
      <c r="N122" s="188"/>
      <c r="O122" s="135"/>
      <c r="P122" s="156">
        <f t="shared" si="59"/>
        <v>2.0985816663229535</v>
      </c>
      <c r="Q122" s="156">
        <f t="shared" si="60"/>
        <v>0.77332671684883481</v>
      </c>
      <c r="R122" s="156">
        <f t="shared" si="61"/>
        <v>0.2797272633532687</v>
      </c>
      <c r="S122" s="156">
        <f t="shared" si="62"/>
        <v>0.50300732109713342</v>
      </c>
      <c r="T122" s="156">
        <f t="shared" si="63"/>
        <v>0.22892477830480509</v>
      </c>
      <c r="U122" s="156">
        <f t="shared" si="64"/>
        <v>0.34871829243142916</v>
      </c>
      <c r="V122" s="157"/>
      <c r="W122" s="135"/>
      <c r="X122" s="158">
        <f t="shared" si="65"/>
        <v>0.48710078502704518</v>
      </c>
      <c r="Y122" s="158">
        <f t="shared" si="66"/>
        <v>0.17949649370542339</v>
      </c>
      <c r="Z122" s="158">
        <f t="shared" si="67"/>
        <v>6.4927361064573266E-2</v>
      </c>
      <c r="AA122" s="158">
        <f t="shared" si="68"/>
        <v>0.11675278828203532</v>
      </c>
      <c r="AB122" s="158">
        <f t="shared" si="69"/>
        <v>5.3135620602173181E-2</v>
      </c>
      <c r="AC122" s="158">
        <f t="shared" si="70"/>
        <v>8.0940835766598052E-2</v>
      </c>
      <c r="AD122" s="135"/>
      <c r="AE122" s="135"/>
      <c r="AF122" s="189">
        <v>2025</v>
      </c>
      <c r="AG122" s="189" t="s">
        <v>573</v>
      </c>
    </row>
    <row r="123" spans="1:33" ht="15.75" customHeight="1" x14ac:dyDescent="0.3">
      <c r="A123" s="184">
        <v>26</v>
      </c>
      <c r="B123" s="185" t="s">
        <v>85</v>
      </c>
      <c r="C123" s="185">
        <v>1403</v>
      </c>
      <c r="D123" s="185" t="s">
        <v>84</v>
      </c>
      <c r="E123" s="185">
        <v>35000118</v>
      </c>
      <c r="F123" s="186">
        <v>21.53</v>
      </c>
      <c r="G123" s="186">
        <v>14.91</v>
      </c>
      <c r="H123" s="186">
        <v>8.5</v>
      </c>
      <c r="I123" s="186">
        <v>11.1</v>
      </c>
      <c r="J123" s="186">
        <v>4.25</v>
      </c>
      <c r="K123" s="186">
        <v>6.55</v>
      </c>
      <c r="L123" s="187">
        <f t="shared" si="58"/>
        <v>66.84</v>
      </c>
      <c r="M123" s="185" t="s">
        <v>543</v>
      </c>
      <c r="N123" s="188"/>
      <c r="O123" s="135"/>
      <c r="P123" s="156">
        <f t="shared" si="59"/>
        <v>0.77868091359043101</v>
      </c>
      <c r="Q123" s="156">
        <f t="shared" si="60"/>
        <v>0.53925371210558881</v>
      </c>
      <c r="R123" s="156">
        <f t="shared" si="61"/>
        <v>0.30742163332645905</v>
      </c>
      <c r="S123" s="156">
        <f t="shared" si="62"/>
        <v>0.40145648587337596</v>
      </c>
      <c r="T123" s="156">
        <f t="shared" si="63"/>
        <v>0.15371081666322953</v>
      </c>
      <c r="U123" s="156">
        <f t="shared" si="64"/>
        <v>0.23689549391627138</v>
      </c>
      <c r="V123" s="157"/>
      <c r="W123" s="135"/>
      <c r="X123" s="158">
        <f t="shared" si="65"/>
        <v>0.1807392537456321</v>
      </c>
      <c r="Y123" s="158">
        <f t="shared" si="66"/>
        <v>0.12516592073141544</v>
      </c>
      <c r="Z123" s="158">
        <f t="shared" si="67"/>
        <v>7.135548800919056E-2</v>
      </c>
      <c r="AA123" s="158">
        <f t="shared" si="68"/>
        <v>9.3181872576707667E-2</v>
      </c>
      <c r="AB123" s="158">
        <f t="shared" si="69"/>
        <v>3.567774400459528E-2</v>
      </c>
      <c r="AC123" s="158">
        <f t="shared" si="70"/>
        <v>5.4985699583552726E-2</v>
      </c>
      <c r="AD123" s="135"/>
      <c r="AE123" s="135"/>
      <c r="AF123" s="189">
        <v>2023</v>
      </c>
      <c r="AG123" s="189" t="s">
        <v>574</v>
      </c>
    </row>
    <row r="124" spans="1:33" ht="15.75" customHeight="1" x14ac:dyDescent="0.3">
      <c r="A124" s="184">
        <v>27</v>
      </c>
      <c r="B124" s="185" t="s">
        <v>83</v>
      </c>
      <c r="C124" s="185">
        <v>1000</v>
      </c>
      <c r="D124" s="185" t="s">
        <v>84</v>
      </c>
      <c r="E124" s="185">
        <v>35000119</v>
      </c>
      <c r="F124" s="186">
        <v>30</v>
      </c>
      <c r="G124" s="186">
        <v>9.85</v>
      </c>
      <c r="H124" s="186">
        <v>7.23</v>
      </c>
      <c r="I124" s="186">
        <v>11.72</v>
      </c>
      <c r="J124" s="186">
        <v>4.18</v>
      </c>
      <c r="K124" s="186">
        <v>7</v>
      </c>
      <c r="L124" s="187">
        <f t="shared" si="58"/>
        <v>69.97999999999999</v>
      </c>
      <c r="M124" s="185" t="s">
        <v>543</v>
      </c>
      <c r="N124" s="188"/>
      <c r="O124" s="135"/>
      <c r="P124" s="156">
        <f t="shared" si="59"/>
        <v>0.77335533099608167</v>
      </c>
      <c r="Q124" s="156">
        <f t="shared" si="60"/>
        <v>0.2539183336770468</v>
      </c>
      <c r="R124" s="156">
        <f t="shared" si="61"/>
        <v>0.18637863477005567</v>
      </c>
      <c r="S124" s="156">
        <f t="shared" si="62"/>
        <v>0.30212414930913589</v>
      </c>
      <c r="T124" s="156">
        <f t="shared" si="63"/>
        <v>0.10775417611878738</v>
      </c>
      <c r="U124" s="156">
        <f t="shared" si="64"/>
        <v>0.18044957723241906</v>
      </c>
      <c r="V124" s="157"/>
      <c r="W124" s="135"/>
      <c r="X124" s="158">
        <f t="shared" si="65"/>
        <v>0.17950313532143028</v>
      </c>
      <c r="Y124" s="158">
        <f t="shared" si="66"/>
        <v>5.8936862763869606E-2</v>
      </c>
      <c r="Z124" s="158">
        <f t="shared" si="67"/>
        <v>4.3260255612464694E-2</v>
      </c>
      <c r="AA124" s="158">
        <f t="shared" si="68"/>
        <v>7.0125891532238763E-2</v>
      </c>
      <c r="AB124" s="158">
        <f t="shared" si="69"/>
        <v>2.5010770188119286E-2</v>
      </c>
      <c r="AC124" s="158">
        <f t="shared" si="70"/>
        <v>4.1884064908333733E-2</v>
      </c>
      <c r="AD124" s="135"/>
      <c r="AE124" s="135"/>
      <c r="AF124" s="189">
        <v>2022</v>
      </c>
      <c r="AG124" s="189" t="s">
        <v>575</v>
      </c>
    </row>
    <row r="125" spans="1:33" ht="15.75" customHeight="1" x14ac:dyDescent="0.3">
      <c r="A125" s="184">
        <v>28</v>
      </c>
      <c r="B125" s="185" t="s">
        <v>89</v>
      </c>
      <c r="C125" s="185">
        <v>1727</v>
      </c>
      <c r="D125" s="185" t="s">
        <v>84</v>
      </c>
      <c r="E125" s="185">
        <v>35000120</v>
      </c>
      <c r="F125" s="186">
        <v>29.38</v>
      </c>
      <c r="G125" s="186">
        <v>13.2</v>
      </c>
      <c r="H125" s="186">
        <v>5.14</v>
      </c>
      <c r="I125" s="186">
        <v>9.1300000000000008</v>
      </c>
      <c r="J125" s="186">
        <v>3.33</v>
      </c>
      <c r="K125" s="186">
        <v>5.7</v>
      </c>
      <c r="L125" s="107">
        <f t="shared" si="58"/>
        <v>65.88</v>
      </c>
      <c r="M125" s="98"/>
      <c r="O125" s="135"/>
      <c r="P125" s="156">
        <f t="shared" si="59"/>
        <v>1.3079825737265414</v>
      </c>
      <c r="Q125" s="156">
        <f t="shared" si="60"/>
        <v>0.58765724891730253</v>
      </c>
      <c r="R125" s="156">
        <f t="shared" si="61"/>
        <v>0.22883017116931323</v>
      </c>
      <c r="S125" s="156">
        <f t="shared" si="62"/>
        <v>0.4064629305011343</v>
      </c>
      <c r="T125" s="156">
        <f t="shared" si="63"/>
        <v>0.14824989688595586</v>
      </c>
      <c r="U125" s="156">
        <f t="shared" si="64"/>
        <v>0.25376108475974429</v>
      </c>
      <c r="V125" s="157"/>
      <c r="W125" s="135"/>
      <c r="X125" s="158">
        <f t="shared" si="65"/>
        <v>0.30359520846297444</v>
      </c>
      <c r="Y125" s="158">
        <f t="shared" si="66"/>
        <v>0.13640084246804843</v>
      </c>
      <c r="Z125" s="158">
        <f t="shared" si="67"/>
        <v>5.3113661385285525E-2</v>
      </c>
      <c r="AA125" s="158">
        <f t="shared" si="68"/>
        <v>9.4343916040400183E-2</v>
      </c>
      <c r="AB125" s="158">
        <f t="shared" si="69"/>
        <v>3.4410212531712218E-2</v>
      </c>
      <c r="AC125" s="158">
        <f t="shared" si="70"/>
        <v>5.8900363793020917E-2</v>
      </c>
      <c r="AD125" s="135"/>
      <c r="AE125" s="135"/>
      <c r="AF125" s="189">
        <v>2025</v>
      </c>
      <c r="AG125" s="189" t="s">
        <v>553</v>
      </c>
    </row>
    <row r="126" spans="1:33" ht="15.75" customHeight="1" x14ac:dyDescent="0.3">
      <c r="A126" s="184">
        <v>29</v>
      </c>
      <c r="B126" s="185" t="s">
        <v>88</v>
      </c>
      <c r="C126" s="185">
        <v>1096</v>
      </c>
      <c r="D126" s="185" t="s">
        <v>84</v>
      </c>
      <c r="E126" s="185">
        <v>35000121</v>
      </c>
      <c r="F126" s="186">
        <v>25.69</v>
      </c>
      <c r="G126" s="186">
        <v>13</v>
      </c>
      <c r="H126" s="186">
        <v>6.15</v>
      </c>
      <c r="I126" s="186">
        <v>9.64</v>
      </c>
      <c r="J126" s="186">
        <v>3.8</v>
      </c>
      <c r="K126" s="186">
        <v>7</v>
      </c>
      <c r="L126" s="187">
        <f t="shared" si="58"/>
        <v>65.28</v>
      </c>
      <c r="M126" s="185" t="s">
        <v>545</v>
      </c>
      <c r="N126" s="188"/>
      <c r="O126" s="135"/>
      <c r="P126" s="156">
        <f t="shared" si="59"/>
        <v>0.72582594349350382</v>
      </c>
      <c r="Q126" s="156">
        <f t="shared" si="60"/>
        <v>0.36729222520107241</v>
      </c>
      <c r="R126" s="156">
        <f t="shared" si="61"/>
        <v>0.17375747576819964</v>
      </c>
      <c r="S126" s="156">
        <f t="shared" si="62"/>
        <v>0.27236131161064137</v>
      </c>
      <c r="T126" s="156">
        <f t="shared" si="63"/>
        <v>0.1073623427510827</v>
      </c>
      <c r="U126" s="156">
        <f t="shared" si="64"/>
        <v>0.19777273664673128</v>
      </c>
      <c r="V126" s="157"/>
      <c r="W126" s="135"/>
      <c r="X126" s="158">
        <f t="shared" si="65"/>
        <v>0.16847111196208894</v>
      </c>
      <c r="Y126" s="158">
        <f t="shared" si="66"/>
        <v>8.5252022401991284E-2</v>
      </c>
      <c r="Z126" s="158">
        <f t="shared" si="67"/>
        <v>4.0330764444018959E-2</v>
      </c>
      <c r="AA126" s="158">
        <f t="shared" si="68"/>
        <v>6.3217653535015086E-2</v>
      </c>
      <c r="AB126" s="158">
        <f t="shared" si="69"/>
        <v>2.4919821932889764E-2</v>
      </c>
      <c r="AC126" s="158">
        <f t="shared" si="70"/>
        <v>4.5904935139533767E-2</v>
      </c>
      <c r="AD126" s="135"/>
      <c r="AE126" s="135"/>
      <c r="AF126" s="189">
        <v>2021</v>
      </c>
      <c r="AG126" s="189" t="s">
        <v>562</v>
      </c>
    </row>
    <row r="127" spans="1:33" ht="15.75" customHeight="1" x14ac:dyDescent="0.3">
      <c r="A127" s="184">
        <v>30</v>
      </c>
      <c r="B127" s="185" t="s">
        <v>87</v>
      </c>
      <c r="C127" s="185">
        <v>1787</v>
      </c>
      <c r="D127" s="185" t="s">
        <v>84</v>
      </c>
      <c r="E127" s="185">
        <v>35000122</v>
      </c>
      <c r="F127" s="186">
        <v>27.97</v>
      </c>
      <c r="G127" s="186">
        <v>12.78</v>
      </c>
      <c r="H127" s="186">
        <v>4.1399999999999997</v>
      </c>
      <c r="I127" s="186">
        <v>7.22</v>
      </c>
      <c r="J127" s="186">
        <v>2.9</v>
      </c>
      <c r="K127" s="186">
        <v>4.96</v>
      </c>
      <c r="L127" s="187">
        <f t="shared" si="58"/>
        <v>59.97</v>
      </c>
      <c r="M127" s="185" t="s">
        <v>576</v>
      </c>
      <c r="N127" s="188"/>
      <c r="O127" s="135"/>
      <c r="P127" s="156">
        <f t="shared" si="59"/>
        <v>1.2884715920808414</v>
      </c>
      <c r="Q127" s="156">
        <f t="shared" si="60"/>
        <v>0.58872602598473911</v>
      </c>
      <c r="R127" s="156">
        <f t="shared" si="61"/>
        <v>0.19071406475561969</v>
      </c>
      <c r="S127" s="156">
        <f t="shared" si="62"/>
        <v>0.33259795834192618</v>
      </c>
      <c r="T127" s="156">
        <f t="shared" si="63"/>
        <v>0.13359197772736647</v>
      </c>
      <c r="U127" s="156">
        <f t="shared" si="64"/>
        <v>0.228488348113013</v>
      </c>
      <c r="V127" s="157"/>
      <c r="W127" s="135"/>
      <c r="X127" s="158">
        <f t="shared" si="65"/>
        <v>0.2990665238619501</v>
      </c>
      <c r="Y127" s="158">
        <f t="shared" si="66"/>
        <v>0.13664891580106267</v>
      </c>
      <c r="Z127" s="158">
        <f t="shared" si="67"/>
        <v>4.4266550189076631E-2</v>
      </c>
      <c r="AA127" s="158">
        <f t="shared" si="68"/>
        <v>7.7199152745201283E-2</v>
      </c>
      <c r="AB127" s="158">
        <f t="shared" si="69"/>
        <v>3.1007969939208273E-2</v>
      </c>
      <c r="AC127" s="158">
        <f t="shared" si="70"/>
        <v>5.3034320999473458E-2</v>
      </c>
      <c r="AD127" s="135"/>
      <c r="AE127" s="135"/>
      <c r="AF127" s="189">
        <v>2020</v>
      </c>
      <c r="AG127" s="189">
        <v>0</v>
      </c>
    </row>
    <row r="128" spans="1:33" ht="15.75" customHeight="1" x14ac:dyDescent="0.3">
      <c r="A128" s="184">
        <v>31</v>
      </c>
      <c r="B128" s="185" t="s">
        <v>86</v>
      </c>
      <c r="C128" s="185">
        <v>1370</v>
      </c>
      <c r="D128" s="185" t="s">
        <v>84</v>
      </c>
      <c r="E128" s="185">
        <v>35000123</v>
      </c>
      <c r="F128" s="186">
        <v>30.94</v>
      </c>
      <c r="G128" s="186">
        <v>15</v>
      </c>
      <c r="H128" s="186">
        <v>7.23</v>
      </c>
      <c r="I128" s="186">
        <v>11.72</v>
      </c>
      <c r="J128" s="186">
        <v>4.18</v>
      </c>
      <c r="K128" s="186">
        <v>7.75</v>
      </c>
      <c r="L128" s="187">
        <f t="shared" si="58"/>
        <v>76.819999999999993</v>
      </c>
      <c r="M128" s="185" t="s">
        <v>543</v>
      </c>
      <c r="N128" s="188"/>
      <c r="O128" s="135"/>
      <c r="P128" s="156">
        <f t="shared" si="59"/>
        <v>1.0926943699731904</v>
      </c>
      <c r="Q128" s="156">
        <f t="shared" si="60"/>
        <v>0.52974840173231597</v>
      </c>
      <c r="R128" s="156">
        <f t="shared" si="61"/>
        <v>0.25533872963497628</v>
      </c>
      <c r="S128" s="156">
        <f t="shared" si="62"/>
        <v>0.41391008455351624</v>
      </c>
      <c r="T128" s="156">
        <f t="shared" si="63"/>
        <v>0.14762322128273869</v>
      </c>
      <c r="U128" s="156">
        <f t="shared" si="64"/>
        <v>0.2737033408950299</v>
      </c>
      <c r="V128" s="157"/>
      <c r="W128" s="135"/>
      <c r="X128" s="158">
        <f t="shared" si="65"/>
        <v>0.25362476664592409</v>
      </c>
      <c r="Y128" s="158">
        <f t="shared" si="66"/>
        <v>0.12295964769517974</v>
      </c>
      <c r="Z128" s="158">
        <f t="shared" si="67"/>
        <v>5.9266550189076637E-2</v>
      </c>
      <c r="AA128" s="158">
        <f t="shared" si="68"/>
        <v>9.6072471399167109E-2</v>
      </c>
      <c r="AB128" s="158">
        <f t="shared" si="69"/>
        <v>3.4264755157723419E-2</v>
      </c>
      <c r="AC128" s="158">
        <f t="shared" si="70"/>
        <v>6.3529151309176204E-2</v>
      </c>
      <c r="AD128" s="135"/>
      <c r="AE128" s="135"/>
      <c r="AF128" s="189">
        <v>2022</v>
      </c>
      <c r="AG128" s="189" t="s">
        <v>577</v>
      </c>
    </row>
    <row r="129" spans="1:33" ht="15.75" customHeight="1" x14ac:dyDescent="0.3">
      <c r="A129" s="184">
        <v>32</v>
      </c>
      <c r="B129" s="185" t="s">
        <v>67</v>
      </c>
      <c r="C129" s="185">
        <v>1341</v>
      </c>
      <c r="D129" s="185" t="s">
        <v>64</v>
      </c>
      <c r="E129" s="185">
        <v>35000124</v>
      </c>
      <c r="F129" s="186">
        <v>23.22</v>
      </c>
      <c r="G129" s="186">
        <v>11.71</v>
      </c>
      <c r="H129" s="186">
        <v>6.4</v>
      </c>
      <c r="I129" s="186">
        <v>12.63</v>
      </c>
      <c r="J129" s="186">
        <v>3.5</v>
      </c>
      <c r="K129" s="186">
        <v>7.17</v>
      </c>
      <c r="L129" s="187">
        <f t="shared" si="58"/>
        <v>64.63</v>
      </c>
      <c r="M129" s="185" t="s">
        <v>548</v>
      </c>
      <c r="N129" s="188"/>
      <c r="O129" s="135"/>
      <c r="P129" s="156">
        <f t="shared" si="59"/>
        <v>0.80269179212208697</v>
      </c>
      <c r="Q129" s="156">
        <f t="shared" si="60"/>
        <v>0.40480279439059602</v>
      </c>
      <c r="R129" s="156">
        <f t="shared" si="61"/>
        <v>0.22124149309135904</v>
      </c>
      <c r="S129" s="156">
        <f t="shared" si="62"/>
        <v>0.4366062590224789</v>
      </c>
      <c r="T129" s="156">
        <f t="shared" si="63"/>
        <v>0.12099144153433698</v>
      </c>
      <c r="U129" s="156">
        <f t="shared" si="64"/>
        <v>0.24785961022891317</v>
      </c>
      <c r="V129" s="157"/>
      <c r="W129" s="135"/>
      <c r="X129" s="158">
        <f t="shared" si="65"/>
        <v>0.18631240725671339</v>
      </c>
      <c r="Y129" s="158">
        <f t="shared" si="66"/>
        <v>9.3958582643243499E-2</v>
      </c>
      <c r="Z129" s="158">
        <f t="shared" si="67"/>
        <v>5.135225695275477E-2</v>
      </c>
      <c r="AA129" s="158">
        <f t="shared" si="68"/>
        <v>0.10134046958020201</v>
      </c>
      <c r="AB129" s="158">
        <f t="shared" si="69"/>
        <v>2.8083265521037768E-2</v>
      </c>
      <c r="AC129" s="158">
        <f t="shared" si="70"/>
        <v>5.7530575367383083E-2</v>
      </c>
      <c r="AD129" s="135"/>
      <c r="AE129" s="135"/>
      <c r="AF129" s="189">
        <v>2025</v>
      </c>
      <c r="AG129" s="189" t="s">
        <v>578</v>
      </c>
    </row>
    <row r="130" spans="1:33" ht="15.75" customHeight="1" x14ac:dyDescent="0.3">
      <c r="A130" s="184">
        <v>33</v>
      </c>
      <c r="B130" s="185" t="s">
        <v>69</v>
      </c>
      <c r="C130" s="185">
        <v>1046</v>
      </c>
      <c r="D130" s="185" t="s">
        <v>64</v>
      </c>
      <c r="E130" s="185">
        <v>35000125</v>
      </c>
      <c r="F130" s="186">
        <v>24.59</v>
      </c>
      <c r="G130" s="186">
        <v>9.84</v>
      </c>
      <c r="H130" s="186">
        <v>7.23</v>
      </c>
      <c r="I130" s="186">
        <v>11.13</v>
      </c>
      <c r="J130" s="186">
        <v>3.83</v>
      </c>
      <c r="K130" s="186">
        <v>7.3</v>
      </c>
      <c r="L130" s="187">
        <f t="shared" si="58"/>
        <v>63.919999999999995</v>
      </c>
      <c r="M130" s="185" t="s">
        <v>548</v>
      </c>
      <c r="N130" s="188"/>
      <c r="O130" s="135"/>
      <c r="P130" s="156">
        <f t="shared" si="59"/>
        <v>0.66305269127655186</v>
      </c>
      <c r="Q130" s="156">
        <f t="shared" si="60"/>
        <v>0.26532893380078365</v>
      </c>
      <c r="R130" s="156">
        <f t="shared" si="61"/>
        <v>0.19495205196947826</v>
      </c>
      <c r="S130" s="156">
        <f t="shared" si="62"/>
        <v>0.30011290987832545</v>
      </c>
      <c r="T130" s="156">
        <f t="shared" si="63"/>
        <v>0.10327335533099609</v>
      </c>
      <c r="U130" s="156">
        <f t="shared" si="64"/>
        <v>0.19683955454732935</v>
      </c>
      <c r="V130" s="157"/>
      <c r="W130" s="135"/>
      <c r="X130" s="158">
        <f t="shared" si="65"/>
        <v>0.15390084246804844</v>
      </c>
      <c r="Y130" s="158">
        <f t="shared" si="66"/>
        <v>6.1585371691158866E-2</v>
      </c>
      <c r="Z130" s="158">
        <f t="shared" si="67"/>
        <v>4.525022737063808E-2</v>
      </c>
      <c r="AA130" s="158">
        <f t="shared" si="68"/>
        <v>6.9659063711646166E-2</v>
      </c>
      <c r="AB130" s="158">
        <f t="shared" si="69"/>
        <v>2.3970729022066921E-2</v>
      </c>
      <c r="AC130" s="158">
        <f t="shared" si="70"/>
        <v>4.5688334689579245E-2</v>
      </c>
      <c r="AD130" s="135"/>
      <c r="AE130" s="135"/>
      <c r="AF130" s="189">
        <v>2025</v>
      </c>
      <c r="AG130" s="189" t="s">
        <v>579</v>
      </c>
    </row>
    <row r="131" spans="1:33" ht="15.75" customHeight="1" x14ac:dyDescent="0.3">
      <c r="A131" s="184">
        <v>34</v>
      </c>
      <c r="B131" s="185" t="s">
        <v>65</v>
      </c>
      <c r="C131" s="185">
        <v>1593</v>
      </c>
      <c r="D131" s="185" t="s">
        <v>64</v>
      </c>
      <c r="E131" s="185">
        <v>35000126</v>
      </c>
      <c r="F131" s="186">
        <v>19.649999999999999</v>
      </c>
      <c r="G131" s="186">
        <v>10</v>
      </c>
      <c r="H131" s="186">
        <v>6.8</v>
      </c>
      <c r="I131" s="186">
        <v>12.63</v>
      </c>
      <c r="J131" s="186">
        <v>3.5</v>
      </c>
      <c r="K131" s="186">
        <v>6.16</v>
      </c>
      <c r="L131" s="187">
        <f t="shared" si="58"/>
        <v>58.739999999999995</v>
      </c>
      <c r="M131" s="185" t="s">
        <v>548</v>
      </c>
      <c r="N131" s="188"/>
      <c r="O131" s="135"/>
      <c r="P131" s="156">
        <f t="shared" si="59"/>
        <v>0.80693055269127645</v>
      </c>
      <c r="Q131" s="156">
        <f t="shared" si="60"/>
        <v>0.41065168075891939</v>
      </c>
      <c r="R131" s="156">
        <f t="shared" si="61"/>
        <v>0.27924314291606517</v>
      </c>
      <c r="S131" s="156">
        <f t="shared" si="62"/>
        <v>0.51865307279851514</v>
      </c>
      <c r="T131" s="156">
        <f t="shared" si="63"/>
        <v>0.14372808826562178</v>
      </c>
      <c r="U131" s="156">
        <f t="shared" si="64"/>
        <v>0.25296143534749438</v>
      </c>
      <c r="V131" s="157"/>
      <c r="W131" s="135"/>
      <c r="X131" s="158">
        <f t="shared" si="65"/>
        <v>0.18729626394141016</v>
      </c>
      <c r="Y131" s="158">
        <f t="shared" si="66"/>
        <v>9.531616485567948E-2</v>
      </c>
      <c r="Z131" s="158">
        <f t="shared" si="67"/>
        <v>6.4814992101862048E-2</v>
      </c>
      <c r="AA131" s="158">
        <f t="shared" si="68"/>
        <v>0.12038431621272318</v>
      </c>
      <c r="AB131" s="158">
        <f t="shared" si="69"/>
        <v>3.3360657699487817E-2</v>
      </c>
      <c r="AC131" s="158">
        <f t="shared" si="70"/>
        <v>5.8714757551098562E-2</v>
      </c>
      <c r="AD131" s="135"/>
      <c r="AE131" s="135"/>
      <c r="AF131" s="189">
        <v>2019</v>
      </c>
      <c r="AG131" s="189" t="s">
        <v>580</v>
      </c>
    </row>
    <row r="132" spans="1:33" ht="15.75" customHeight="1" x14ac:dyDescent="0.3">
      <c r="A132" s="184">
        <v>35</v>
      </c>
      <c r="B132" s="185" t="s">
        <v>63</v>
      </c>
      <c r="C132" s="185">
        <v>1921</v>
      </c>
      <c r="D132" s="185" t="s">
        <v>64</v>
      </c>
      <c r="E132" s="185">
        <v>35000127</v>
      </c>
      <c r="F132" s="186">
        <v>22.88</v>
      </c>
      <c r="G132" s="186">
        <v>13.76</v>
      </c>
      <c r="H132" s="186">
        <v>7</v>
      </c>
      <c r="I132" s="186">
        <v>12.63</v>
      </c>
      <c r="J132" s="186">
        <v>3.5</v>
      </c>
      <c r="K132" s="186">
        <v>7</v>
      </c>
      <c r="L132" s="187">
        <f t="shared" si="58"/>
        <v>66.77000000000001</v>
      </c>
      <c r="M132" s="185" t="s">
        <v>548</v>
      </c>
      <c r="N132" s="188"/>
      <c r="O132" s="135"/>
      <c r="P132" s="156">
        <f t="shared" si="59"/>
        <v>1.1330294906166218</v>
      </c>
      <c r="Q132" s="156">
        <f t="shared" si="60"/>
        <v>0.68140235100020619</v>
      </c>
      <c r="R132" s="156">
        <f t="shared" si="61"/>
        <v>0.34664363786347702</v>
      </c>
      <c r="S132" s="156">
        <f t="shared" si="62"/>
        <v>0.62544416374510214</v>
      </c>
      <c r="T132" s="156">
        <f t="shared" si="63"/>
        <v>0.17332181893173851</v>
      </c>
      <c r="U132" s="156">
        <f t="shared" si="64"/>
        <v>0.34664363786347702</v>
      </c>
      <c r="V132" s="157"/>
      <c r="W132" s="135"/>
      <c r="X132" s="158">
        <f t="shared" si="65"/>
        <v>0.26298693217174857</v>
      </c>
      <c r="Y132" s="158">
        <f t="shared" si="66"/>
        <v>0.15815997319419844</v>
      </c>
      <c r="Z132" s="158">
        <f t="shared" si="67"/>
        <v>8.04592886889091E-2</v>
      </c>
      <c r="AA132" s="158">
        <f t="shared" si="68"/>
        <v>0.14517154516298886</v>
      </c>
      <c r="AB132" s="158">
        <f t="shared" si="69"/>
        <v>4.022964434445455E-2</v>
      </c>
      <c r="AC132" s="158">
        <f t="shared" si="70"/>
        <v>8.04592886889091E-2</v>
      </c>
      <c r="AD132" s="135"/>
      <c r="AE132" s="135"/>
      <c r="AF132" s="189">
        <v>2019</v>
      </c>
      <c r="AG132" s="189" t="s">
        <v>581</v>
      </c>
    </row>
    <row r="133" spans="1:33" ht="15.75" customHeight="1" x14ac:dyDescent="0.3">
      <c r="A133" s="184">
        <v>36</v>
      </c>
      <c r="B133" s="185" t="s">
        <v>68</v>
      </c>
      <c r="C133" s="185">
        <v>1884</v>
      </c>
      <c r="D133" s="185" t="s">
        <v>64</v>
      </c>
      <c r="E133" s="185">
        <v>35000129</v>
      </c>
      <c r="F133" s="186">
        <v>27.13</v>
      </c>
      <c r="G133" s="186">
        <v>8.9</v>
      </c>
      <c r="H133" s="186">
        <v>7.68</v>
      </c>
      <c r="I133" s="186">
        <v>12.05</v>
      </c>
      <c r="J133" s="186">
        <v>4.25</v>
      </c>
      <c r="K133" s="186">
        <v>8.5</v>
      </c>
      <c r="L133" s="187">
        <f t="shared" si="58"/>
        <v>68.510000000000005</v>
      </c>
      <c r="M133" s="185" t="s">
        <v>548</v>
      </c>
      <c r="N133" s="188"/>
      <c r="O133" s="135"/>
      <c r="P133" s="156">
        <f t="shared" si="59"/>
        <v>1.3176149721592081</v>
      </c>
      <c r="Q133" s="156">
        <f t="shared" si="60"/>
        <v>0.43224376160033001</v>
      </c>
      <c r="R133" s="156">
        <f t="shared" si="61"/>
        <v>0.37299236956073417</v>
      </c>
      <c r="S133" s="156">
        <f t="shared" si="62"/>
        <v>0.58522891317797487</v>
      </c>
      <c r="T133" s="156">
        <f t="shared" si="63"/>
        <v>0.20640853784285421</v>
      </c>
      <c r="U133" s="156">
        <f t="shared" si="64"/>
        <v>0.41281707568570841</v>
      </c>
      <c r="V133" s="157"/>
      <c r="W133" s="135"/>
      <c r="X133" s="158">
        <f t="shared" si="65"/>
        <v>0.30583097984778135</v>
      </c>
      <c r="Y133" s="158">
        <f t="shared" si="66"/>
        <v>0.10032789239385383</v>
      </c>
      <c r="Z133" s="158">
        <f t="shared" si="67"/>
        <v>8.6575080178067101E-2</v>
      </c>
      <c r="AA133" s="158">
        <f t="shared" si="68"/>
        <v>0.13583720262313914</v>
      </c>
      <c r="AB133" s="158">
        <f t="shared" si="69"/>
        <v>4.7909386817289741E-2</v>
      </c>
      <c r="AC133" s="158">
        <f t="shared" si="70"/>
        <v>9.5818773634579482E-2</v>
      </c>
      <c r="AD133" s="135"/>
      <c r="AE133" s="135"/>
      <c r="AF133" s="189">
        <v>2023</v>
      </c>
      <c r="AG133" s="189" t="s">
        <v>578</v>
      </c>
    </row>
    <row r="134" spans="1:33" ht="15.75" customHeight="1" x14ac:dyDescent="0.3">
      <c r="A134" s="184">
        <v>37</v>
      </c>
      <c r="B134" s="185" t="s">
        <v>70</v>
      </c>
      <c r="C134" s="185">
        <v>1337</v>
      </c>
      <c r="D134" s="185" t="s">
        <v>64</v>
      </c>
      <c r="E134" s="185">
        <v>35000128</v>
      </c>
      <c r="F134" s="186">
        <v>26.07</v>
      </c>
      <c r="G134" s="186">
        <v>7.85</v>
      </c>
      <c r="H134" s="186">
        <v>6.78</v>
      </c>
      <c r="I134" s="186">
        <v>11.57</v>
      </c>
      <c r="J134" s="186">
        <v>4.18</v>
      </c>
      <c r="K134" s="186">
        <v>7.15</v>
      </c>
      <c r="L134" s="187">
        <f t="shared" si="58"/>
        <v>63.6</v>
      </c>
      <c r="M134" s="185" t="s">
        <v>543</v>
      </c>
      <c r="N134" s="188"/>
      <c r="O134" s="135"/>
      <c r="P134" s="156">
        <f t="shared" si="59"/>
        <v>0.8985252113837906</v>
      </c>
      <c r="Q134" s="156">
        <f t="shared" si="60"/>
        <v>0.27055707362342746</v>
      </c>
      <c r="R134" s="156">
        <f t="shared" si="61"/>
        <v>0.23367859352443804</v>
      </c>
      <c r="S134" s="156">
        <f t="shared" si="62"/>
        <v>0.3987701072386059</v>
      </c>
      <c r="T134" s="156">
        <f t="shared" si="63"/>
        <v>0.14406733347081871</v>
      </c>
      <c r="U134" s="156">
        <f t="shared" si="64"/>
        <v>0.24643096514745311</v>
      </c>
      <c r="V134" s="157"/>
      <c r="W134" s="135"/>
      <c r="X134" s="158">
        <f t="shared" si="65"/>
        <v>0.20855625628260976</v>
      </c>
      <c r="Y134" s="158">
        <f t="shared" si="66"/>
        <v>6.2798872720310178E-2</v>
      </c>
      <c r="Z134" s="158">
        <f t="shared" si="67"/>
        <v>5.4239026374994018E-2</v>
      </c>
      <c r="AA134" s="158">
        <f t="shared" si="68"/>
        <v>9.2558338518979461E-2</v>
      </c>
      <c r="AB134" s="158">
        <f t="shared" si="69"/>
        <v>3.3439399741515483E-2</v>
      </c>
      <c r="AC134" s="158">
        <f t="shared" si="70"/>
        <v>5.7198973242065965E-2</v>
      </c>
      <c r="AD134" s="135"/>
      <c r="AE134" s="135"/>
      <c r="AF134" s="189">
        <v>2024</v>
      </c>
      <c r="AG134" s="189" t="s">
        <v>553</v>
      </c>
    </row>
    <row r="135" spans="1:33" ht="15.75" customHeight="1" x14ac:dyDescent="0.3">
      <c r="A135" s="184">
        <v>38</v>
      </c>
      <c r="B135" s="185" t="s">
        <v>66</v>
      </c>
      <c r="C135" s="185">
        <v>1246</v>
      </c>
      <c r="D135" s="185" t="s">
        <v>64</v>
      </c>
      <c r="E135" s="185">
        <v>35000130</v>
      </c>
      <c r="F135" s="186">
        <v>31.44</v>
      </c>
      <c r="G135" s="186">
        <v>7.5</v>
      </c>
      <c r="H135" s="186">
        <v>8.2799999999999994</v>
      </c>
      <c r="I135" s="186">
        <v>12.75</v>
      </c>
      <c r="J135" s="186">
        <v>3.9</v>
      </c>
      <c r="K135" s="186">
        <v>7.99</v>
      </c>
      <c r="L135" s="187">
        <f t="shared" si="58"/>
        <v>71.86</v>
      </c>
      <c r="M135" s="185" t="s">
        <v>544</v>
      </c>
      <c r="N135" s="188"/>
      <c r="O135" s="135"/>
      <c r="P135" s="156">
        <f t="shared" si="59"/>
        <v>1.0098535780573314</v>
      </c>
      <c r="Q135" s="156">
        <f t="shared" si="60"/>
        <v>0.24090018560527943</v>
      </c>
      <c r="R135" s="156">
        <f t="shared" si="61"/>
        <v>0.26595380490822845</v>
      </c>
      <c r="S135" s="156">
        <f t="shared" si="62"/>
        <v>0.40953031552897506</v>
      </c>
      <c r="T135" s="156">
        <f t="shared" si="63"/>
        <v>0.1252680965147453</v>
      </c>
      <c r="U135" s="156">
        <f t="shared" si="64"/>
        <v>0.25663899773149107</v>
      </c>
      <c r="V135" s="157"/>
      <c r="W135" s="135"/>
      <c r="X135" s="158">
        <f t="shared" si="65"/>
        <v>0.23439663012780623</v>
      </c>
      <c r="Y135" s="158">
        <f t="shared" si="66"/>
        <v>5.5915226652625535E-2</v>
      </c>
      <c r="Z135" s="158">
        <f t="shared" si="67"/>
        <v>6.1730410224498586E-2</v>
      </c>
      <c r="AA135" s="158">
        <f t="shared" si="68"/>
        <v>9.5055885309463406E-2</v>
      </c>
      <c r="AB135" s="158">
        <f t="shared" si="69"/>
        <v>2.9075917859365273E-2</v>
      </c>
      <c r="AC135" s="158">
        <f t="shared" si="70"/>
        <v>5.9568354793930405E-2</v>
      </c>
      <c r="AD135" s="135"/>
      <c r="AE135" s="135"/>
      <c r="AF135" s="189">
        <v>2025</v>
      </c>
      <c r="AG135" s="189" t="s">
        <v>582</v>
      </c>
    </row>
    <row r="136" spans="1:33" ht="15.75" customHeight="1" x14ac:dyDescent="0.3">
      <c r="A136" s="184">
        <v>39</v>
      </c>
      <c r="B136" s="185" t="s">
        <v>71</v>
      </c>
      <c r="C136" s="185">
        <v>1372</v>
      </c>
      <c r="D136" s="185" t="s">
        <v>64</v>
      </c>
      <c r="E136" s="185">
        <v>35000131</v>
      </c>
      <c r="F136" s="186">
        <v>21.51</v>
      </c>
      <c r="G136" s="186">
        <v>8.5</v>
      </c>
      <c r="H136" s="186">
        <v>7</v>
      </c>
      <c r="I136" s="186">
        <v>12.63</v>
      </c>
      <c r="J136" s="186">
        <v>3.5</v>
      </c>
      <c r="K136" s="186">
        <v>7</v>
      </c>
      <c r="L136" s="187">
        <f t="shared" si="58"/>
        <v>60.140000000000008</v>
      </c>
      <c r="M136" s="185" t="s">
        <v>548</v>
      </c>
      <c r="N136" s="188"/>
      <c r="O136" s="135"/>
      <c r="P136" s="156">
        <f t="shared" si="59"/>
        <v>0.7607681996287895</v>
      </c>
      <c r="Q136" s="156">
        <f t="shared" si="60"/>
        <v>0.30062899566921014</v>
      </c>
      <c r="R136" s="156">
        <f t="shared" si="61"/>
        <v>0.24757681996287895</v>
      </c>
      <c r="S136" s="156">
        <f t="shared" si="62"/>
        <v>0.44669931944730873</v>
      </c>
      <c r="T136" s="156">
        <f t="shared" si="63"/>
        <v>0.12378840998143947</v>
      </c>
      <c r="U136" s="156">
        <f t="shared" si="64"/>
        <v>0.24757681996287895</v>
      </c>
      <c r="V136" s="161" t="s">
        <v>518</v>
      </c>
      <c r="W136" s="162" t="s">
        <v>263</v>
      </c>
      <c r="X136" s="158">
        <f t="shared" si="65"/>
        <v>0.1765815422909387</v>
      </c>
      <c r="Y136" s="158">
        <f t="shared" si="66"/>
        <v>6.9778852137283992E-2</v>
      </c>
      <c r="Z136" s="158">
        <f t="shared" si="67"/>
        <v>5.7464937054233882E-2</v>
      </c>
      <c r="AA136" s="158">
        <f t="shared" si="68"/>
        <v>0.10368316499928198</v>
      </c>
      <c r="AB136" s="158">
        <f t="shared" si="69"/>
        <v>2.8732468527116941E-2</v>
      </c>
      <c r="AC136" s="158">
        <f t="shared" si="70"/>
        <v>5.7464937054233882E-2</v>
      </c>
      <c r="AD136" s="135"/>
      <c r="AE136" s="135"/>
      <c r="AF136" s="189">
        <v>2024</v>
      </c>
      <c r="AG136" s="189" t="s">
        <v>583</v>
      </c>
    </row>
    <row r="137" spans="1:33" ht="15.75" customHeight="1" x14ac:dyDescent="0.3">
      <c r="A137" s="18"/>
      <c r="B137" s="163" t="s">
        <v>546</v>
      </c>
      <c r="C137" s="191">
        <f>SUM(C98:C136)</f>
        <v>38792</v>
      </c>
      <c r="D137" s="19"/>
      <c r="E137" s="19"/>
      <c r="F137" s="165"/>
      <c r="G137" s="165"/>
      <c r="H137" s="165"/>
      <c r="I137" s="165"/>
      <c r="J137" s="165"/>
      <c r="K137" s="165"/>
      <c r="L137" s="165"/>
      <c r="M137" s="19"/>
      <c r="N137" s="21"/>
      <c r="O137" s="21"/>
      <c r="P137" s="177">
        <f t="shared" ref="P137:U137" si="71">SUM(P98:P136)</f>
        <v>27.156429934007019</v>
      </c>
      <c r="Q137" s="177">
        <f t="shared" si="71"/>
        <v>11.249262476799341</v>
      </c>
      <c r="R137" s="177">
        <f t="shared" si="71"/>
        <v>6.2829653021241487</v>
      </c>
      <c r="S137" s="177">
        <f t="shared" si="71"/>
        <v>10.355166529181275</v>
      </c>
      <c r="T137" s="177">
        <f t="shared" si="71"/>
        <v>3.7379939162713969</v>
      </c>
      <c r="U137" s="177">
        <f t="shared" si="71"/>
        <v>6.6815059806145598</v>
      </c>
      <c r="V137" s="167">
        <f>SUM(P137:U137)</f>
        <v>65.463324138997734</v>
      </c>
      <c r="W137" s="135">
        <f>(P137/45)*100</f>
        <v>60.347622075571152</v>
      </c>
      <c r="X137" s="133"/>
      <c r="Y137" s="133"/>
      <c r="Z137" s="133"/>
      <c r="AA137" s="133"/>
      <c r="AB137" s="133"/>
      <c r="AC137" s="133"/>
      <c r="AD137" s="135"/>
      <c r="AE137" s="135"/>
      <c r="AF137" s="190"/>
      <c r="AG137" s="190"/>
    </row>
    <row r="138" spans="1:33" ht="14.25" customHeight="1" x14ac:dyDescent="0.3">
      <c r="A138" s="48" t="s">
        <v>244</v>
      </c>
      <c r="B138" s="228" t="s">
        <v>245</v>
      </c>
      <c r="C138" s="229"/>
      <c r="D138" s="229"/>
      <c r="E138" s="230"/>
      <c r="F138" s="175"/>
      <c r="G138" s="175"/>
      <c r="H138" s="175"/>
      <c r="I138" s="175"/>
      <c r="J138" s="175"/>
      <c r="K138" s="175"/>
      <c r="L138" s="107">
        <f t="shared" ref="L138:L163" si="72">+SUM(F138:K138)</f>
        <v>0</v>
      </c>
      <c r="M138" s="48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49"/>
      <c r="Y138" s="149"/>
      <c r="Z138" s="149"/>
      <c r="AA138" s="149"/>
      <c r="AB138" s="149"/>
      <c r="AC138" s="149"/>
      <c r="AD138" s="1"/>
      <c r="AE138" s="1"/>
      <c r="AF138" s="192"/>
      <c r="AG138" s="192"/>
    </row>
    <row r="139" spans="1:33" ht="15.75" customHeight="1" x14ac:dyDescent="0.3">
      <c r="A139" s="193">
        <v>1</v>
      </c>
      <c r="B139" s="194" t="s">
        <v>214</v>
      </c>
      <c r="C139" s="194">
        <v>190</v>
      </c>
      <c r="D139" s="194" t="s">
        <v>215</v>
      </c>
      <c r="E139" s="194">
        <v>35000082</v>
      </c>
      <c r="F139" s="195">
        <v>26.75</v>
      </c>
      <c r="G139" s="195">
        <v>14.63</v>
      </c>
      <c r="H139" s="195">
        <v>4.3</v>
      </c>
      <c r="I139" s="195">
        <v>9.3000000000000007</v>
      </c>
      <c r="J139" s="195">
        <v>3.5</v>
      </c>
      <c r="K139" s="195">
        <v>3</v>
      </c>
      <c r="L139" s="107">
        <f t="shared" si="72"/>
        <v>61.480000000000004</v>
      </c>
      <c r="M139" s="98"/>
      <c r="O139" s="135"/>
      <c r="P139" s="157"/>
      <c r="Q139" s="157"/>
      <c r="R139" s="157"/>
      <c r="S139" s="157"/>
      <c r="T139" s="157"/>
      <c r="U139" s="157"/>
      <c r="V139" s="157"/>
      <c r="W139" s="135"/>
      <c r="X139" s="158">
        <f t="shared" ref="X139:X163" si="73">(F139*C139)/$C$202</f>
        <v>3.0410822842372315E-2</v>
      </c>
      <c r="Y139" s="158">
        <f t="shared" ref="Y139:Y163" si="74">(G139*C139)/$C$202</f>
        <v>1.6632162175099326E-2</v>
      </c>
      <c r="Z139" s="158">
        <f t="shared" ref="Z139:Z163" si="75">(H139*C139)/$C$202</f>
        <v>4.8884687185869512E-3</v>
      </c>
      <c r="AA139" s="158">
        <f t="shared" ref="AA139:AA163" si="76">(I139*C139)/$C$202</f>
        <v>1.0572734670432245E-2</v>
      </c>
      <c r="AB139" s="158">
        <f t="shared" ref="AB139:AB163" si="77">(J139*C139)/$C$202</f>
        <v>3.9789861662917047E-3</v>
      </c>
      <c r="AC139" s="158">
        <f t="shared" ref="AC139:AC163" si="78">(K139*C139)/$C$202</f>
        <v>3.4105595711071755E-3</v>
      </c>
      <c r="AD139" s="135"/>
      <c r="AE139" s="135"/>
      <c r="AF139" s="189">
        <v>2023</v>
      </c>
      <c r="AG139" s="189" t="s">
        <v>584</v>
      </c>
    </row>
    <row r="140" spans="1:33" ht="15.75" customHeight="1" x14ac:dyDescent="0.3">
      <c r="A140" s="193">
        <v>2</v>
      </c>
      <c r="B140" s="194" t="s">
        <v>216</v>
      </c>
      <c r="C140" s="194">
        <v>151</v>
      </c>
      <c r="D140" s="194" t="s">
        <v>215</v>
      </c>
      <c r="E140" s="194">
        <v>35000083</v>
      </c>
      <c r="F140" s="195">
        <v>12.05</v>
      </c>
      <c r="G140" s="195">
        <v>13.64</v>
      </c>
      <c r="H140" s="195">
        <v>7</v>
      </c>
      <c r="I140" s="195">
        <v>10.5</v>
      </c>
      <c r="J140" s="195">
        <v>3.5</v>
      </c>
      <c r="K140" s="195">
        <v>3</v>
      </c>
      <c r="L140" s="107">
        <f t="shared" si="72"/>
        <v>49.69</v>
      </c>
      <c r="M140" s="98" t="s">
        <v>585</v>
      </c>
      <c r="O140" s="135"/>
      <c r="P140" s="157"/>
      <c r="Q140" s="157"/>
      <c r="R140" s="157"/>
      <c r="S140" s="157"/>
      <c r="T140" s="157"/>
      <c r="U140" s="157"/>
      <c r="V140" s="157"/>
      <c r="W140" s="135"/>
      <c r="X140" s="158">
        <f t="shared" si="73"/>
        <v>1.088716432913695E-2</v>
      </c>
      <c r="Y140" s="158">
        <f t="shared" si="74"/>
        <v>1.2323727921114355E-2</v>
      </c>
      <c r="Z140" s="158">
        <f t="shared" si="75"/>
        <v>6.3244938011583936E-3</v>
      </c>
      <c r="AA140" s="158">
        <f t="shared" si="76"/>
        <v>9.4867407017375904E-3</v>
      </c>
      <c r="AB140" s="158">
        <f t="shared" si="77"/>
        <v>3.1622469005791968E-3</v>
      </c>
      <c r="AC140" s="158">
        <f t="shared" si="78"/>
        <v>2.7104973433535974E-3</v>
      </c>
      <c r="AD140" s="135"/>
      <c r="AE140" s="135"/>
      <c r="AF140" s="189">
        <v>2023</v>
      </c>
      <c r="AG140" s="189" t="s">
        <v>586</v>
      </c>
    </row>
    <row r="141" spans="1:33" ht="15.75" customHeight="1" x14ac:dyDescent="0.3">
      <c r="A141" s="193">
        <v>3</v>
      </c>
      <c r="B141" s="194" t="s">
        <v>217</v>
      </c>
      <c r="C141" s="194">
        <v>62</v>
      </c>
      <c r="D141" s="194" t="s">
        <v>215</v>
      </c>
      <c r="E141" s="194">
        <v>35000084</v>
      </c>
      <c r="F141" s="195">
        <v>15.95</v>
      </c>
      <c r="G141" s="195">
        <v>12.99</v>
      </c>
      <c r="H141" s="195">
        <v>7.41</v>
      </c>
      <c r="I141" s="195">
        <v>12.75</v>
      </c>
      <c r="J141" s="195">
        <v>3.95</v>
      </c>
      <c r="K141" s="195">
        <v>3</v>
      </c>
      <c r="L141" s="107">
        <f t="shared" si="72"/>
        <v>56.05</v>
      </c>
      <c r="M141" s="98" t="s">
        <v>585</v>
      </c>
      <c r="O141" s="135"/>
      <c r="P141" s="157"/>
      <c r="Q141" s="157"/>
      <c r="R141" s="157"/>
      <c r="S141" s="157"/>
      <c r="T141" s="157"/>
      <c r="U141" s="157"/>
      <c r="V141" s="157"/>
      <c r="W141" s="135"/>
      <c r="X141" s="158">
        <f t="shared" si="73"/>
        <v>5.9170216839787466E-3</v>
      </c>
      <c r="Y141" s="158">
        <f t="shared" si="74"/>
        <v>4.8189411708391174E-3</v>
      </c>
      <c r="Z141" s="158">
        <f t="shared" si="75"/>
        <v>2.7489110143123835E-3</v>
      </c>
      <c r="AA141" s="158">
        <f t="shared" si="76"/>
        <v>4.7299076157196881E-3</v>
      </c>
      <c r="AB141" s="158">
        <f t="shared" si="77"/>
        <v>1.4653439280072759E-3</v>
      </c>
      <c r="AC141" s="158">
        <f t="shared" si="78"/>
        <v>1.1129194389928676E-3</v>
      </c>
      <c r="AD141" s="135"/>
      <c r="AE141" s="135"/>
      <c r="AF141" s="189">
        <v>2023</v>
      </c>
      <c r="AG141" s="189" t="s">
        <v>587</v>
      </c>
    </row>
    <row r="142" spans="1:33" ht="15.75" customHeight="1" x14ac:dyDescent="0.3">
      <c r="A142" s="193">
        <v>4</v>
      </c>
      <c r="B142" s="194" t="s">
        <v>218</v>
      </c>
      <c r="C142" s="194">
        <v>696</v>
      </c>
      <c r="D142" s="194" t="s">
        <v>215</v>
      </c>
      <c r="E142" s="194">
        <v>35000085</v>
      </c>
      <c r="F142" s="195">
        <v>29.64</v>
      </c>
      <c r="G142" s="195">
        <v>14.5</v>
      </c>
      <c r="H142" s="195">
        <v>7.41</v>
      </c>
      <c r="I142" s="195">
        <v>4.55</v>
      </c>
      <c r="J142" s="195">
        <v>2</v>
      </c>
      <c r="K142" s="195">
        <v>8.5</v>
      </c>
      <c r="L142" s="107">
        <f t="shared" si="72"/>
        <v>66.599999999999994</v>
      </c>
      <c r="M142" s="98" t="s">
        <v>585</v>
      </c>
      <c r="O142" s="135"/>
      <c r="P142" s="157"/>
      <c r="Q142" s="157"/>
      <c r="R142" s="157"/>
      <c r="S142" s="157"/>
      <c r="T142" s="157"/>
      <c r="U142" s="157"/>
      <c r="V142" s="157"/>
      <c r="W142" s="135"/>
      <c r="X142" s="158">
        <f t="shared" si="73"/>
        <v>0.12343497199751088</v>
      </c>
      <c r="Y142" s="158">
        <f t="shared" si="74"/>
        <v>6.038485472212915E-2</v>
      </c>
      <c r="Z142" s="158">
        <f t="shared" si="75"/>
        <v>3.0858742999377721E-2</v>
      </c>
      <c r="AA142" s="158">
        <f t="shared" si="76"/>
        <v>1.8948350964530177E-2</v>
      </c>
      <c r="AB142" s="158">
        <f t="shared" si="77"/>
        <v>8.3289454789143656E-3</v>
      </c>
      <c r="AC142" s="158">
        <f t="shared" si="78"/>
        <v>3.5398018285386051E-2</v>
      </c>
      <c r="AD142" s="135"/>
      <c r="AE142" s="135"/>
      <c r="AF142" s="189">
        <v>2023</v>
      </c>
      <c r="AG142" s="189" t="s">
        <v>553</v>
      </c>
    </row>
    <row r="143" spans="1:33" ht="15.75" customHeight="1" x14ac:dyDescent="0.3">
      <c r="A143" s="193">
        <v>5</v>
      </c>
      <c r="B143" s="194" t="s">
        <v>219</v>
      </c>
      <c r="C143" s="194">
        <v>598</v>
      </c>
      <c r="D143" s="194" t="s">
        <v>215</v>
      </c>
      <c r="E143" s="194">
        <v>35000086</v>
      </c>
      <c r="F143" s="195">
        <v>27.75</v>
      </c>
      <c r="G143" s="195">
        <v>14.38</v>
      </c>
      <c r="H143" s="195">
        <v>7.41</v>
      </c>
      <c r="I143" s="195">
        <v>12.75</v>
      </c>
      <c r="J143" s="195">
        <v>4.25</v>
      </c>
      <c r="K143" s="195">
        <v>8.5</v>
      </c>
      <c r="L143" s="107">
        <f t="shared" si="72"/>
        <v>75.040000000000006</v>
      </c>
      <c r="M143" s="98" t="s">
        <v>585</v>
      </c>
      <c r="O143" s="135"/>
      <c r="P143" s="157"/>
      <c r="Q143" s="157"/>
      <c r="R143" s="157"/>
      <c r="S143" s="157"/>
      <c r="T143" s="157"/>
      <c r="U143" s="157"/>
      <c r="V143" s="157"/>
      <c r="W143" s="135"/>
      <c r="X143" s="158">
        <f t="shared" si="73"/>
        <v>9.929215930304916E-2</v>
      </c>
      <c r="Y143" s="158">
        <f t="shared" si="74"/>
        <v>5.1453018046048536E-2</v>
      </c>
      <c r="Z143" s="158">
        <f t="shared" si="75"/>
        <v>2.6513690105787184E-2</v>
      </c>
      <c r="AA143" s="158">
        <f t="shared" si="76"/>
        <v>4.5620721841941506E-2</v>
      </c>
      <c r="AB143" s="158">
        <f t="shared" si="77"/>
        <v>1.5206907280647169E-2</v>
      </c>
      <c r="AC143" s="158">
        <f t="shared" si="78"/>
        <v>3.0413814561294338E-2</v>
      </c>
      <c r="AD143" s="135"/>
      <c r="AE143" s="135"/>
      <c r="AF143" s="189">
        <v>2023</v>
      </c>
      <c r="AG143" s="189" t="s">
        <v>553</v>
      </c>
    </row>
    <row r="144" spans="1:33" ht="15.75" customHeight="1" x14ac:dyDescent="0.3">
      <c r="A144" s="193">
        <v>6</v>
      </c>
      <c r="B144" s="194" t="s">
        <v>220</v>
      </c>
      <c r="C144" s="194">
        <v>445</v>
      </c>
      <c r="D144" s="194" t="s">
        <v>215</v>
      </c>
      <c r="E144" s="194">
        <v>35000087</v>
      </c>
      <c r="F144" s="195">
        <v>31.38</v>
      </c>
      <c r="G144" s="195">
        <v>14.63</v>
      </c>
      <c r="H144" s="195">
        <v>7.41</v>
      </c>
      <c r="I144" s="195">
        <v>12.45</v>
      </c>
      <c r="J144" s="195">
        <v>3.5</v>
      </c>
      <c r="K144" s="195">
        <v>8.5</v>
      </c>
      <c r="L144" s="107">
        <f t="shared" si="72"/>
        <v>77.87</v>
      </c>
      <c r="M144" s="98" t="s">
        <v>585</v>
      </c>
      <c r="O144" s="135"/>
      <c r="P144" s="157"/>
      <c r="Q144" s="157"/>
      <c r="R144" s="157"/>
      <c r="S144" s="157"/>
      <c r="T144" s="157"/>
      <c r="U144" s="157"/>
      <c r="V144" s="157"/>
      <c r="W144" s="135"/>
      <c r="X144" s="158">
        <f t="shared" si="73"/>
        <v>8.3553324398066162E-2</v>
      </c>
      <c r="Y144" s="158">
        <f t="shared" si="74"/>
        <v>3.8954274567995793E-2</v>
      </c>
      <c r="Z144" s="158">
        <f t="shared" si="75"/>
        <v>1.9730087118855009E-2</v>
      </c>
      <c r="AA144" s="158">
        <f t="shared" si="76"/>
        <v>3.3149741515485137E-2</v>
      </c>
      <c r="AB144" s="158">
        <f t="shared" si="77"/>
        <v>9.3192044421042553E-3</v>
      </c>
      <c r="AC144" s="158">
        <f t="shared" si="78"/>
        <v>2.2632353645110334E-2</v>
      </c>
      <c r="AD144" s="135"/>
      <c r="AE144" s="135"/>
      <c r="AF144" s="189">
        <v>2025</v>
      </c>
      <c r="AG144" s="189" t="s">
        <v>588</v>
      </c>
    </row>
    <row r="145" spans="1:33" ht="15.75" customHeight="1" x14ac:dyDescent="0.3">
      <c r="A145" s="193">
        <v>7</v>
      </c>
      <c r="B145" s="194" t="s">
        <v>221</v>
      </c>
      <c r="C145" s="194">
        <v>64</v>
      </c>
      <c r="D145" s="194" t="s">
        <v>215</v>
      </c>
      <c r="E145" s="194">
        <v>35000207</v>
      </c>
      <c r="F145" s="195">
        <v>28.94</v>
      </c>
      <c r="G145" s="195">
        <v>14.1</v>
      </c>
      <c r="H145" s="195">
        <v>4.0999999999999996</v>
      </c>
      <c r="I145" s="195">
        <v>4.5</v>
      </c>
      <c r="J145" s="195">
        <v>2.7</v>
      </c>
      <c r="K145" s="195">
        <v>3</v>
      </c>
      <c r="L145" s="107">
        <f t="shared" si="72"/>
        <v>57.34</v>
      </c>
      <c r="M145" s="98"/>
      <c r="O145" s="135"/>
      <c r="P145" s="157"/>
      <c r="Q145" s="157"/>
      <c r="R145" s="157"/>
      <c r="S145" s="157"/>
      <c r="T145" s="157"/>
      <c r="U145" s="157"/>
      <c r="V145" s="157"/>
      <c r="W145" s="135"/>
      <c r="X145" s="158">
        <f t="shared" si="73"/>
        <v>1.1082284237231343E-2</v>
      </c>
      <c r="Y145" s="158">
        <f t="shared" si="74"/>
        <v>5.3994543104686227E-3</v>
      </c>
      <c r="Z145" s="158">
        <f t="shared" si="75"/>
        <v>1.5700540902781101E-3</v>
      </c>
      <c r="AA145" s="158">
        <f t="shared" si="76"/>
        <v>1.7232300990857308E-3</v>
      </c>
      <c r="AB145" s="158">
        <f t="shared" si="77"/>
        <v>1.0339380594514384E-3</v>
      </c>
      <c r="AC145" s="158">
        <f t="shared" si="78"/>
        <v>1.1488200660571537E-3</v>
      </c>
      <c r="AD145" s="135"/>
      <c r="AE145" s="135"/>
      <c r="AF145" s="189">
        <v>2023</v>
      </c>
      <c r="AG145" s="189" t="s">
        <v>553</v>
      </c>
    </row>
    <row r="146" spans="1:33" ht="15.75" customHeight="1" x14ac:dyDescent="0.3">
      <c r="A146" s="193">
        <v>8</v>
      </c>
      <c r="B146" s="194" t="s">
        <v>222</v>
      </c>
      <c r="C146" s="194">
        <v>695</v>
      </c>
      <c r="D146" s="194" t="s">
        <v>223</v>
      </c>
      <c r="E146" s="194">
        <v>35000090</v>
      </c>
      <c r="F146" s="195">
        <v>27.51</v>
      </c>
      <c r="G146" s="195">
        <v>14.96</v>
      </c>
      <c r="H146" s="195">
        <v>6.88</v>
      </c>
      <c r="I146" s="195">
        <v>9.68</v>
      </c>
      <c r="J146" s="195">
        <v>2.9</v>
      </c>
      <c r="K146" s="195">
        <v>6.1</v>
      </c>
      <c r="L146" s="196">
        <f t="shared" si="72"/>
        <v>68.03</v>
      </c>
      <c r="M146" s="194" t="s">
        <v>548</v>
      </c>
      <c r="N146" s="197"/>
      <c r="O146" s="135"/>
      <c r="P146" s="156">
        <f t="shared" ref="P146:P163" si="79">(F146*C146)/$C$164</f>
        <v>0.75843746281090085</v>
      </c>
      <c r="Q146" s="156">
        <f t="shared" ref="Q146:Q163" si="80">(G146*C146)/$C$164</f>
        <v>0.41244000158673494</v>
      </c>
      <c r="R146" s="156">
        <f t="shared" ref="R146:R163" si="81">(H146*C146)/$C$164</f>
        <v>0.18967828949978183</v>
      </c>
      <c r="S146" s="156">
        <f t="shared" ref="S146:S163" si="82">(I146*C146)/$C$164</f>
        <v>0.26687294220318136</v>
      </c>
      <c r="T146" s="156">
        <f t="shared" ref="T146:T163" si="83">(J146*C146)/$C$164</f>
        <v>7.9951604585663846E-2</v>
      </c>
      <c r="U146" s="156">
        <f t="shared" ref="U146:U163" si="84">(K146*C146)/$C$164</f>
        <v>0.1681740648181205</v>
      </c>
      <c r="V146" s="157"/>
      <c r="W146" s="135"/>
      <c r="X146" s="158">
        <f t="shared" si="73"/>
        <v>0.11440004068737734</v>
      </c>
      <c r="Y146" s="158">
        <f t="shared" si="74"/>
        <v>6.2210999952132501E-2</v>
      </c>
      <c r="Z146" s="158">
        <f t="shared" si="75"/>
        <v>2.8610406395098369E-2</v>
      </c>
      <c r="AA146" s="158">
        <f t="shared" si="76"/>
        <v>4.0254176439615139E-2</v>
      </c>
      <c r="AB146" s="158">
        <f t="shared" si="77"/>
        <v>1.2059618974678091E-2</v>
      </c>
      <c r="AC146" s="158">
        <f t="shared" si="78"/>
        <v>2.5366784739840123E-2</v>
      </c>
      <c r="AD146" s="135"/>
      <c r="AE146" s="135"/>
      <c r="AF146" s="189">
        <v>2025</v>
      </c>
      <c r="AG146" s="189" t="s">
        <v>589</v>
      </c>
    </row>
    <row r="147" spans="1:33" ht="15.75" customHeight="1" x14ac:dyDescent="0.3">
      <c r="A147" s="193">
        <v>9</v>
      </c>
      <c r="B147" s="194" t="s">
        <v>224</v>
      </c>
      <c r="C147" s="194">
        <v>463</v>
      </c>
      <c r="D147" s="194" t="s">
        <v>223</v>
      </c>
      <c r="E147" s="194">
        <v>35000091</v>
      </c>
      <c r="F147" s="195">
        <v>23.63</v>
      </c>
      <c r="G147" s="195">
        <v>6.15</v>
      </c>
      <c r="H147" s="195">
        <v>5.36</v>
      </c>
      <c r="I147" s="195">
        <v>8.5299999999999994</v>
      </c>
      <c r="J147" s="195">
        <v>3.35</v>
      </c>
      <c r="K147" s="195">
        <v>7.9</v>
      </c>
      <c r="L147" s="196">
        <f t="shared" si="72"/>
        <v>54.92</v>
      </c>
      <c r="M147" s="194" t="s">
        <v>576</v>
      </c>
      <c r="N147" s="197"/>
      <c r="O147" s="135"/>
      <c r="P147" s="156">
        <f t="shared" si="79"/>
        <v>0.43399936530604144</v>
      </c>
      <c r="Q147" s="156">
        <f t="shared" si="80"/>
        <v>0.11295370700940141</v>
      </c>
      <c r="R147" s="156">
        <f t="shared" si="81"/>
        <v>9.8444206434210021E-2</v>
      </c>
      <c r="S147" s="156">
        <f t="shared" si="82"/>
        <v>0.15666587329921852</v>
      </c>
      <c r="T147" s="156">
        <f t="shared" si="83"/>
        <v>6.1527629021381251E-2</v>
      </c>
      <c r="U147" s="156">
        <f t="shared" si="84"/>
        <v>0.145095005751914</v>
      </c>
      <c r="V147" s="157"/>
      <c r="W147" s="135"/>
      <c r="X147" s="158">
        <f t="shared" si="73"/>
        <v>6.546293858599396E-2</v>
      </c>
      <c r="Y147" s="158">
        <f t="shared" si="74"/>
        <v>1.7037540089033555E-2</v>
      </c>
      <c r="Z147" s="158">
        <f t="shared" si="75"/>
        <v>1.4848978028816238E-2</v>
      </c>
      <c r="AA147" s="158">
        <f t="shared" si="76"/>
        <v>2.3630929586903451E-2</v>
      </c>
      <c r="AB147" s="158">
        <f t="shared" si="77"/>
        <v>9.2806112680101482E-3</v>
      </c>
      <c r="AC147" s="158">
        <f t="shared" si="78"/>
        <v>2.1885620602173188E-2</v>
      </c>
      <c r="AD147" s="135"/>
      <c r="AE147" s="135"/>
      <c r="AF147" s="189">
        <v>2023</v>
      </c>
      <c r="AG147" s="189" t="s">
        <v>590</v>
      </c>
    </row>
    <row r="148" spans="1:33" ht="15.75" customHeight="1" x14ac:dyDescent="0.3">
      <c r="A148" s="193">
        <v>10</v>
      </c>
      <c r="B148" s="194" t="s">
        <v>225</v>
      </c>
      <c r="C148" s="194">
        <v>296</v>
      </c>
      <c r="D148" s="194" t="s">
        <v>223</v>
      </c>
      <c r="E148" s="194">
        <v>35000092</v>
      </c>
      <c r="F148" s="195">
        <v>11.45</v>
      </c>
      <c r="G148" s="195">
        <v>8.51</v>
      </c>
      <c r="H148" s="195">
        <v>4.33</v>
      </c>
      <c r="I148" s="195">
        <v>8.84</v>
      </c>
      <c r="J148" s="195">
        <v>3.93</v>
      </c>
      <c r="K148" s="195">
        <v>3.2</v>
      </c>
      <c r="L148" s="196">
        <f t="shared" si="72"/>
        <v>40.26</v>
      </c>
      <c r="M148" s="194" t="s">
        <v>548</v>
      </c>
      <c r="N148" s="197"/>
      <c r="O148" s="135"/>
      <c r="P148" s="156">
        <f t="shared" si="79"/>
        <v>0.13444404776072036</v>
      </c>
      <c r="Q148" s="156">
        <f t="shared" si="80"/>
        <v>9.9923043357531036E-2</v>
      </c>
      <c r="R148" s="156">
        <f t="shared" si="81"/>
        <v>5.0842159546193824E-2</v>
      </c>
      <c r="S148" s="156">
        <f t="shared" si="82"/>
        <v>0.10379784997421555</v>
      </c>
      <c r="T148" s="156">
        <f t="shared" si="83"/>
        <v>4.6145424253242889E-2</v>
      </c>
      <c r="U148" s="156">
        <f t="shared" si="84"/>
        <v>3.7573882343607444E-2</v>
      </c>
      <c r="V148" s="157"/>
      <c r="W148" s="135"/>
      <c r="X148" s="158">
        <f t="shared" si="73"/>
        <v>2.0279067541046383E-2</v>
      </c>
      <c r="Y148" s="158">
        <f t="shared" si="74"/>
        <v>1.5072040591642334E-2</v>
      </c>
      <c r="Z148" s="158">
        <f t="shared" si="75"/>
        <v>7.6688526159590254E-3</v>
      </c>
      <c r="AA148" s="158">
        <f t="shared" si="76"/>
        <v>1.5656502800248911E-2</v>
      </c>
      <c r="AB148" s="158">
        <f t="shared" si="77"/>
        <v>6.9604135752237804E-3</v>
      </c>
      <c r="AC148" s="158">
        <f t="shared" si="78"/>
        <v>5.667512325881959E-3</v>
      </c>
      <c r="AD148" s="135"/>
      <c r="AE148" s="135"/>
      <c r="AF148" s="189">
        <v>2023</v>
      </c>
      <c r="AG148" s="189" t="s">
        <v>591</v>
      </c>
    </row>
    <row r="149" spans="1:33" ht="15.75" customHeight="1" x14ac:dyDescent="0.3">
      <c r="A149" s="193">
        <v>11</v>
      </c>
      <c r="B149" s="194" t="s">
        <v>226</v>
      </c>
      <c r="C149" s="194">
        <v>2581</v>
      </c>
      <c r="D149" s="194" t="s">
        <v>223</v>
      </c>
      <c r="E149" s="194">
        <v>35000093</v>
      </c>
      <c r="F149" s="195">
        <v>31.17</v>
      </c>
      <c r="G149" s="195">
        <v>11.95</v>
      </c>
      <c r="H149" s="195">
        <v>4</v>
      </c>
      <c r="I149" s="195">
        <v>7.54</v>
      </c>
      <c r="J149" s="195">
        <v>2.7</v>
      </c>
      <c r="K149" s="195">
        <v>4.3600000000000003</v>
      </c>
      <c r="L149" s="196">
        <f t="shared" si="72"/>
        <v>61.720000000000006</v>
      </c>
      <c r="M149" s="194" t="s">
        <v>545</v>
      </c>
      <c r="N149" s="197"/>
      <c r="O149" s="135"/>
      <c r="P149" s="156">
        <f t="shared" si="79"/>
        <v>3.1913114363917652</v>
      </c>
      <c r="Q149" s="156">
        <f t="shared" si="80"/>
        <v>1.2234896267206155</v>
      </c>
      <c r="R149" s="156">
        <f t="shared" si="81"/>
        <v>0.4095362767265659</v>
      </c>
      <c r="S149" s="156">
        <f t="shared" si="82"/>
        <v>0.77197588162957675</v>
      </c>
      <c r="T149" s="156">
        <f t="shared" si="83"/>
        <v>0.27643698679043199</v>
      </c>
      <c r="U149" s="156">
        <f t="shared" si="84"/>
        <v>0.44639454163195691</v>
      </c>
      <c r="V149" s="157"/>
      <c r="W149" s="135"/>
      <c r="X149" s="158">
        <f t="shared" si="73"/>
        <v>0.48136619836293143</v>
      </c>
      <c r="Y149" s="158">
        <f t="shared" si="74"/>
        <v>0.18454687425207025</v>
      </c>
      <c r="Z149" s="158">
        <f t="shared" si="75"/>
        <v>6.1773012301948205E-2</v>
      </c>
      <c r="AA149" s="158">
        <f t="shared" si="76"/>
        <v>0.11644212818917238</v>
      </c>
      <c r="AB149" s="158">
        <f t="shared" si="77"/>
        <v>4.1696783303815044E-2</v>
      </c>
      <c r="AC149" s="158">
        <f t="shared" si="78"/>
        <v>6.7332583409123556E-2</v>
      </c>
      <c r="AD149" s="135"/>
      <c r="AE149" s="135"/>
      <c r="AF149" s="189">
        <v>2025</v>
      </c>
      <c r="AG149" s="189" t="s">
        <v>592</v>
      </c>
    </row>
    <row r="150" spans="1:33" ht="15.75" customHeight="1" x14ac:dyDescent="0.3">
      <c r="A150" s="193">
        <v>12</v>
      </c>
      <c r="B150" s="194" t="s">
        <v>227</v>
      </c>
      <c r="C150" s="194">
        <v>876</v>
      </c>
      <c r="D150" s="194" t="s">
        <v>228</v>
      </c>
      <c r="E150" s="194">
        <v>35000094</v>
      </c>
      <c r="F150" s="195">
        <v>26.13</v>
      </c>
      <c r="G150" s="195">
        <v>12.13</v>
      </c>
      <c r="H150" s="195">
        <v>3</v>
      </c>
      <c r="I150" s="195">
        <v>6.5</v>
      </c>
      <c r="J150" s="195">
        <v>1.65</v>
      </c>
      <c r="K150" s="195">
        <v>3</v>
      </c>
      <c r="L150" s="107">
        <f t="shared" si="72"/>
        <v>52.41</v>
      </c>
      <c r="M150" s="98"/>
      <c r="O150" s="135"/>
      <c r="P150" s="156">
        <f t="shared" si="79"/>
        <v>0.90800428418421986</v>
      </c>
      <c r="Q150" s="156">
        <f t="shared" si="80"/>
        <v>0.42151136498869457</v>
      </c>
      <c r="R150" s="156">
        <f t="shared" si="81"/>
        <v>0.10424848268475545</v>
      </c>
      <c r="S150" s="156">
        <f t="shared" si="82"/>
        <v>0.2258717124836368</v>
      </c>
      <c r="T150" s="156">
        <f t="shared" si="83"/>
        <v>5.7336665476615492E-2</v>
      </c>
      <c r="U150" s="156">
        <f t="shared" si="84"/>
        <v>0.10424848268475545</v>
      </c>
      <c r="V150" s="157"/>
      <c r="W150" s="135"/>
      <c r="X150" s="158">
        <f t="shared" si="73"/>
        <v>0.13696017423771001</v>
      </c>
      <c r="Y150" s="158">
        <f t="shared" si="74"/>
        <v>6.3579292518309322E-2</v>
      </c>
      <c r="Z150" s="158">
        <f t="shared" si="75"/>
        <v>1.5724474654157293E-2</v>
      </c>
      <c r="AA150" s="158">
        <f t="shared" si="76"/>
        <v>3.4069695084007465E-2</v>
      </c>
      <c r="AB150" s="158">
        <f t="shared" si="77"/>
        <v>8.6484610597865105E-3</v>
      </c>
      <c r="AC150" s="158">
        <f t="shared" si="78"/>
        <v>1.5724474654157293E-2</v>
      </c>
      <c r="AD150" s="135"/>
      <c r="AE150" s="135"/>
      <c r="AF150" s="189">
        <v>2023</v>
      </c>
      <c r="AG150" s="189" t="s">
        <v>593</v>
      </c>
    </row>
    <row r="151" spans="1:33" ht="15.75" customHeight="1" x14ac:dyDescent="0.3">
      <c r="A151" s="193">
        <v>13</v>
      </c>
      <c r="B151" s="194" t="s">
        <v>93</v>
      </c>
      <c r="C151" s="194">
        <v>1126</v>
      </c>
      <c r="D151" s="194" t="s">
        <v>91</v>
      </c>
      <c r="E151" s="194">
        <v>35000171</v>
      </c>
      <c r="F151" s="195">
        <v>32.32</v>
      </c>
      <c r="G151" s="195">
        <v>13.28</v>
      </c>
      <c r="H151" s="195">
        <v>5.08</v>
      </c>
      <c r="I151" s="195">
        <v>10.6</v>
      </c>
      <c r="J151" s="195">
        <v>3.18</v>
      </c>
      <c r="K151" s="195">
        <v>5.31</v>
      </c>
      <c r="L151" s="196">
        <f t="shared" si="72"/>
        <v>69.77000000000001</v>
      </c>
      <c r="M151" s="194" t="s">
        <v>544</v>
      </c>
      <c r="N151" s="197"/>
      <c r="O151" s="135"/>
      <c r="P151" s="156">
        <f t="shared" si="79"/>
        <v>1.4436241025030743</v>
      </c>
      <c r="Q151" s="156">
        <f t="shared" si="80"/>
        <v>0.59317227974136222</v>
      </c>
      <c r="R151" s="156">
        <f t="shared" si="81"/>
        <v>0.22690626363600302</v>
      </c>
      <c r="S151" s="156">
        <f t="shared" si="82"/>
        <v>0.47346582569717166</v>
      </c>
      <c r="T151" s="156">
        <f t="shared" si="83"/>
        <v>0.14203974770915151</v>
      </c>
      <c r="U151" s="156">
        <f t="shared" si="84"/>
        <v>0.23717957872188503</v>
      </c>
      <c r="V151" s="157"/>
      <c r="W151" s="135"/>
      <c r="X151" s="158">
        <f t="shared" si="73"/>
        <v>0.21775118472069313</v>
      </c>
      <c r="Y151" s="158">
        <f t="shared" si="74"/>
        <v>8.9472021444641225E-2</v>
      </c>
      <c r="Z151" s="158">
        <f t="shared" si="75"/>
        <v>3.4225743142980228E-2</v>
      </c>
      <c r="AA151" s="158">
        <f t="shared" si="76"/>
        <v>7.141592073141545E-2</v>
      </c>
      <c r="AB151" s="158">
        <f t="shared" si="77"/>
        <v>2.1424776219424634E-2</v>
      </c>
      <c r="AC151" s="158">
        <f t="shared" si="78"/>
        <v>3.5775333875831698E-2</v>
      </c>
      <c r="AD151" s="135"/>
      <c r="AE151" s="135"/>
      <c r="AF151" s="189">
        <v>2025</v>
      </c>
      <c r="AG151" s="189" t="s">
        <v>594</v>
      </c>
    </row>
    <row r="152" spans="1:33" ht="15.75" customHeight="1" x14ac:dyDescent="0.3">
      <c r="A152" s="193">
        <v>14</v>
      </c>
      <c r="B152" s="194" t="s">
        <v>95</v>
      </c>
      <c r="C152" s="194">
        <v>1513</v>
      </c>
      <c r="D152" s="194" t="s">
        <v>91</v>
      </c>
      <c r="E152" s="194">
        <v>35000172</v>
      </c>
      <c r="F152" s="195">
        <v>23.99</v>
      </c>
      <c r="G152" s="195">
        <v>14.58</v>
      </c>
      <c r="H152" s="195">
        <v>7.35</v>
      </c>
      <c r="I152" s="195">
        <v>4.5</v>
      </c>
      <c r="J152" s="195">
        <v>3.5</v>
      </c>
      <c r="K152" s="195">
        <v>8.5</v>
      </c>
      <c r="L152" s="107">
        <f t="shared" si="72"/>
        <v>62.42</v>
      </c>
      <c r="M152" s="98"/>
      <c r="O152" s="135"/>
      <c r="P152" s="156">
        <f t="shared" si="79"/>
        <v>1.4398377563568565</v>
      </c>
      <c r="Q152" s="156">
        <f t="shared" si="80"/>
        <v>0.87506604784005715</v>
      </c>
      <c r="R152" s="156">
        <f t="shared" si="81"/>
        <v>0.44113411876710695</v>
      </c>
      <c r="S152" s="156">
        <f t="shared" si="82"/>
        <v>0.27008211353088185</v>
      </c>
      <c r="T152" s="156">
        <f t="shared" si="83"/>
        <v>0.21006386607957475</v>
      </c>
      <c r="U152" s="156">
        <f t="shared" si="84"/>
        <v>0.51015510333611014</v>
      </c>
      <c r="V152" s="157"/>
      <c r="W152" s="135"/>
      <c r="X152" s="158">
        <f t="shared" si="73"/>
        <v>0.21718006557847874</v>
      </c>
      <c r="Y152" s="158">
        <f t="shared" si="74"/>
        <v>0.13199188645828347</v>
      </c>
      <c r="Z152" s="158">
        <f t="shared" si="75"/>
        <v>6.6539119716624379E-2</v>
      </c>
      <c r="AA152" s="158">
        <f t="shared" si="76"/>
        <v>4.0738236561198606E-2</v>
      </c>
      <c r="AB152" s="158">
        <f t="shared" si="77"/>
        <v>3.1685295103154466E-2</v>
      </c>
      <c r="AC152" s="158">
        <f t="shared" si="78"/>
        <v>7.6950002393375141E-2</v>
      </c>
      <c r="AD152" s="135"/>
      <c r="AE152" s="135"/>
      <c r="AF152" s="189">
        <v>2023</v>
      </c>
      <c r="AG152" s="189" t="s">
        <v>595</v>
      </c>
    </row>
    <row r="153" spans="1:33" ht="15.75" customHeight="1" x14ac:dyDescent="0.3">
      <c r="A153" s="193">
        <v>15</v>
      </c>
      <c r="B153" s="194" t="s">
        <v>90</v>
      </c>
      <c r="C153" s="194">
        <v>1523</v>
      </c>
      <c r="D153" s="194" t="s">
        <v>91</v>
      </c>
      <c r="E153" s="194">
        <v>35000173</v>
      </c>
      <c r="F153" s="195">
        <v>31.88</v>
      </c>
      <c r="G153" s="195">
        <v>13</v>
      </c>
      <c r="H153" s="195">
        <v>6</v>
      </c>
      <c r="I153" s="195">
        <v>11</v>
      </c>
      <c r="J153" s="195">
        <v>3.8</v>
      </c>
      <c r="K153" s="195">
        <v>6.41</v>
      </c>
      <c r="L153" s="196">
        <f t="shared" si="72"/>
        <v>72.089999999999989</v>
      </c>
      <c r="M153" s="194" t="s">
        <v>596</v>
      </c>
      <c r="N153" s="197"/>
      <c r="O153" s="135"/>
      <c r="P153" s="156">
        <f t="shared" si="79"/>
        <v>1.9260280058709189</v>
      </c>
      <c r="Q153" s="156">
        <f t="shared" si="80"/>
        <v>0.78539410527986042</v>
      </c>
      <c r="R153" s="156">
        <f t="shared" si="81"/>
        <v>0.36248958705224327</v>
      </c>
      <c r="S153" s="156">
        <f t="shared" si="82"/>
        <v>0.66456424292911265</v>
      </c>
      <c r="T153" s="156">
        <f t="shared" si="83"/>
        <v>0.22957673846642071</v>
      </c>
      <c r="U153" s="156">
        <f t="shared" si="84"/>
        <v>0.38725970883414657</v>
      </c>
      <c r="V153" s="157"/>
      <c r="W153" s="135"/>
      <c r="X153" s="158">
        <f t="shared" si="73"/>
        <v>0.29051529366712936</v>
      </c>
      <c r="Y153" s="158">
        <f t="shared" si="74"/>
        <v>0.11846608587429994</v>
      </c>
      <c r="Z153" s="158">
        <f t="shared" si="75"/>
        <v>5.4676655018907665E-2</v>
      </c>
      <c r="AA153" s="158">
        <f t="shared" si="76"/>
        <v>0.10024053420133072</v>
      </c>
      <c r="AB153" s="158">
        <f t="shared" si="77"/>
        <v>3.462854817864152E-2</v>
      </c>
      <c r="AC153" s="158">
        <f t="shared" si="78"/>
        <v>5.8412893111866357E-2</v>
      </c>
      <c r="AD153" s="135"/>
      <c r="AE153" s="135"/>
      <c r="AF153" s="189">
        <v>2022</v>
      </c>
      <c r="AG153" s="189" t="s">
        <v>597</v>
      </c>
    </row>
    <row r="154" spans="1:33" ht="15.75" customHeight="1" x14ac:dyDescent="0.3">
      <c r="A154" s="193">
        <v>16</v>
      </c>
      <c r="B154" s="194" t="s">
        <v>92</v>
      </c>
      <c r="C154" s="194">
        <v>1744</v>
      </c>
      <c r="D154" s="194" t="s">
        <v>91</v>
      </c>
      <c r="E154" s="194">
        <v>35000174</v>
      </c>
      <c r="F154" s="195">
        <v>31.21</v>
      </c>
      <c r="G154" s="195">
        <v>11.54</v>
      </c>
      <c r="H154" s="195">
        <v>4.54</v>
      </c>
      <c r="I154" s="195">
        <v>7.66</v>
      </c>
      <c r="J154" s="195">
        <v>2.2999999999999998</v>
      </c>
      <c r="K154" s="195">
        <v>5.16</v>
      </c>
      <c r="L154" s="196">
        <f t="shared" si="72"/>
        <v>62.41</v>
      </c>
      <c r="M154" s="194" t="s">
        <v>543</v>
      </c>
      <c r="N154" s="197"/>
      <c r="O154" s="135"/>
      <c r="P154" s="156">
        <f t="shared" si="79"/>
        <v>2.1591590305049784</v>
      </c>
      <c r="Q154" s="156">
        <f t="shared" si="80"/>
        <v>0.79835614264746713</v>
      </c>
      <c r="R154" s="156">
        <f t="shared" si="81"/>
        <v>0.31408465230671584</v>
      </c>
      <c r="S154" s="156">
        <f t="shared" si="82"/>
        <v>0.52993137371573651</v>
      </c>
      <c r="T154" s="156">
        <f t="shared" si="83"/>
        <v>0.15911777539767544</v>
      </c>
      <c r="U154" s="156">
        <f t="shared" si="84"/>
        <v>0.35697727002261098</v>
      </c>
      <c r="V154" s="157"/>
      <c r="W154" s="135"/>
      <c r="X154" s="158">
        <f t="shared" si="73"/>
        <v>0.32567995787659759</v>
      </c>
      <c r="Y154" s="158">
        <f t="shared" si="74"/>
        <v>0.12042123402422095</v>
      </c>
      <c r="Z154" s="158">
        <f t="shared" si="75"/>
        <v>4.737542482408693E-2</v>
      </c>
      <c r="AA154" s="158">
        <f t="shared" si="76"/>
        <v>7.9932985496146677E-2</v>
      </c>
      <c r="AB154" s="158">
        <f t="shared" si="77"/>
        <v>2.4000765880044038E-2</v>
      </c>
      <c r="AC154" s="158">
        <f t="shared" si="78"/>
        <v>5.3845196496098806E-2</v>
      </c>
      <c r="AD154" s="135"/>
      <c r="AE154" s="135"/>
      <c r="AF154" s="189">
        <v>2025</v>
      </c>
      <c r="AG154" s="189" t="s">
        <v>598</v>
      </c>
    </row>
    <row r="155" spans="1:33" ht="15.75" customHeight="1" x14ac:dyDescent="0.3">
      <c r="A155" s="193">
        <v>17</v>
      </c>
      <c r="B155" s="194" t="s">
        <v>94</v>
      </c>
      <c r="C155" s="194">
        <v>1909</v>
      </c>
      <c r="D155" s="194" t="s">
        <v>91</v>
      </c>
      <c r="E155" s="194">
        <v>35000175</v>
      </c>
      <c r="F155" s="195">
        <v>30.32</v>
      </c>
      <c r="G155" s="195">
        <v>11.22</v>
      </c>
      <c r="H155" s="195">
        <v>4.3600000000000003</v>
      </c>
      <c r="I155" s="195">
        <v>8.58</v>
      </c>
      <c r="J155" s="195">
        <v>3.1</v>
      </c>
      <c r="K155" s="195">
        <v>4.04</v>
      </c>
      <c r="L155" s="196">
        <f t="shared" si="72"/>
        <v>61.62</v>
      </c>
      <c r="M155" s="194" t="s">
        <v>599</v>
      </c>
      <c r="N155" s="197"/>
      <c r="O155" s="135"/>
      <c r="P155" s="156">
        <f t="shared" si="79"/>
        <v>2.296040303066365</v>
      </c>
      <c r="Q155" s="156">
        <f t="shared" si="80"/>
        <v>0.8496560752112341</v>
      </c>
      <c r="R155" s="156">
        <f t="shared" si="81"/>
        <v>0.33016938395017653</v>
      </c>
      <c r="S155" s="156">
        <f t="shared" si="82"/>
        <v>0.6497369986909437</v>
      </c>
      <c r="T155" s="156">
        <f t="shared" si="83"/>
        <v>0.2347534610654925</v>
      </c>
      <c r="U155" s="156">
        <f t="shared" si="84"/>
        <v>0.30593676861438374</v>
      </c>
      <c r="V155" s="157"/>
      <c r="W155" s="135"/>
      <c r="X155" s="158">
        <f t="shared" si="73"/>
        <v>0.34632664783878225</v>
      </c>
      <c r="Y155" s="158">
        <f t="shared" si="74"/>
        <v>0.12815913551290029</v>
      </c>
      <c r="Z155" s="158">
        <f t="shared" si="75"/>
        <v>4.980158920109138E-2</v>
      </c>
      <c r="AA155" s="158">
        <f t="shared" si="76"/>
        <v>9.8004044803982573E-2</v>
      </c>
      <c r="AB155" s="158">
        <f t="shared" si="77"/>
        <v>3.5409386817289744E-2</v>
      </c>
      <c r="AC155" s="158">
        <f t="shared" si="78"/>
        <v>4.6146426690919534E-2</v>
      </c>
      <c r="AD155" s="135"/>
      <c r="AE155" s="135"/>
      <c r="AF155" s="189">
        <v>2025</v>
      </c>
      <c r="AG155" s="189" t="s">
        <v>600</v>
      </c>
    </row>
    <row r="156" spans="1:33" ht="15.75" customHeight="1" x14ac:dyDescent="0.3">
      <c r="A156" s="193">
        <v>18</v>
      </c>
      <c r="B156" s="194" t="s">
        <v>78</v>
      </c>
      <c r="C156" s="194">
        <v>1008</v>
      </c>
      <c r="D156" s="194" t="s">
        <v>75</v>
      </c>
      <c r="E156" s="194">
        <v>35000176</v>
      </c>
      <c r="F156" s="195">
        <v>30.41</v>
      </c>
      <c r="G156" s="195">
        <v>12.27</v>
      </c>
      <c r="H156" s="195">
        <v>4.5999999999999996</v>
      </c>
      <c r="I156" s="195">
        <v>7.54</v>
      </c>
      <c r="J156" s="195">
        <v>3.18</v>
      </c>
      <c r="K156" s="195">
        <v>5</v>
      </c>
      <c r="L156" s="196">
        <f t="shared" si="72"/>
        <v>63</v>
      </c>
      <c r="M156" s="194" t="s">
        <v>543</v>
      </c>
      <c r="N156" s="197"/>
      <c r="O156" s="135"/>
      <c r="P156" s="156">
        <f t="shared" si="79"/>
        <v>1.2159657265262407</v>
      </c>
      <c r="Q156" s="156">
        <f t="shared" si="80"/>
        <v>0.49062477686540523</v>
      </c>
      <c r="R156" s="156">
        <f t="shared" si="81"/>
        <v>0.18393430917529452</v>
      </c>
      <c r="S156" s="156">
        <f t="shared" si="82"/>
        <v>0.30149232416993932</v>
      </c>
      <c r="T156" s="156">
        <f t="shared" si="83"/>
        <v>0.12715458764726884</v>
      </c>
      <c r="U156" s="156">
        <f t="shared" si="84"/>
        <v>0.19992859692966797</v>
      </c>
      <c r="V156" s="157"/>
      <c r="W156" s="135"/>
      <c r="X156" s="158">
        <f t="shared" si="73"/>
        <v>0.18341199559618973</v>
      </c>
      <c r="Y156" s="158">
        <f t="shared" si="74"/>
        <v>7.4004116605236703E-2</v>
      </c>
      <c r="Z156" s="158">
        <f t="shared" si="75"/>
        <v>2.7744004595280258E-2</v>
      </c>
      <c r="AA156" s="158">
        <f t="shared" si="76"/>
        <v>4.5476042314872428E-2</v>
      </c>
      <c r="AB156" s="158">
        <f t="shared" si="77"/>
        <v>1.9179551002824181E-2</v>
      </c>
      <c r="AC156" s="158">
        <f t="shared" si="78"/>
        <v>3.0156526734000287E-2</v>
      </c>
      <c r="AD156" s="135"/>
      <c r="AE156" s="135"/>
      <c r="AF156" s="189">
        <v>2025</v>
      </c>
      <c r="AG156" s="189" t="s">
        <v>601</v>
      </c>
    </row>
    <row r="157" spans="1:33" ht="15.75" customHeight="1" x14ac:dyDescent="0.3">
      <c r="A157" s="193">
        <v>19</v>
      </c>
      <c r="B157" s="194" t="s">
        <v>80</v>
      </c>
      <c r="C157" s="194">
        <v>1085</v>
      </c>
      <c r="D157" s="194" t="s">
        <v>75</v>
      </c>
      <c r="E157" s="194">
        <v>35000177</v>
      </c>
      <c r="F157" s="195">
        <v>20.16</v>
      </c>
      <c r="G157" s="195">
        <v>6.41</v>
      </c>
      <c r="H157" s="195">
        <v>3</v>
      </c>
      <c r="I157" s="195">
        <v>6.1</v>
      </c>
      <c r="J157" s="195">
        <v>1.55</v>
      </c>
      <c r="K157" s="195">
        <v>3</v>
      </c>
      <c r="L157" s="107">
        <f t="shared" si="72"/>
        <v>40.22</v>
      </c>
      <c r="M157" s="98"/>
      <c r="O157" s="135"/>
      <c r="P157" s="156">
        <f t="shared" si="79"/>
        <v>0.86769011067475899</v>
      </c>
      <c r="Q157" s="156">
        <f t="shared" si="80"/>
        <v>0.27588757983259948</v>
      </c>
      <c r="R157" s="156">
        <f t="shared" si="81"/>
        <v>0.12912055218374391</v>
      </c>
      <c r="S157" s="156">
        <f t="shared" si="82"/>
        <v>0.26254512277361258</v>
      </c>
      <c r="T157" s="156">
        <f t="shared" si="83"/>
        <v>6.6712285294934351E-2</v>
      </c>
      <c r="U157" s="156">
        <f t="shared" si="84"/>
        <v>0.12912055218374391</v>
      </c>
      <c r="V157" s="157"/>
      <c r="W157" s="135"/>
      <c r="X157" s="158">
        <f t="shared" si="73"/>
        <v>0.13087932602556124</v>
      </c>
      <c r="Y157" s="158">
        <f t="shared" si="74"/>
        <v>4.161391268967498E-2</v>
      </c>
      <c r="Z157" s="158">
        <f t="shared" si="75"/>
        <v>1.9476090182375186E-2</v>
      </c>
      <c r="AA157" s="158">
        <f t="shared" si="76"/>
        <v>3.9601383370829545E-2</v>
      </c>
      <c r="AB157" s="158">
        <f t="shared" si="77"/>
        <v>1.0062646594227179E-2</v>
      </c>
      <c r="AC157" s="158">
        <f t="shared" si="78"/>
        <v>1.9476090182375186E-2</v>
      </c>
      <c r="AD157" s="135"/>
      <c r="AE157" s="135"/>
      <c r="AF157" s="189">
        <v>2023</v>
      </c>
      <c r="AG157" s="189">
        <v>0</v>
      </c>
    </row>
    <row r="158" spans="1:33" ht="15.75" customHeight="1" x14ac:dyDescent="0.3">
      <c r="A158" s="193">
        <v>20</v>
      </c>
      <c r="B158" s="194" t="s">
        <v>82</v>
      </c>
      <c r="C158" s="194">
        <v>1132</v>
      </c>
      <c r="D158" s="194" t="s">
        <v>75</v>
      </c>
      <c r="E158" s="194">
        <v>35000178</v>
      </c>
      <c r="F158" s="195">
        <v>25.4</v>
      </c>
      <c r="G158" s="195">
        <v>6</v>
      </c>
      <c r="H158" s="195">
        <v>3</v>
      </c>
      <c r="I158" s="195">
        <v>6.5</v>
      </c>
      <c r="J158" s="195">
        <v>1.5</v>
      </c>
      <c r="K158" s="195">
        <v>3</v>
      </c>
      <c r="L158" s="107">
        <f t="shared" si="72"/>
        <v>45.4</v>
      </c>
      <c r="M158" s="98"/>
      <c r="O158" s="135"/>
      <c r="P158" s="156">
        <f t="shared" si="79"/>
        <v>1.1405767781347931</v>
      </c>
      <c r="Q158" s="156">
        <f t="shared" si="80"/>
        <v>0.26942758538617162</v>
      </c>
      <c r="R158" s="156">
        <f t="shared" si="81"/>
        <v>0.13471379269308581</v>
      </c>
      <c r="S158" s="156">
        <f t="shared" si="82"/>
        <v>0.29187988416835259</v>
      </c>
      <c r="T158" s="156">
        <f t="shared" si="83"/>
        <v>6.7356896346542905E-2</v>
      </c>
      <c r="U158" s="156">
        <f t="shared" si="84"/>
        <v>0.13471379269308581</v>
      </c>
      <c r="V158" s="157"/>
      <c r="W158" s="135"/>
      <c r="X158" s="158">
        <f t="shared" si="73"/>
        <v>0.17204059164233401</v>
      </c>
      <c r="Y158" s="158">
        <f t="shared" si="74"/>
        <v>4.0639509836771816E-2</v>
      </c>
      <c r="Z158" s="158">
        <f t="shared" si="75"/>
        <v>2.0319754918385908E-2</v>
      </c>
      <c r="AA158" s="158">
        <f t="shared" si="76"/>
        <v>4.4026135656502798E-2</v>
      </c>
      <c r="AB158" s="158">
        <f t="shared" si="77"/>
        <v>1.0159877459192954E-2</v>
      </c>
      <c r="AC158" s="158">
        <f t="shared" si="78"/>
        <v>2.0319754918385908E-2</v>
      </c>
      <c r="AD158" s="135"/>
      <c r="AE158" s="135"/>
      <c r="AF158" s="189">
        <v>2023</v>
      </c>
      <c r="AG158" s="189" t="s">
        <v>562</v>
      </c>
    </row>
    <row r="159" spans="1:33" ht="15.75" customHeight="1" x14ac:dyDescent="0.3">
      <c r="A159" s="193">
        <v>21</v>
      </c>
      <c r="B159" s="194" t="s">
        <v>81</v>
      </c>
      <c r="C159" s="194">
        <v>1090</v>
      </c>
      <c r="D159" s="194" t="s">
        <v>75</v>
      </c>
      <c r="E159" s="194">
        <v>35000179</v>
      </c>
      <c r="F159" s="195">
        <v>30.5</v>
      </c>
      <c r="G159" s="195">
        <v>12.88</v>
      </c>
      <c r="H159" s="195">
        <v>3.94</v>
      </c>
      <c r="I159" s="195">
        <v>7.3</v>
      </c>
      <c r="J159" s="195">
        <v>3.18</v>
      </c>
      <c r="K159" s="195">
        <v>5</v>
      </c>
      <c r="L159" s="196">
        <f t="shared" si="72"/>
        <v>62.8</v>
      </c>
      <c r="M159" s="194" t="s">
        <v>543</v>
      </c>
      <c r="N159" s="197"/>
      <c r="O159" s="135"/>
      <c r="P159" s="156">
        <f t="shared" si="79"/>
        <v>1.3187750406600818</v>
      </c>
      <c r="Q159" s="156">
        <f t="shared" si="80"/>
        <v>0.55691221389186407</v>
      </c>
      <c r="R159" s="156">
        <f t="shared" si="81"/>
        <v>0.17035979213772862</v>
      </c>
      <c r="S159" s="156">
        <f t="shared" si="82"/>
        <v>0.31564123923995396</v>
      </c>
      <c r="T159" s="156">
        <f t="shared" si="83"/>
        <v>0.13749851243603475</v>
      </c>
      <c r="U159" s="156">
        <f t="shared" si="84"/>
        <v>0.21619262961640684</v>
      </c>
      <c r="V159" s="157"/>
      <c r="W159" s="135"/>
      <c r="X159" s="158">
        <f t="shared" si="73"/>
        <v>0.198919391125365</v>
      </c>
      <c r="Y159" s="158">
        <f t="shared" si="74"/>
        <v>8.4002680580154143E-2</v>
      </c>
      <c r="Z159" s="158">
        <f t="shared" si="75"/>
        <v>2.5696472165047151E-2</v>
      </c>
      <c r="AA159" s="158">
        <f t="shared" si="76"/>
        <v>4.7610214925087359E-2</v>
      </c>
      <c r="AB159" s="158">
        <f t="shared" si="77"/>
        <v>2.0739792255038057E-2</v>
      </c>
      <c r="AC159" s="158">
        <f t="shared" si="78"/>
        <v>3.2609736250059834E-2</v>
      </c>
      <c r="AD159" s="135"/>
      <c r="AE159" s="135"/>
      <c r="AF159" s="189">
        <v>2025</v>
      </c>
      <c r="AG159" s="189" t="s">
        <v>602</v>
      </c>
    </row>
    <row r="160" spans="1:33" ht="15.75" customHeight="1" x14ac:dyDescent="0.3">
      <c r="A160" s="193">
        <v>22</v>
      </c>
      <c r="B160" s="194" t="s">
        <v>76</v>
      </c>
      <c r="C160" s="194">
        <v>1613</v>
      </c>
      <c r="D160" s="194" t="s">
        <v>75</v>
      </c>
      <c r="E160" s="194">
        <v>35000180</v>
      </c>
      <c r="F160" s="195">
        <v>36.08</v>
      </c>
      <c r="G160" s="195">
        <v>14.12</v>
      </c>
      <c r="H160" s="195">
        <v>3</v>
      </c>
      <c r="I160" s="195">
        <v>6.5</v>
      </c>
      <c r="J160" s="195">
        <v>1.5</v>
      </c>
      <c r="K160" s="195">
        <v>3</v>
      </c>
      <c r="L160" s="107">
        <f t="shared" si="72"/>
        <v>64.199999999999989</v>
      </c>
      <c r="M160" s="98"/>
      <c r="O160" s="135"/>
      <c r="P160" s="156">
        <f t="shared" si="79"/>
        <v>2.308581855686461</v>
      </c>
      <c r="Q160" s="156">
        <f t="shared" si="80"/>
        <v>0.9034693958506882</v>
      </c>
      <c r="R160" s="156">
        <f t="shared" si="81"/>
        <v>0.19195525407592526</v>
      </c>
      <c r="S160" s="156">
        <f t="shared" si="82"/>
        <v>0.4159030504978381</v>
      </c>
      <c r="T160" s="156">
        <f t="shared" si="83"/>
        <v>9.5977627037962629E-2</v>
      </c>
      <c r="U160" s="156">
        <f t="shared" si="84"/>
        <v>0.19195525407592526</v>
      </c>
      <c r="V160" s="157"/>
      <c r="W160" s="135"/>
      <c r="X160" s="158">
        <f t="shared" si="73"/>
        <v>0.34821837154755636</v>
      </c>
      <c r="Y160" s="158">
        <f t="shared" si="74"/>
        <v>0.13627614762337847</v>
      </c>
      <c r="Z160" s="158">
        <f t="shared" si="75"/>
        <v>2.8953855727346704E-2</v>
      </c>
      <c r="AA160" s="158">
        <f t="shared" si="76"/>
        <v>6.273335407591786E-2</v>
      </c>
      <c r="AB160" s="158">
        <f t="shared" si="77"/>
        <v>1.4476927863673352E-2</v>
      </c>
      <c r="AC160" s="158">
        <f t="shared" si="78"/>
        <v>2.8953855727346704E-2</v>
      </c>
      <c r="AD160" s="135"/>
      <c r="AE160" s="135"/>
      <c r="AF160" s="189">
        <v>2025</v>
      </c>
      <c r="AG160" s="189" t="s">
        <v>603</v>
      </c>
    </row>
    <row r="161" spans="1:33" ht="15.75" customHeight="1" x14ac:dyDescent="0.3">
      <c r="A161" s="193">
        <v>23</v>
      </c>
      <c r="B161" s="194" t="s">
        <v>79</v>
      </c>
      <c r="C161" s="194">
        <v>1449</v>
      </c>
      <c r="D161" s="194" t="s">
        <v>75</v>
      </c>
      <c r="E161" s="194">
        <v>35000181</v>
      </c>
      <c r="F161" s="195">
        <v>37.79</v>
      </c>
      <c r="G161" s="195">
        <v>13.5</v>
      </c>
      <c r="H161" s="195">
        <v>6.5</v>
      </c>
      <c r="I161" s="195">
        <v>8.1</v>
      </c>
      <c r="J161" s="195">
        <v>3.5</v>
      </c>
      <c r="K161" s="195">
        <v>7.5</v>
      </c>
      <c r="L161" s="196">
        <f t="shared" si="72"/>
        <v>76.89</v>
      </c>
      <c r="M161" s="194" t="s">
        <v>545</v>
      </c>
      <c r="N161" s="197"/>
      <c r="O161" s="135"/>
      <c r="P161" s="156">
        <f t="shared" si="79"/>
        <v>2.1721492324169938</v>
      </c>
      <c r="Q161" s="156">
        <f t="shared" si="80"/>
        <v>0.77597286683327382</v>
      </c>
      <c r="R161" s="156">
        <f t="shared" si="81"/>
        <v>0.37361656551231703</v>
      </c>
      <c r="S161" s="156">
        <f t="shared" si="82"/>
        <v>0.46558372009996429</v>
      </c>
      <c r="T161" s="156">
        <f t="shared" si="83"/>
        <v>0.20117815066047839</v>
      </c>
      <c r="U161" s="156">
        <f t="shared" si="84"/>
        <v>0.4310960371295966</v>
      </c>
      <c r="V161" s="157"/>
      <c r="W161" s="135"/>
      <c r="X161" s="158">
        <f t="shared" si="73"/>
        <v>0.32763935426738788</v>
      </c>
      <c r="Y161" s="158">
        <f t="shared" si="74"/>
        <v>0.11704501938633861</v>
      </c>
      <c r="Z161" s="158">
        <f t="shared" si="75"/>
        <v>5.6355009334163035E-2</v>
      </c>
      <c r="AA161" s="158">
        <f t="shared" si="76"/>
        <v>7.0227011631803171E-2</v>
      </c>
      <c r="AB161" s="158">
        <f t="shared" si="77"/>
        <v>3.0345005026087789E-2</v>
      </c>
      <c r="AC161" s="158">
        <f t="shared" si="78"/>
        <v>6.5025010770188116E-2</v>
      </c>
      <c r="AD161" s="135"/>
      <c r="AE161" s="135"/>
      <c r="AF161" s="189">
        <v>2021</v>
      </c>
      <c r="AG161" s="189" t="s">
        <v>604</v>
      </c>
    </row>
    <row r="162" spans="1:33" ht="15.75" customHeight="1" x14ac:dyDescent="0.3">
      <c r="A162" s="193">
        <v>24</v>
      </c>
      <c r="B162" s="194" t="s">
        <v>74</v>
      </c>
      <c r="C162" s="194">
        <v>1843</v>
      </c>
      <c r="D162" s="194" t="s">
        <v>75</v>
      </c>
      <c r="E162" s="194">
        <v>35000182</v>
      </c>
      <c r="F162" s="195">
        <v>31</v>
      </c>
      <c r="G162" s="195">
        <v>12.03</v>
      </c>
      <c r="H162" s="195">
        <v>4.5999999999999996</v>
      </c>
      <c r="I162" s="195">
        <v>8.18</v>
      </c>
      <c r="J162" s="195">
        <v>3.5</v>
      </c>
      <c r="K162" s="195">
        <v>5.64</v>
      </c>
      <c r="L162" s="196">
        <f t="shared" si="72"/>
        <v>64.95</v>
      </c>
      <c r="M162" s="194" t="s">
        <v>599</v>
      </c>
      <c r="N162" s="197"/>
      <c r="O162" s="135"/>
      <c r="P162" s="156">
        <f t="shared" si="79"/>
        <v>2.2663731207108571</v>
      </c>
      <c r="Q162" s="156">
        <f t="shared" si="80"/>
        <v>0.87949898845650354</v>
      </c>
      <c r="R162" s="156">
        <f t="shared" si="81"/>
        <v>0.33630052758935297</v>
      </c>
      <c r="S162" s="156">
        <f t="shared" si="82"/>
        <v>0.59803006862628427</v>
      </c>
      <c r="T162" s="156">
        <f t="shared" si="83"/>
        <v>0.25588083620929031</v>
      </c>
      <c r="U162" s="156">
        <f t="shared" si="84"/>
        <v>0.41233369034868494</v>
      </c>
      <c r="V162" s="157"/>
      <c r="W162" s="135"/>
      <c r="X162" s="158">
        <f t="shared" si="73"/>
        <v>0.34185175434397586</v>
      </c>
      <c r="Y162" s="158">
        <f t="shared" si="74"/>
        <v>0.13266053563735578</v>
      </c>
      <c r="Z162" s="158">
        <f t="shared" si="75"/>
        <v>5.0726389354267383E-2</v>
      </c>
      <c r="AA162" s="158">
        <f t="shared" si="76"/>
        <v>9.0204753243023308E-2</v>
      </c>
      <c r="AB162" s="158">
        <f t="shared" si="77"/>
        <v>3.8596165813029534E-2</v>
      </c>
      <c r="AC162" s="158">
        <f t="shared" si="78"/>
        <v>6.219496433871044E-2</v>
      </c>
      <c r="AD162" s="135"/>
      <c r="AE162" s="135"/>
      <c r="AF162" s="189">
        <v>2022</v>
      </c>
      <c r="AG162" s="189" t="s">
        <v>605</v>
      </c>
    </row>
    <row r="163" spans="1:33" ht="15.75" customHeight="1" x14ac:dyDescent="0.3">
      <c r="A163" s="193">
        <v>25</v>
      </c>
      <c r="B163" s="194" t="s">
        <v>77</v>
      </c>
      <c r="C163" s="194">
        <v>1057</v>
      </c>
      <c r="D163" s="194" t="s">
        <v>75</v>
      </c>
      <c r="E163" s="194">
        <v>35000183</v>
      </c>
      <c r="F163" s="195">
        <v>34.049999999999997</v>
      </c>
      <c r="G163" s="195">
        <v>13.68</v>
      </c>
      <c r="H163" s="195">
        <v>6.48</v>
      </c>
      <c r="I163" s="195">
        <v>8.5299999999999994</v>
      </c>
      <c r="J163" s="195">
        <v>4.25</v>
      </c>
      <c r="K163" s="195">
        <v>7.9</v>
      </c>
      <c r="L163" s="196">
        <f t="shared" si="72"/>
        <v>74.89</v>
      </c>
      <c r="M163" s="194" t="s">
        <v>543</v>
      </c>
      <c r="N163" s="197"/>
      <c r="O163" s="135"/>
      <c r="P163" s="156">
        <f t="shared" si="79"/>
        <v>1.4276984410329643</v>
      </c>
      <c r="Q163" s="156">
        <f t="shared" si="80"/>
        <v>0.57359514459121741</v>
      </c>
      <c r="R163" s="156">
        <f t="shared" si="81"/>
        <v>0.27170296322741883</v>
      </c>
      <c r="S163" s="156">
        <f t="shared" si="82"/>
        <v>0.35765837597683364</v>
      </c>
      <c r="T163" s="156">
        <f t="shared" si="83"/>
        <v>0.17820024594390893</v>
      </c>
      <c r="U163" s="156">
        <f t="shared" si="84"/>
        <v>0.33124281010750134</v>
      </c>
      <c r="V163" s="161" t="s">
        <v>518</v>
      </c>
      <c r="W163" s="162" t="s">
        <v>263</v>
      </c>
      <c r="X163" s="158">
        <f t="shared" si="73"/>
        <v>0.21534901392944331</v>
      </c>
      <c r="Y163" s="158">
        <f t="shared" si="74"/>
        <v>8.651907519984682E-2</v>
      </c>
      <c r="Z163" s="158">
        <f t="shared" si="75"/>
        <v>4.0982719831506392E-2</v>
      </c>
      <c r="AA163" s="158">
        <f t="shared" si="76"/>
        <v>5.394793212388109E-2</v>
      </c>
      <c r="AB163" s="158">
        <f t="shared" si="77"/>
        <v>2.6879098654923172E-2</v>
      </c>
      <c r="AC163" s="158">
        <f t="shared" si="78"/>
        <v>4.9963501029151314E-2</v>
      </c>
      <c r="AD163" s="135"/>
      <c r="AE163" s="135"/>
      <c r="AF163" s="189">
        <v>2025</v>
      </c>
      <c r="AG163" s="189" t="s">
        <v>606</v>
      </c>
    </row>
    <row r="164" spans="1:33" ht="15.75" customHeight="1" x14ac:dyDescent="0.3">
      <c r="A164" s="18"/>
      <c r="B164" s="163" t="s">
        <v>546</v>
      </c>
      <c r="C164" s="191">
        <f>SUM(C139:C163)</f>
        <v>25209</v>
      </c>
      <c r="D164" s="163"/>
      <c r="E164" s="19"/>
      <c r="F164" s="165"/>
      <c r="G164" s="165"/>
      <c r="H164" s="165"/>
      <c r="I164" s="165"/>
      <c r="J164" s="165"/>
      <c r="K164" s="165"/>
      <c r="L164" s="165"/>
      <c r="M164" s="19"/>
      <c r="N164" s="21"/>
      <c r="O164" s="21"/>
      <c r="P164" s="177">
        <f t="shared" ref="P164:U164" si="85">SUM(P146:P163)</f>
        <v>27.408696100598995</v>
      </c>
      <c r="Q164" s="177">
        <f t="shared" si="85"/>
        <v>10.897350946090683</v>
      </c>
      <c r="R164" s="177">
        <f t="shared" si="85"/>
        <v>4.3192371771986204</v>
      </c>
      <c r="S164" s="177">
        <f t="shared" si="85"/>
        <v>7.1216985997064546</v>
      </c>
      <c r="T164" s="177">
        <f t="shared" si="85"/>
        <v>2.6269090404220714</v>
      </c>
      <c r="U164" s="177">
        <f t="shared" si="85"/>
        <v>4.745577769844104</v>
      </c>
      <c r="V164" s="167">
        <f>SUM(P164:U164)</f>
        <v>57.11946963386093</v>
      </c>
      <c r="W164" s="135">
        <f>(P164/45)*100</f>
        <v>60.908213556886658</v>
      </c>
      <c r="X164" s="133"/>
      <c r="Y164" s="133"/>
      <c r="Z164" s="133"/>
      <c r="AA164" s="133"/>
      <c r="AB164" s="133"/>
      <c r="AC164" s="133"/>
      <c r="AD164" s="135"/>
      <c r="AE164" s="135"/>
      <c r="AF164" s="190"/>
      <c r="AG164" s="190"/>
    </row>
    <row r="165" spans="1:33" ht="14.25" customHeight="1" x14ac:dyDescent="0.3">
      <c r="A165" s="48" t="s">
        <v>246</v>
      </c>
      <c r="B165" s="228" t="s">
        <v>247</v>
      </c>
      <c r="C165" s="229"/>
      <c r="D165" s="229"/>
      <c r="E165" s="230"/>
      <c r="F165" s="175"/>
      <c r="G165" s="175"/>
      <c r="H165" s="175"/>
      <c r="I165" s="175"/>
      <c r="J165" s="175"/>
      <c r="K165" s="175"/>
      <c r="L165" s="107">
        <f t="shared" ref="L165:L178" si="86">+SUM(F165:K165)</f>
        <v>0</v>
      </c>
      <c r="M165" s="48"/>
      <c r="N165" s="1"/>
      <c r="O165" s="1"/>
      <c r="P165" s="1"/>
      <c r="Q165" s="1"/>
      <c r="R165" s="1"/>
      <c r="S165" s="1"/>
      <c r="T165" s="1"/>
      <c r="U165" s="1"/>
      <c r="V165" s="148"/>
      <c r="W165" s="1"/>
      <c r="X165" s="149"/>
      <c r="Y165" s="149"/>
      <c r="Z165" s="149"/>
      <c r="AA165" s="149"/>
      <c r="AB165" s="149"/>
      <c r="AC165" s="149"/>
      <c r="AD165" s="1"/>
      <c r="AE165" s="1"/>
      <c r="AF165" s="192"/>
      <c r="AG165" s="192"/>
    </row>
    <row r="166" spans="1:33" ht="15.75" customHeight="1" x14ac:dyDescent="0.3">
      <c r="A166" s="88">
        <v>1</v>
      </c>
      <c r="B166" s="89" t="s">
        <v>33</v>
      </c>
      <c r="C166" s="89">
        <v>1393</v>
      </c>
      <c r="D166" s="89" t="s">
        <v>26</v>
      </c>
      <c r="E166" s="89">
        <v>35000156</v>
      </c>
      <c r="F166" s="198">
        <v>25.9</v>
      </c>
      <c r="G166" s="198">
        <v>14.2</v>
      </c>
      <c r="H166" s="198">
        <v>8.15</v>
      </c>
      <c r="I166" s="198">
        <v>11.51</v>
      </c>
      <c r="J166" s="198">
        <v>3.88</v>
      </c>
      <c r="K166" s="198">
        <v>7.23</v>
      </c>
      <c r="L166" s="199">
        <f t="shared" si="86"/>
        <v>70.86999999999999</v>
      </c>
      <c r="M166" s="89" t="s">
        <v>607</v>
      </c>
      <c r="N166" s="90"/>
      <c r="O166" s="135"/>
      <c r="P166" s="156">
        <f t="shared" ref="P166:P178" si="87">(F166*C166)/$C$179</f>
        <v>1.7180333333333333</v>
      </c>
      <c r="Q166" s="156">
        <f t="shared" ref="Q166:Q178" si="88">(G166*C166)/$C$179</f>
        <v>0.94193333333333329</v>
      </c>
      <c r="R166" s="156">
        <f t="shared" ref="R166:R178" si="89">(H166*C166)/$C$179</f>
        <v>0.54061666666666675</v>
      </c>
      <c r="S166" s="156">
        <f t="shared" ref="S166:S178" si="90">(I166*C166)/$C$179</f>
        <v>0.76349666666666671</v>
      </c>
      <c r="T166" s="156">
        <f t="shared" ref="T166:T178" si="91">(J166*C166)/$C$179</f>
        <v>0.25737333333333334</v>
      </c>
      <c r="U166" s="156">
        <f t="shared" ref="U166:U178" si="92">(K166*C166)/$C$179</f>
        <v>0.47959000000000007</v>
      </c>
      <c r="V166" s="157"/>
      <c r="W166" s="135"/>
      <c r="X166" s="158">
        <f t="shared" ref="X166:X178" si="93">(F166*C166)/$C$202</f>
        <v>0.21587465894404287</v>
      </c>
      <c r="Y166" s="158">
        <f t="shared" ref="Y166:Y178" si="94">(G166*C166)/$C$202</f>
        <v>0.11835599061796945</v>
      </c>
      <c r="Z166" s="158">
        <f t="shared" ref="Z166:Z178" si="95">(H166*C166)/$C$202</f>
        <v>6.7929670671581066E-2</v>
      </c>
      <c r="AA166" s="158">
        <f t="shared" ref="AA166:AA178" si="96">(I166*C166)/$C$202</f>
        <v>9.5935031831889325E-2</v>
      </c>
      <c r="AB166" s="158">
        <f t="shared" ref="AB166:AB178" si="97">(J166*C166)/$C$202</f>
        <v>3.2339524197022643E-2</v>
      </c>
      <c r="AC166" s="158">
        <f t="shared" ref="AC166:AC178" si="98">(K166*C166)/$C$202</f>
        <v>6.0261536068163334E-2</v>
      </c>
      <c r="AD166" s="135"/>
      <c r="AE166" s="135"/>
      <c r="AF166" s="189">
        <v>2025</v>
      </c>
      <c r="AG166" s="189" t="s">
        <v>557</v>
      </c>
    </row>
    <row r="167" spans="1:33" ht="15.75" customHeight="1" x14ac:dyDescent="0.3">
      <c r="A167" s="88">
        <v>2</v>
      </c>
      <c r="B167" s="89" t="s">
        <v>29</v>
      </c>
      <c r="C167" s="89">
        <v>1447</v>
      </c>
      <c r="D167" s="89" t="s">
        <v>26</v>
      </c>
      <c r="E167" s="89">
        <v>35000157</v>
      </c>
      <c r="F167" s="198">
        <v>25.8</v>
      </c>
      <c r="G167" s="198">
        <v>11.53</v>
      </c>
      <c r="H167" s="198">
        <v>7.56</v>
      </c>
      <c r="I167" s="198">
        <v>11.25</v>
      </c>
      <c r="J167" s="198">
        <v>3.73</v>
      </c>
      <c r="K167" s="198">
        <v>7.53</v>
      </c>
      <c r="L167" s="199">
        <f t="shared" si="86"/>
        <v>67.399999999999991</v>
      </c>
      <c r="M167" s="89" t="s">
        <v>545</v>
      </c>
      <c r="N167" s="90"/>
      <c r="O167" s="135"/>
      <c r="P167" s="156">
        <f t="shared" si="87"/>
        <v>1.7777428571428571</v>
      </c>
      <c r="Q167" s="156">
        <f t="shared" si="88"/>
        <v>0.79447190476190477</v>
      </c>
      <c r="R167" s="156">
        <f t="shared" si="89"/>
        <v>0.52091999999999994</v>
      </c>
      <c r="S167" s="156">
        <f t="shared" si="90"/>
        <v>0.77517857142857138</v>
      </c>
      <c r="T167" s="156">
        <f t="shared" si="91"/>
        <v>0.25701476190476191</v>
      </c>
      <c r="U167" s="156">
        <f t="shared" si="92"/>
        <v>0.51885285714285712</v>
      </c>
      <c r="V167" s="157"/>
      <c r="W167" s="135"/>
      <c r="X167" s="158">
        <f t="shared" si="93"/>
        <v>0.22337729165669426</v>
      </c>
      <c r="Y167" s="158">
        <f t="shared" si="94"/>
        <v>9.9827138480685459E-2</v>
      </c>
      <c r="Z167" s="158">
        <f t="shared" si="95"/>
        <v>6.5454741276147616E-2</v>
      </c>
      <c r="AA167" s="158">
        <f t="shared" si="96"/>
        <v>9.740288880379111E-2</v>
      </c>
      <c r="AB167" s="158">
        <f t="shared" si="97"/>
        <v>3.2294468910056967E-2</v>
      </c>
      <c r="AC167" s="158">
        <f t="shared" si="98"/>
        <v>6.5195000239337511E-2</v>
      </c>
      <c r="AD167" s="135"/>
      <c r="AE167" s="135"/>
      <c r="AF167" s="189">
        <v>2025</v>
      </c>
      <c r="AG167" s="189" t="s">
        <v>553</v>
      </c>
    </row>
    <row r="168" spans="1:33" ht="15.75" customHeight="1" x14ac:dyDescent="0.3">
      <c r="A168" s="88">
        <v>3</v>
      </c>
      <c r="B168" s="89" t="s">
        <v>27</v>
      </c>
      <c r="C168" s="89">
        <v>1239</v>
      </c>
      <c r="D168" s="89" t="s">
        <v>26</v>
      </c>
      <c r="E168" s="89">
        <v>35000158</v>
      </c>
      <c r="F168" s="198">
        <v>24.54</v>
      </c>
      <c r="G168" s="198">
        <v>14.53</v>
      </c>
      <c r="H168" s="198">
        <v>8.0500000000000007</v>
      </c>
      <c r="I168" s="198">
        <v>11.9</v>
      </c>
      <c r="J168" s="198">
        <v>3.88</v>
      </c>
      <c r="K168" s="198">
        <v>7.06</v>
      </c>
      <c r="L168" s="199">
        <f t="shared" si="86"/>
        <v>69.960000000000008</v>
      </c>
      <c r="M168" s="89" t="s">
        <v>607</v>
      </c>
      <c r="N168" s="90"/>
      <c r="O168" s="135"/>
      <c r="P168" s="156">
        <f t="shared" si="87"/>
        <v>1.4478599999999999</v>
      </c>
      <c r="Q168" s="156">
        <f t="shared" si="88"/>
        <v>0.85726999999999987</v>
      </c>
      <c r="R168" s="156">
        <f t="shared" si="89"/>
        <v>0.47495000000000004</v>
      </c>
      <c r="S168" s="156">
        <f t="shared" si="90"/>
        <v>0.70210000000000006</v>
      </c>
      <c r="T168" s="156">
        <f t="shared" si="91"/>
        <v>0.22891999999999998</v>
      </c>
      <c r="U168" s="156">
        <f t="shared" si="92"/>
        <v>0.41654000000000002</v>
      </c>
      <c r="V168" s="157"/>
      <c r="W168" s="135"/>
      <c r="X168" s="158">
        <f t="shared" si="93"/>
        <v>0.18192678665454021</v>
      </c>
      <c r="Y168" s="158">
        <f t="shared" si="94"/>
        <v>0.10771785697190177</v>
      </c>
      <c r="Z168" s="158">
        <f t="shared" si="95"/>
        <v>5.9678509884639325E-2</v>
      </c>
      <c r="AA168" s="158">
        <f t="shared" si="96"/>
        <v>8.8220405916423342E-2</v>
      </c>
      <c r="AB168" s="158">
        <f t="shared" si="97"/>
        <v>2.8764300416447272E-2</v>
      </c>
      <c r="AC168" s="158">
        <f t="shared" si="98"/>
        <v>5.2339165190751998E-2</v>
      </c>
      <c r="AD168" s="135"/>
      <c r="AE168" s="135"/>
      <c r="AF168" s="189">
        <v>2025</v>
      </c>
      <c r="AG168" s="189" t="s">
        <v>608</v>
      </c>
    </row>
    <row r="169" spans="1:33" ht="15.75" customHeight="1" x14ac:dyDescent="0.3">
      <c r="A169" s="88">
        <v>4</v>
      </c>
      <c r="B169" s="89" t="s">
        <v>32</v>
      </c>
      <c r="C169" s="89">
        <v>1244</v>
      </c>
      <c r="D169" s="89" t="s">
        <v>26</v>
      </c>
      <c r="E169" s="89">
        <v>35000159</v>
      </c>
      <c r="F169" s="198">
        <v>25.45</v>
      </c>
      <c r="G169" s="198">
        <v>14.69</v>
      </c>
      <c r="H169" s="198">
        <v>7.88</v>
      </c>
      <c r="I169" s="198">
        <v>11.13</v>
      </c>
      <c r="J169" s="198">
        <v>4.03</v>
      </c>
      <c r="K169" s="198">
        <v>7.53</v>
      </c>
      <c r="L169" s="199">
        <f t="shared" si="86"/>
        <v>70.710000000000008</v>
      </c>
      <c r="M169" s="89" t="s">
        <v>545</v>
      </c>
      <c r="N169" s="90"/>
      <c r="O169" s="135"/>
      <c r="P169" s="156">
        <f t="shared" si="87"/>
        <v>1.5076095238095237</v>
      </c>
      <c r="Q169" s="156">
        <f t="shared" si="88"/>
        <v>0.87020761904761912</v>
      </c>
      <c r="R169" s="156">
        <f t="shared" si="89"/>
        <v>0.46679619047619042</v>
      </c>
      <c r="S169" s="156">
        <f t="shared" si="90"/>
        <v>0.65932000000000002</v>
      </c>
      <c r="T169" s="156">
        <f t="shared" si="91"/>
        <v>0.23872952380952384</v>
      </c>
      <c r="U169" s="156">
        <f t="shared" si="92"/>
        <v>0.44606285714285715</v>
      </c>
      <c r="V169" s="157"/>
      <c r="W169" s="135"/>
      <c r="X169" s="158">
        <f t="shared" si="93"/>
        <v>0.18943444545498062</v>
      </c>
      <c r="Y169" s="158">
        <f t="shared" si="94"/>
        <v>0.10934349719975109</v>
      </c>
      <c r="Z169" s="158">
        <f t="shared" si="95"/>
        <v>5.865396582260303E-2</v>
      </c>
      <c r="AA169" s="158">
        <f t="shared" si="96"/>
        <v>8.2845005026087798E-2</v>
      </c>
      <c r="AB169" s="158">
        <f t="shared" si="97"/>
        <v>2.9996888612321099E-2</v>
      </c>
      <c r="AC169" s="158">
        <f t="shared" si="98"/>
        <v>5.6048776985304673E-2</v>
      </c>
      <c r="AD169" s="135"/>
      <c r="AE169" s="135"/>
      <c r="AF169" s="189">
        <v>2025</v>
      </c>
      <c r="AG169" s="189" t="s">
        <v>609</v>
      </c>
    </row>
    <row r="170" spans="1:33" ht="15.75" customHeight="1" x14ac:dyDescent="0.3">
      <c r="A170" s="88">
        <v>5</v>
      </c>
      <c r="B170" s="89" t="s">
        <v>31</v>
      </c>
      <c r="C170" s="89">
        <v>1879</v>
      </c>
      <c r="D170" s="89" t="s">
        <v>26</v>
      </c>
      <c r="E170" s="89">
        <v>35000160</v>
      </c>
      <c r="F170" s="198">
        <v>32.979999999999997</v>
      </c>
      <c r="G170" s="198">
        <v>13.37</v>
      </c>
      <c r="H170" s="198">
        <v>7.27</v>
      </c>
      <c r="I170" s="198">
        <v>12.87</v>
      </c>
      <c r="J170" s="198">
        <v>4.25</v>
      </c>
      <c r="K170" s="198">
        <v>9</v>
      </c>
      <c r="L170" s="199">
        <f t="shared" si="86"/>
        <v>79.739999999999995</v>
      </c>
      <c r="M170" s="89" t="s">
        <v>543</v>
      </c>
      <c r="N170" s="90"/>
      <c r="O170" s="135"/>
      <c r="P170" s="156">
        <f t="shared" si="87"/>
        <v>2.9509247619047616</v>
      </c>
      <c r="Q170" s="156">
        <f t="shared" si="88"/>
        <v>1.1962966666666666</v>
      </c>
      <c r="R170" s="156">
        <f t="shared" si="89"/>
        <v>0.65049190476190477</v>
      </c>
      <c r="S170" s="156">
        <f t="shared" si="90"/>
        <v>1.1515585714285714</v>
      </c>
      <c r="T170" s="156">
        <f t="shared" si="91"/>
        <v>0.38027380952380951</v>
      </c>
      <c r="U170" s="156">
        <f t="shared" si="92"/>
        <v>0.80528571428571427</v>
      </c>
      <c r="V170" s="157"/>
      <c r="W170" s="135"/>
      <c r="X170" s="158">
        <f t="shared" si="93"/>
        <v>0.37079017280168486</v>
      </c>
      <c r="Y170" s="158">
        <f t="shared" si="94"/>
        <v>0.15031730170886984</v>
      </c>
      <c r="Z170" s="158">
        <f t="shared" si="95"/>
        <v>8.1735735484179783E-2</v>
      </c>
      <c r="AA170" s="158">
        <f t="shared" si="96"/>
        <v>0.14469586185438704</v>
      </c>
      <c r="AB170" s="158">
        <f t="shared" si="97"/>
        <v>4.7782238763103731E-2</v>
      </c>
      <c r="AC170" s="158">
        <f t="shared" si="98"/>
        <v>0.10118591738069024</v>
      </c>
      <c r="AD170" s="135"/>
      <c r="AE170" s="135"/>
      <c r="AF170" s="189">
        <v>2025</v>
      </c>
      <c r="AG170" s="189" t="s">
        <v>610</v>
      </c>
    </row>
    <row r="171" spans="1:33" ht="15.75" customHeight="1" x14ac:dyDescent="0.3">
      <c r="A171" s="88">
        <v>6</v>
      </c>
      <c r="B171" s="89" t="s">
        <v>25</v>
      </c>
      <c r="C171" s="89">
        <v>2188</v>
      </c>
      <c r="D171" s="89" t="s">
        <v>26</v>
      </c>
      <c r="E171" s="89">
        <v>35000161</v>
      </c>
      <c r="F171" s="198">
        <v>30.39</v>
      </c>
      <c r="G171" s="198">
        <v>13.02</v>
      </c>
      <c r="H171" s="198">
        <v>7.77</v>
      </c>
      <c r="I171" s="198">
        <v>11.61</v>
      </c>
      <c r="J171" s="198">
        <v>3.95</v>
      </c>
      <c r="K171" s="198">
        <v>7</v>
      </c>
      <c r="L171" s="199">
        <f t="shared" si="86"/>
        <v>73.739999999999995</v>
      </c>
      <c r="M171" s="89" t="s">
        <v>545</v>
      </c>
      <c r="N171" s="90"/>
      <c r="O171" s="135"/>
      <c r="P171" s="156">
        <f t="shared" si="87"/>
        <v>3.1663485714285717</v>
      </c>
      <c r="Q171" s="156">
        <f t="shared" si="88"/>
        <v>1.35656</v>
      </c>
      <c r="R171" s="156">
        <f t="shared" si="89"/>
        <v>0.80955999999999995</v>
      </c>
      <c r="S171" s="156">
        <f t="shared" si="90"/>
        <v>1.2096514285714286</v>
      </c>
      <c r="T171" s="156">
        <f t="shared" si="91"/>
        <v>0.41155238095238095</v>
      </c>
      <c r="U171" s="156">
        <f t="shared" si="92"/>
        <v>0.72933333333333328</v>
      </c>
      <c r="V171" s="157"/>
      <c r="W171" s="135"/>
      <c r="X171" s="158">
        <f t="shared" si="93"/>
        <v>0.39785864726437226</v>
      </c>
      <c r="Y171" s="158">
        <f t="shared" si="94"/>
        <v>0.17045474127614763</v>
      </c>
      <c r="Z171" s="158">
        <f t="shared" si="95"/>
        <v>0.10172299076157196</v>
      </c>
      <c r="AA171" s="158">
        <f t="shared" si="96"/>
        <v>0.15199535685223303</v>
      </c>
      <c r="AB171" s="158">
        <f t="shared" si="97"/>
        <v>5.171245991096645E-2</v>
      </c>
      <c r="AC171" s="158">
        <f t="shared" si="98"/>
        <v>9.164233401943421E-2</v>
      </c>
      <c r="AD171" s="135"/>
      <c r="AE171" s="135"/>
      <c r="AF171" s="189">
        <v>2025</v>
      </c>
      <c r="AG171" s="189" t="s">
        <v>565</v>
      </c>
    </row>
    <row r="172" spans="1:33" ht="15.75" customHeight="1" x14ac:dyDescent="0.3">
      <c r="A172" s="88">
        <v>7</v>
      </c>
      <c r="B172" s="89" t="s">
        <v>30</v>
      </c>
      <c r="C172" s="89">
        <v>2056</v>
      </c>
      <c r="D172" s="89" t="s">
        <v>26</v>
      </c>
      <c r="E172" s="89">
        <v>35000162</v>
      </c>
      <c r="F172" s="198">
        <v>25.74</v>
      </c>
      <c r="G172" s="198">
        <v>14.58</v>
      </c>
      <c r="H172" s="198">
        <v>7.8</v>
      </c>
      <c r="I172" s="198">
        <v>11.61</v>
      </c>
      <c r="J172" s="198">
        <v>4.25</v>
      </c>
      <c r="K172" s="198">
        <v>7.74</v>
      </c>
      <c r="L172" s="199">
        <f t="shared" si="86"/>
        <v>71.72</v>
      </c>
      <c r="M172" s="89" t="s">
        <v>545</v>
      </c>
      <c r="N172" s="90"/>
      <c r="O172" s="135"/>
      <c r="P172" s="156">
        <f t="shared" si="87"/>
        <v>2.5200685714285713</v>
      </c>
      <c r="Q172" s="156">
        <f t="shared" si="88"/>
        <v>1.4274514285714286</v>
      </c>
      <c r="R172" s="156">
        <f t="shared" si="89"/>
        <v>0.76365714285714281</v>
      </c>
      <c r="S172" s="156">
        <f t="shared" si="90"/>
        <v>1.1366742857142857</v>
      </c>
      <c r="T172" s="156">
        <f t="shared" si="91"/>
        <v>0.41609523809523807</v>
      </c>
      <c r="U172" s="156">
        <f t="shared" si="92"/>
        <v>0.7577828571428572</v>
      </c>
      <c r="V172" s="157"/>
      <c r="W172" s="135"/>
      <c r="X172" s="158">
        <f t="shared" si="93"/>
        <v>0.31665214685749843</v>
      </c>
      <c r="Y172" s="158">
        <f t="shared" si="94"/>
        <v>0.17936240486333827</v>
      </c>
      <c r="Z172" s="158">
        <f t="shared" si="95"/>
        <v>9.5955196017423763E-2</v>
      </c>
      <c r="AA172" s="158">
        <f t="shared" si="96"/>
        <v>0.14282561868747307</v>
      </c>
      <c r="AB172" s="158">
        <f t="shared" si="97"/>
        <v>5.2283279881288593E-2</v>
      </c>
      <c r="AC172" s="158">
        <f t="shared" si="98"/>
        <v>9.5217079124982049E-2</v>
      </c>
      <c r="AD172" s="135"/>
      <c r="AE172" s="135"/>
      <c r="AF172" s="189">
        <v>2025</v>
      </c>
      <c r="AG172" s="189" t="s">
        <v>611</v>
      </c>
    </row>
    <row r="173" spans="1:33" ht="15.75" customHeight="1" x14ac:dyDescent="0.3">
      <c r="A173" s="88">
        <v>8</v>
      </c>
      <c r="B173" s="89" t="s">
        <v>28</v>
      </c>
      <c r="C173" s="89">
        <v>2323</v>
      </c>
      <c r="D173" s="89" t="s">
        <v>26</v>
      </c>
      <c r="E173" s="89">
        <v>35000163</v>
      </c>
      <c r="F173" s="198">
        <v>20.88</v>
      </c>
      <c r="G173" s="198">
        <v>12.05</v>
      </c>
      <c r="H173" s="198">
        <v>7.56</v>
      </c>
      <c r="I173" s="198">
        <v>11.37</v>
      </c>
      <c r="J173" s="198">
        <v>3.65</v>
      </c>
      <c r="K173" s="198">
        <v>8.0500000000000007</v>
      </c>
      <c r="L173" s="199">
        <f t="shared" si="86"/>
        <v>63.56</v>
      </c>
      <c r="M173" s="89" t="s">
        <v>545</v>
      </c>
      <c r="N173" s="90"/>
      <c r="O173" s="135"/>
      <c r="P173" s="156">
        <f t="shared" si="87"/>
        <v>2.3097257142857144</v>
      </c>
      <c r="Q173" s="156">
        <f t="shared" si="88"/>
        <v>1.332959523809524</v>
      </c>
      <c r="R173" s="156">
        <f t="shared" si="89"/>
        <v>0.83627999999999991</v>
      </c>
      <c r="S173" s="156">
        <f t="shared" si="90"/>
        <v>1.2577385714285714</v>
      </c>
      <c r="T173" s="156">
        <f t="shared" si="91"/>
        <v>0.40375952380952373</v>
      </c>
      <c r="U173" s="156">
        <f t="shared" si="92"/>
        <v>0.8904833333333334</v>
      </c>
      <c r="V173" s="157"/>
      <c r="W173" s="135"/>
      <c r="X173" s="158">
        <f t="shared" si="93"/>
        <v>0.29022210521277103</v>
      </c>
      <c r="Y173" s="158">
        <f t="shared" si="94"/>
        <v>0.16748928964625917</v>
      </c>
      <c r="Z173" s="158">
        <f t="shared" si="95"/>
        <v>0.10508041740462398</v>
      </c>
      <c r="AA173" s="158">
        <f t="shared" si="96"/>
        <v>0.15803761189028767</v>
      </c>
      <c r="AB173" s="158">
        <f t="shared" si="97"/>
        <v>5.0733270307788035E-2</v>
      </c>
      <c r="AC173" s="158">
        <f t="shared" si="98"/>
        <v>0.11189118519936815</v>
      </c>
      <c r="AD173" s="135"/>
      <c r="AE173" s="135"/>
      <c r="AF173" s="189">
        <v>2025</v>
      </c>
      <c r="AG173" s="189" t="s">
        <v>612</v>
      </c>
    </row>
    <row r="174" spans="1:33" ht="15.75" customHeight="1" x14ac:dyDescent="0.3">
      <c r="A174" s="88">
        <v>9</v>
      </c>
      <c r="B174" s="89" t="s">
        <v>46</v>
      </c>
      <c r="C174" s="89">
        <v>1920</v>
      </c>
      <c r="D174" s="89" t="s">
        <v>43</v>
      </c>
      <c r="E174" s="89">
        <v>35000165</v>
      </c>
      <c r="F174" s="198">
        <v>30.51</v>
      </c>
      <c r="G174" s="198">
        <v>13</v>
      </c>
      <c r="H174" s="198">
        <v>7.86</v>
      </c>
      <c r="I174" s="198">
        <v>11.36</v>
      </c>
      <c r="J174" s="198">
        <v>3.95</v>
      </c>
      <c r="K174" s="198">
        <v>7</v>
      </c>
      <c r="L174" s="199">
        <f t="shared" si="86"/>
        <v>73.680000000000007</v>
      </c>
      <c r="M174" s="89" t="s">
        <v>613</v>
      </c>
      <c r="N174" s="90"/>
      <c r="O174" s="135"/>
      <c r="P174" s="156">
        <f t="shared" si="87"/>
        <v>2.7894857142857146</v>
      </c>
      <c r="Q174" s="156">
        <f t="shared" si="88"/>
        <v>1.1885714285714286</v>
      </c>
      <c r="R174" s="156">
        <f t="shared" si="89"/>
        <v>0.71862857142857151</v>
      </c>
      <c r="S174" s="156">
        <f t="shared" si="90"/>
        <v>1.0386285714285712</v>
      </c>
      <c r="T174" s="156">
        <f t="shared" si="91"/>
        <v>0.36114285714285715</v>
      </c>
      <c r="U174" s="156">
        <f t="shared" si="92"/>
        <v>0.64</v>
      </c>
      <c r="V174" s="157"/>
      <c r="W174" s="135"/>
      <c r="X174" s="158">
        <f t="shared" si="93"/>
        <v>0.35050500215403763</v>
      </c>
      <c r="Y174" s="158">
        <f t="shared" si="94"/>
        <v>0.14934660858742999</v>
      </c>
      <c r="Z174" s="158">
        <f t="shared" si="95"/>
        <v>9.0297257192092292E-2</v>
      </c>
      <c r="AA174" s="158">
        <f t="shared" si="96"/>
        <v>0.13050595950409266</v>
      </c>
      <c r="AB174" s="158">
        <f t="shared" si="97"/>
        <v>4.5378392609257578E-2</v>
      </c>
      <c r="AC174" s="158">
        <f t="shared" si="98"/>
        <v>8.0417404624000766E-2</v>
      </c>
      <c r="AD174" s="135"/>
      <c r="AE174" s="135"/>
      <c r="AF174" s="189">
        <v>2025</v>
      </c>
      <c r="AG174" s="189" t="s">
        <v>601</v>
      </c>
    </row>
    <row r="175" spans="1:33" ht="15.75" customHeight="1" x14ac:dyDescent="0.3">
      <c r="A175" s="88">
        <v>10</v>
      </c>
      <c r="B175" s="89" t="s">
        <v>44</v>
      </c>
      <c r="C175" s="89">
        <v>1867</v>
      </c>
      <c r="D175" s="89" t="s">
        <v>43</v>
      </c>
      <c r="E175" s="89">
        <v>35000166</v>
      </c>
      <c r="F175" s="198">
        <v>33.119999999999997</v>
      </c>
      <c r="G175" s="198">
        <v>11.6</v>
      </c>
      <c r="H175" s="198">
        <v>8.5</v>
      </c>
      <c r="I175" s="198">
        <v>12.75</v>
      </c>
      <c r="J175" s="198">
        <v>4.25</v>
      </c>
      <c r="K175" s="198">
        <v>8.5</v>
      </c>
      <c r="L175" s="199">
        <f t="shared" si="86"/>
        <v>78.72</v>
      </c>
      <c r="M175" s="89" t="s">
        <v>543</v>
      </c>
      <c r="N175" s="90"/>
      <c r="O175" s="135"/>
      <c r="P175" s="156">
        <f t="shared" si="87"/>
        <v>2.9445257142857142</v>
      </c>
      <c r="Q175" s="156">
        <f t="shared" si="88"/>
        <v>1.031295238095238</v>
      </c>
      <c r="R175" s="156">
        <f t="shared" si="89"/>
        <v>0.75569047619047625</v>
      </c>
      <c r="S175" s="156">
        <f t="shared" si="90"/>
        <v>1.1335357142857143</v>
      </c>
      <c r="T175" s="156">
        <f t="shared" si="91"/>
        <v>0.37784523809523812</v>
      </c>
      <c r="U175" s="156">
        <f t="shared" si="92"/>
        <v>0.75569047619047625</v>
      </c>
      <c r="V175" s="157"/>
      <c r="W175" s="135"/>
      <c r="X175" s="158">
        <f t="shared" si="93"/>
        <v>0.36998611842420176</v>
      </c>
      <c r="Y175" s="158">
        <f t="shared" si="94"/>
        <v>0.12958451007610933</v>
      </c>
      <c r="Z175" s="158">
        <f t="shared" si="95"/>
        <v>9.4954166866114589E-2</v>
      </c>
      <c r="AA175" s="158">
        <f t="shared" si="96"/>
        <v>0.14243125029917189</v>
      </c>
      <c r="AB175" s="158">
        <f t="shared" si="97"/>
        <v>4.7477083433057295E-2</v>
      </c>
      <c r="AC175" s="158">
        <f t="shared" si="98"/>
        <v>9.4954166866114589E-2</v>
      </c>
      <c r="AD175" s="135"/>
      <c r="AE175" s="135"/>
      <c r="AF175" s="189">
        <v>2025</v>
      </c>
      <c r="AG175" s="189" t="s">
        <v>614</v>
      </c>
    </row>
    <row r="176" spans="1:33" ht="15.75" customHeight="1" x14ac:dyDescent="0.3">
      <c r="A176" s="88">
        <v>11</v>
      </c>
      <c r="B176" s="89" t="s">
        <v>47</v>
      </c>
      <c r="C176" s="89">
        <v>1262</v>
      </c>
      <c r="D176" s="89" t="s">
        <v>43</v>
      </c>
      <c r="E176" s="89">
        <v>35000167</v>
      </c>
      <c r="F176" s="198">
        <v>28.09</v>
      </c>
      <c r="G176" s="198">
        <v>13.36</v>
      </c>
      <c r="H176" s="198">
        <v>7.88</v>
      </c>
      <c r="I176" s="198">
        <v>12.03</v>
      </c>
      <c r="J176" s="198">
        <v>4.03</v>
      </c>
      <c r="K176" s="198">
        <v>7.62</v>
      </c>
      <c r="L176" s="199">
        <f t="shared" si="86"/>
        <v>73.010000000000005</v>
      </c>
      <c r="M176" s="89" t="s">
        <v>547</v>
      </c>
      <c r="N176" s="90"/>
      <c r="O176" s="135"/>
      <c r="P176" s="156">
        <f t="shared" si="87"/>
        <v>1.6880752380952382</v>
      </c>
      <c r="Q176" s="156">
        <f t="shared" si="88"/>
        <v>0.80287238095238089</v>
      </c>
      <c r="R176" s="156">
        <f t="shared" si="89"/>
        <v>0.47355047619047619</v>
      </c>
      <c r="S176" s="156">
        <f t="shared" si="90"/>
        <v>0.72294571428571419</v>
      </c>
      <c r="T176" s="156">
        <f t="shared" si="91"/>
        <v>0.24218380952380955</v>
      </c>
      <c r="U176" s="156">
        <f t="shared" si="92"/>
        <v>0.45792571428571432</v>
      </c>
      <c r="V176" s="157"/>
      <c r="W176" s="135"/>
      <c r="X176" s="158">
        <f t="shared" si="93"/>
        <v>0.21211035852759563</v>
      </c>
      <c r="Y176" s="158">
        <f t="shared" si="94"/>
        <v>0.10088267675075391</v>
      </c>
      <c r="Z176" s="158">
        <f t="shared" si="95"/>
        <v>5.9502656646402752E-2</v>
      </c>
      <c r="AA176" s="158">
        <f t="shared" si="96"/>
        <v>9.0839715667033638E-2</v>
      </c>
      <c r="AB176" s="158">
        <f t="shared" si="97"/>
        <v>3.0430927193528318E-2</v>
      </c>
      <c r="AC176" s="158">
        <f t="shared" si="98"/>
        <v>5.7539371021013835E-2</v>
      </c>
      <c r="AD176" s="135"/>
      <c r="AE176" s="135"/>
      <c r="AF176" s="189">
        <v>2025</v>
      </c>
      <c r="AG176" s="189" t="s">
        <v>615</v>
      </c>
    </row>
    <row r="177" spans="1:33" ht="15.75" customHeight="1" x14ac:dyDescent="0.3">
      <c r="A177" s="88">
        <v>12</v>
      </c>
      <c r="B177" s="89" t="s">
        <v>42</v>
      </c>
      <c r="C177" s="89">
        <v>1094</v>
      </c>
      <c r="D177" s="89" t="s">
        <v>43</v>
      </c>
      <c r="E177" s="89">
        <v>35000168</v>
      </c>
      <c r="F177" s="198">
        <v>32.119999999999997</v>
      </c>
      <c r="G177" s="198">
        <v>10.7</v>
      </c>
      <c r="H177" s="198">
        <v>7</v>
      </c>
      <c r="I177" s="198">
        <v>10.5</v>
      </c>
      <c r="J177" s="198">
        <v>3.5</v>
      </c>
      <c r="K177" s="198">
        <v>7</v>
      </c>
      <c r="L177" s="199">
        <f t="shared" si="86"/>
        <v>70.819999999999993</v>
      </c>
      <c r="M177" s="89" t="s">
        <v>543</v>
      </c>
      <c r="N177" s="90"/>
      <c r="O177" s="135"/>
      <c r="P177" s="156">
        <f t="shared" si="87"/>
        <v>1.6732990476190475</v>
      </c>
      <c r="Q177" s="156">
        <f t="shared" si="88"/>
        <v>0.55741904761904759</v>
      </c>
      <c r="R177" s="156">
        <f t="shared" si="89"/>
        <v>0.36466666666666664</v>
      </c>
      <c r="S177" s="156">
        <f t="shared" si="90"/>
        <v>0.54700000000000004</v>
      </c>
      <c r="T177" s="156">
        <f t="shared" si="91"/>
        <v>0.18233333333333332</v>
      </c>
      <c r="U177" s="156">
        <f t="shared" si="92"/>
        <v>0.36466666666666664</v>
      </c>
      <c r="V177" s="157"/>
      <c r="W177" s="135"/>
      <c r="X177" s="158">
        <f t="shared" si="93"/>
        <v>0.2102536977645876</v>
      </c>
      <c r="Y177" s="158">
        <f t="shared" si="94"/>
        <v>7.0040926714853277E-2</v>
      </c>
      <c r="Z177" s="158">
        <f t="shared" si="95"/>
        <v>4.5821167009717105E-2</v>
      </c>
      <c r="AA177" s="158">
        <f t="shared" si="96"/>
        <v>6.8731750514575654E-2</v>
      </c>
      <c r="AB177" s="158">
        <f t="shared" si="97"/>
        <v>2.2910583504858553E-2</v>
      </c>
      <c r="AC177" s="158">
        <f t="shared" si="98"/>
        <v>4.5821167009717105E-2</v>
      </c>
      <c r="AD177" s="135"/>
      <c r="AE177" s="135"/>
      <c r="AF177" s="189">
        <v>2025</v>
      </c>
      <c r="AG177" s="189" t="s">
        <v>616</v>
      </c>
    </row>
    <row r="178" spans="1:33" ht="15.75" customHeight="1" x14ac:dyDescent="0.3">
      <c r="A178" s="88">
        <v>13</v>
      </c>
      <c r="B178" s="89" t="s">
        <v>45</v>
      </c>
      <c r="C178" s="89">
        <v>1088</v>
      </c>
      <c r="D178" s="89" t="s">
        <v>43</v>
      </c>
      <c r="E178" s="89">
        <v>35000169</v>
      </c>
      <c r="F178" s="198">
        <v>25.02</v>
      </c>
      <c r="G178" s="198">
        <v>14.86</v>
      </c>
      <c r="H178" s="198">
        <v>7.7</v>
      </c>
      <c r="I178" s="198">
        <v>11.15</v>
      </c>
      <c r="J178" s="198">
        <v>3.95</v>
      </c>
      <c r="K178" s="198">
        <v>7.8</v>
      </c>
      <c r="L178" s="199">
        <f t="shared" si="86"/>
        <v>70.48</v>
      </c>
      <c r="M178" s="89" t="s">
        <v>547</v>
      </c>
      <c r="N178" s="90"/>
      <c r="O178" s="135"/>
      <c r="P178" s="156">
        <f t="shared" si="87"/>
        <v>1.2962742857142857</v>
      </c>
      <c r="Q178" s="156">
        <f t="shared" si="88"/>
        <v>0.7698895238095238</v>
      </c>
      <c r="R178" s="156">
        <f t="shared" si="89"/>
        <v>0.39893333333333336</v>
      </c>
      <c r="S178" s="156">
        <f t="shared" si="90"/>
        <v>0.57767619047619057</v>
      </c>
      <c r="T178" s="156">
        <f t="shared" si="91"/>
        <v>0.20464761904761908</v>
      </c>
      <c r="U178" s="156">
        <f t="shared" si="92"/>
        <v>0.4041142857142857</v>
      </c>
      <c r="V178" s="161" t="s">
        <v>518</v>
      </c>
      <c r="W178" s="162" t="s">
        <v>263</v>
      </c>
      <c r="X178" s="158">
        <f t="shared" si="93"/>
        <v>0.16287970896558326</v>
      </c>
      <c r="Y178" s="158">
        <f t="shared" si="94"/>
        <v>9.673830836245273E-2</v>
      </c>
      <c r="Z178" s="158">
        <f t="shared" si="95"/>
        <v>5.0126848882293816E-2</v>
      </c>
      <c r="AA178" s="158">
        <f t="shared" si="96"/>
        <v>7.2586281173711173E-2</v>
      </c>
      <c r="AB178" s="158">
        <f t="shared" si="97"/>
        <v>2.5714422478579295E-2</v>
      </c>
      <c r="AC178" s="158">
        <f t="shared" si="98"/>
        <v>5.0777846919726193E-2</v>
      </c>
      <c r="AD178" s="135"/>
      <c r="AE178" s="135"/>
      <c r="AF178" s="189">
        <v>2025</v>
      </c>
      <c r="AG178" s="189" t="s">
        <v>589</v>
      </c>
    </row>
    <row r="179" spans="1:33" ht="15.75" customHeight="1" x14ac:dyDescent="0.3">
      <c r="A179" s="18"/>
      <c r="B179" s="163" t="s">
        <v>546</v>
      </c>
      <c r="C179" s="191">
        <f>SUM(C166:C178)</f>
        <v>21000</v>
      </c>
      <c r="D179" s="19"/>
      <c r="E179" s="19"/>
      <c r="F179" s="165"/>
      <c r="G179" s="165"/>
      <c r="H179" s="165"/>
      <c r="I179" s="165"/>
      <c r="J179" s="165"/>
      <c r="K179" s="165"/>
      <c r="L179" s="165"/>
      <c r="M179" s="19"/>
      <c r="N179" s="21"/>
      <c r="O179" s="21"/>
      <c r="P179" s="177">
        <f t="shared" ref="P179:U179" si="99">SUM(P166:P178)</f>
        <v>27.789973333333332</v>
      </c>
      <c r="Q179" s="177">
        <f t="shared" si="99"/>
        <v>13.127198095238096</v>
      </c>
      <c r="R179" s="177">
        <f t="shared" si="99"/>
        <v>7.7747414285714278</v>
      </c>
      <c r="S179" s="177">
        <f t="shared" si="99"/>
        <v>11.675504285714286</v>
      </c>
      <c r="T179" s="177">
        <f t="shared" si="99"/>
        <v>3.961871428571428</v>
      </c>
      <c r="U179" s="177">
        <f t="shared" si="99"/>
        <v>7.6663280952380948</v>
      </c>
      <c r="V179" s="167">
        <f>SUM(P179:U179)</f>
        <v>71.995616666666663</v>
      </c>
      <c r="W179" s="135">
        <f>(P179/45)*100</f>
        <v>61.7554962962963</v>
      </c>
      <c r="X179" s="133"/>
      <c r="Y179" s="133"/>
      <c r="Z179" s="133"/>
      <c r="AA179" s="133"/>
      <c r="AB179" s="133"/>
      <c r="AC179" s="133"/>
      <c r="AD179" s="135"/>
      <c r="AE179" s="135"/>
      <c r="AF179" s="190"/>
      <c r="AG179" s="190"/>
    </row>
    <row r="180" spans="1:33" ht="14.25" customHeight="1" x14ac:dyDescent="0.3">
      <c r="A180" s="48" t="s">
        <v>248</v>
      </c>
      <c r="B180" s="228" t="s">
        <v>249</v>
      </c>
      <c r="C180" s="229"/>
      <c r="D180" s="229"/>
      <c r="E180" s="230"/>
      <c r="F180" s="175"/>
      <c r="G180" s="175"/>
      <c r="H180" s="175"/>
      <c r="I180" s="175"/>
      <c r="J180" s="175"/>
      <c r="K180" s="175"/>
      <c r="L180" s="107">
        <f t="shared" ref="L180:L193" si="100">+SUM(F180:K180)</f>
        <v>0</v>
      </c>
      <c r="M180" s="48"/>
      <c r="N180" s="1"/>
      <c r="O180" s="1"/>
      <c r="P180" s="1"/>
      <c r="Q180" s="1"/>
      <c r="R180" s="1"/>
      <c r="S180" s="1"/>
      <c r="T180" s="1"/>
      <c r="U180" s="1"/>
      <c r="V180" s="148"/>
      <c r="W180" s="1"/>
      <c r="X180" s="149"/>
      <c r="Y180" s="149"/>
      <c r="Z180" s="149"/>
      <c r="AA180" s="149"/>
      <c r="AB180" s="149"/>
      <c r="AC180" s="149"/>
      <c r="AD180" s="1"/>
      <c r="AE180" s="1"/>
      <c r="AF180" s="192"/>
      <c r="AG180" s="192"/>
    </row>
    <row r="181" spans="1:33" ht="15.75" customHeight="1" x14ac:dyDescent="0.3">
      <c r="A181" s="74">
        <v>1</v>
      </c>
      <c r="B181" s="75" t="s">
        <v>204</v>
      </c>
      <c r="C181" s="75">
        <v>1151</v>
      </c>
      <c r="D181" s="75" t="s">
        <v>205</v>
      </c>
      <c r="E181" s="75">
        <v>35000076</v>
      </c>
      <c r="F181" s="200">
        <v>31.51</v>
      </c>
      <c r="G181" s="200">
        <v>9.5500000000000007</v>
      </c>
      <c r="H181" s="200">
        <v>8.4499999999999993</v>
      </c>
      <c r="I181" s="200">
        <v>13.21</v>
      </c>
      <c r="J181" s="200">
        <v>4.75</v>
      </c>
      <c r="K181" s="200">
        <v>8.5</v>
      </c>
      <c r="L181" s="201">
        <f t="shared" si="100"/>
        <v>75.97</v>
      </c>
      <c r="M181" s="75" t="s">
        <v>544</v>
      </c>
      <c r="N181" s="58"/>
      <c r="O181" s="135"/>
      <c r="P181" s="156">
        <f t="shared" ref="P181:P193" si="101">(F181*C181)/$C$194</f>
        <v>2.987726336601038</v>
      </c>
      <c r="Q181" s="156">
        <f t="shared" ref="Q181:Q193" si="102">(G181*C181)/$C$194</f>
        <v>0.9055152813246562</v>
      </c>
      <c r="R181" s="156">
        <f t="shared" ref="R181:R193" si="103">(H181*C181)/$C$194</f>
        <v>0.80121509185270612</v>
      </c>
      <c r="S181" s="156">
        <f t="shared" ref="S181:S193" si="104">(I181*C181)/$C$194</f>
        <v>1.2525504572040531</v>
      </c>
      <c r="T181" s="156">
        <f t="shared" ref="T181:T193" si="105">(J181*C181)/$C$194</f>
        <v>0.45038718181069282</v>
      </c>
      <c r="U181" s="156">
        <f t="shared" ref="U181:U193" si="106">(K181*C181)/$C$194</f>
        <v>0.80595600955597657</v>
      </c>
      <c r="V181" s="157"/>
      <c r="W181" s="135"/>
      <c r="X181" s="158">
        <f t="shared" ref="X181:X193" si="107">(F181*C181)/$C$202</f>
        <v>0.21700738356229957</v>
      </c>
      <c r="Y181" s="158">
        <f t="shared" ref="Y181:Y193" si="108">(G181*C181)/$C$202</f>
        <v>6.5770247953664263E-2</v>
      </c>
      <c r="Z181" s="158">
        <f t="shared" ref="Z181:Z193" si="109">(H181*C181)/$C$202</f>
        <v>5.8194617299315486E-2</v>
      </c>
      <c r="AA181" s="158">
        <f t="shared" ref="AA181:AA193" si="110">(I181*C181)/$C$202</f>
        <v>9.0976437221770151E-2</v>
      </c>
      <c r="AB181" s="158">
        <f t="shared" ref="AB181:AB193" si="111">(J181*C181)/$C$202</f>
        <v>3.2712950552869657E-2</v>
      </c>
      <c r="AC181" s="158">
        <f t="shared" ref="AC181:AC193" si="112">(K181*C181)/$C$202</f>
        <v>5.8538964147240441E-2</v>
      </c>
      <c r="AD181" s="135"/>
      <c r="AE181" s="135"/>
      <c r="AF181" s="189">
        <v>2025</v>
      </c>
      <c r="AG181" s="189" t="s">
        <v>617</v>
      </c>
    </row>
    <row r="182" spans="1:33" ht="15.75" customHeight="1" x14ac:dyDescent="0.3">
      <c r="A182" s="74">
        <v>2</v>
      </c>
      <c r="B182" s="75" t="s">
        <v>206</v>
      </c>
      <c r="C182" s="75">
        <v>319</v>
      </c>
      <c r="D182" s="75" t="s">
        <v>205</v>
      </c>
      <c r="E182" s="75">
        <v>35000077</v>
      </c>
      <c r="F182" s="200">
        <v>25.97</v>
      </c>
      <c r="G182" s="200">
        <v>13.4</v>
      </c>
      <c r="H182" s="200">
        <v>5.0599999999999996</v>
      </c>
      <c r="I182" s="200">
        <v>10.71</v>
      </c>
      <c r="J182" s="200">
        <v>3.5</v>
      </c>
      <c r="K182" s="200">
        <v>7.95</v>
      </c>
      <c r="L182" s="201">
        <f t="shared" si="100"/>
        <v>66.59</v>
      </c>
      <c r="M182" s="75" t="s">
        <v>543</v>
      </c>
      <c r="N182" s="58"/>
      <c r="O182" s="135"/>
      <c r="P182" s="156">
        <f t="shared" si="101"/>
        <v>0.68246395913996216</v>
      </c>
      <c r="Q182" s="156">
        <f t="shared" si="102"/>
        <v>0.35213773786967628</v>
      </c>
      <c r="R182" s="156">
        <f t="shared" si="103"/>
        <v>0.13297141444929564</v>
      </c>
      <c r="S182" s="156">
        <f t="shared" si="104"/>
        <v>0.28144740093912185</v>
      </c>
      <c r="T182" s="156">
        <f t="shared" si="105"/>
        <v>9.1976274816706477E-2</v>
      </c>
      <c r="U182" s="156">
        <f t="shared" si="106"/>
        <v>0.20891753851223333</v>
      </c>
      <c r="V182" s="157"/>
      <c r="W182" s="135"/>
      <c r="X182" s="158">
        <f t="shared" si="107"/>
        <v>4.9569371978363891E-2</v>
      </c>
      <c r="Y182" s="158">
        <f t="shared" si="108"/>
        <v>2.5576803408166197E-2</v>
      </c>
      <c r="Z182" s="158">
        <f t="shared" si="109"/>
        <v>9.6581063615911143E-3</v>
      </c>
      <c r="AA182" s="158">
        <f t="shared" si="110"/>
        <v>2.0442355559810447E-2</v>
      </c>
      <c r="AB182" s="158">
        <f t="shared" si="111"/>
        <v>6.6805083528792301E-3</v>
      </c>
      <c r="AC182" s="158">
        <f t="shared" si="112"/>
        <v>1.5174297544397111E-2</v>
      </c>
      <c r="AD182" s="135"/>
      <c r="AE182" s="135"/>
      <c r="AF182" s="189">
        <v>2025</v>
      </c>
      <c r="AG182" s="189" t="s">
        <v>577</v>
      </c>
    </row>
    <row r="183" spans="1:33" ht="15.75" customHeight="1" x14ac:dyDescent="0.3">
      <c r="A183" s="74">
        <v>3</v>
      </c>
      <c r="B183" s="75" t="s">
        <v>207</v>
      </c>
      <c r="C183" s="75">
        <v>309</v>
      </c>
      <c r="D183" s="75" t="s">
        <v>208</v>
      </c>
      <c r="E183" s="75">
        <v>35000078</v>
      </c>
      <c r="F183" s="200">
        <v>28.42</v>
      </c>
      <c r="G183" s="200">
        <v>14.97</v>
      </c>
      <c r="H183" s="200">
        <v>6.31</v>
      </c>
      <c r="I183" s="200">
        <v>13.15</v>
      </c>
      <c r="J183" s="200">
        <v>4.25</v>
      </c>
      <c r="K183" s="200">
        <v>7.46</v>
      </c>
      <c r="L183" s="201">
        <f t="shared" si="100"/>
        <v>74.559999999999988</v>
      </c>
      <c r="M183" s="75" t="s">
        <v>543</v>
      </c>
      <c r="N183" s="58"/>
      <c r="O183" s="135"/>
      <c r="P183" s="156">
        <f t="shared" si="101"/>
        <v>0.72343520883104051</v>
      </c>
      <c r="Q183" s="156">
        <f t="shared" si="102"/>
        <v>0.38106351429277541</v>
      </c>
      <c r="R183" s="156">
        <f t="shared" si="103"/>
        <v>0.16062196227036823</v>
      </c>
      <c r="S183" s="156">
        <f t="shared" si="104"/>
        <v>0.33473515116566438</v>
      </c>
      <c r="T183" s="156">
        <f t="shared" si="105"/>
        <v>0.10818436444517671</v>
      </c>
      <c r="U183" s="156">
        <f t="shared" si="106"/>
        <v>0.18989537853200428</v>
      </c>
      <c r="V183" s="157"/>
      <c r="W183" s="135"/>
      <c r="X183" s="158">
        <f t="shared" si="107"/>
        <v>5.2545234790101002E-2</v>
      </c>
      <c r="Y183" s="158">
        <f t="shared" si="108"/>
        <v>2.767776793834666E-2</v>
      </c>
      <c r="Z183" s="158">
        <f t="shared" si="109"/>
        <v>1.1666447273945718E-2</v>
      </c>
      <c r="AA183" s="158">
        <f t="shared" si="110"/>
        <v>2.4312802163611123E-2</v>
      </c>
      <c r="AB183" s="158">
        <f t="shared" si="111"/>
        <v>7.8577497486956114E-3</v>
      </c>
      <c r="AC183" s="158">
        <f t="shared" si="112"/>
        <v>1.3792661911828059E-2</v>
      </c>
      <c r="AD183" s="135"/>
      <c r="AE183" s="135"/>
      <c r="AF183" s="189">
        <v>2025</v>
      </c>
      <c r="AG183" s="189" t="s">
        <v>618</v>
      </c>
    </row>
    <row r="184" spans="1:33" ht="15.75" customHeight="1" x14ac:dyDescent="0.3">
      <c r="A184" s="74">
        <v>4</v>
      </c>
      <c r="B184" s="75" t="s">
        <v>209</v>
      </c>
      <c r="C184" s="75">
        <v>350</v>
      </c>
      <c r="D184" s="75" t="s">
        <v>208</v>
      </c>
      <c r="E184" s="75">
        <v>35000079</v>
      </c>
      <c r="F184" s="200">
        <v>19.32</v>
      </c>
      <c r="G184" s="200">
        <v>4.95</v>
      </c>
      <c r="H184" s="200">
        <v>7.66</v>
      </c>
      <c r="I184" s="200">
        <v>12.75</v>
      </c>
      <c r="J184" s="200">
        <v>4.25</v>
      </c>
      <c r="K184" s="200">
        <v>8.41</v>
      </c>
      <c r="L184" s="201">
        <f t="shared" si="100"/>
        <v>57.34</v>
      </c>
      <c r="M184" s="75" t="s">
        <v>543</v>
      </c>
      <c r="N184" s="58"/>
      <c r="O184" s="135"/>
      <c r="P184" s="156">
        <f t="shared" si="101"/>
        <v>0.55704753274569574</v>
      </c>
      <c r="Q184" s="156">
        <f t="shared" si="102"/>
        <v>0.1427218057500618</v>
      </c>
      <c r="R184" s="156">
        <f t="shared" si="103"/>
        <v>0.22085839031221682</v>
      </c>
      <c r="S184" s="156">
        <f t="shared" si="104"/>
        <v>0.36761677238652279</v>
      </c>
      <c r="T184" s="156">
        <f t="shared" si="105"/>
        <v>0.12253892412884093</v>
      </c>
      <c r="U184" s="156">
        <f t="shared" si="106"/>
        <v>0.24248290633495345</v>
      </c>
      <c r="V184" s="157"/>
      <c r="W184" s="135"/>
      <c r="X184" s="158">
        <f t="shared" si="107"/>
        <v>4.0460006701450384E-2</v>
      </c>
      <c r="Y184" s="158">
        <f t="shared" si="108"/>
        <v>1.0366306064812598E-2</v>
      </c>
      <c r="Z184" s="158">
        <f t="shared" si="109"/>
        <v>1.6041596859891819E-2</v>
      </c>
      <c r="AA184" s="158">
        <f t="shared" si="110"/>
        <v>2.6701091379062753E-2</v>
      </c>
      <c r="AB184" s="158">
        <f t="shared" si="111"/>
        <v>8.9003637930209177E-3</v>
      </c>
      <c r="AC184" s="158">
        <f t="shared" si="112"/>
        <v>1.7612249293954333E-2</v>
      </c>
      <c r="AD184" s="135"/>
      <c r="AE184" s="135"/>
      <c r="AF184" s="189">
        <v>2022</v>
      </c>
      <c r="AG184" s="189" t="s">
        <v>619</v>
      </c>
    </row>
    <row r="185" spans="1:33" ht="15.75" customHeight="1" x14ac:dyDescent="0.3">
      <c r="A185" s="74">
        <v>5</v>
      </c>
      <c r="B185" s="75" t="s">
        <v>210</v>
      </c>
      <c r="C185" s="75">
        <v>63</v>
      </c>
      <c r="D185" s="75" t="s">
        <v>208</v>
      </c>
      <c r="E185" s="75">
        <v>35000080</v>
      </c>
      <c r="F185" s="200">
        <v>25.13</v>
      </c>
      <c r="G185" s="200">
        <v>14.94</v>
      </c>
      <c r="H185" s="200">
        <v>8.6999999999999993</v>
      </c>
      <c r="I185" s="200">
        <v>12.75</v>
      </c>
      <c r="J185" s="200">
        <v>4.75</v>
      </c>
      <c r="K185" s="200">
        <v>7.7</v>
      </c>
      <c r="L185" s="201">
        <f t="shared" si="100"/>
        <v>73.97</v>
      </c>
      <c r="M185" s="75" t="s">
        <v>543</v>
      </c>
      <c r="N185" s="58"/>
      <c r="O185" s="135"/>
      <c r="P185" s="156">
        <f t="shared" si="101"/>
        <v>0.13042178103632918</v>
      </c>
      <c r="Q185" s="156">
        <f t="shared" si="102"/>
        <v>7.7536864651124471E-2</v>
      </c>
      <c r="R185" s="156">
        <f t="shared" si="103"/>
        <v>4.5151989455474086E-2</v>
      </c>
      <c r="S185" s="156">
        <f t="shared" si="104"/>
        <v>6.6171019029574105E-2</v>
      </c>
      <c r="T185" s="156">
        <f t="shared" si="105"/>
        <v>2.4651948265919762E-2</v>
      </c>
      <c r="U185" s="156">
        <f t="shared" si="106"/>
        <v>3.9962105610017298E-2</v>
      </c>
      <c r="V185" s="157"/>
      <c r="W185" s="135"/>
      <c r="X185" s="158">
        <f t="shared" si="107"/>
        <v>9.4729189603178394E-3</v>
      </c>
      <c r="Y185" s="158">
        <f t="shared" si="108"/>
        <v>5.6317313675745533E-3</v>
      </c>
      <c r="Z185" s="158">
        <f t="shared" si="109"/>
        <v>3.2795222823225308E-3</v>
      </c>
      <c r="AA185" s="158">
        <f t="shared" si="110"/>
        <v>4.8061964482312954E-3</v>
      </c>
      <c r="AB185" s="158">
        <f t="shared" si="111"/>
        <v>1.790543774831267E-3</v>
      </c>
      <c r="AC185" s="158">
        <f t="shared" si="112"/>
        <v>2.9025656981475278E-3</v>
      </c>
      <c r="AD185" s="135"/>
      <c r="AE185" s="135"/>
      <c r="AF185" s="189">
        <v>2025</v>
      </c>
      <c r="AG185" s="189" t="s">
        <v>620</v>
      </c>
    </row>
    <row r="186" spans="1:33" ht="15.75" customHeight="1" x14ac:dyDescent="0.3">
      <c r="A186" s="74">
        <v>6</v>
      </c>
      <c r="B186" s="75" t="s">
        <v>211</v>
      </c>
      <c r="C186" s="75">
        <v>777</v>
      </c>
      <c r="D186" s="75" t="s">
        <v>212</v>
      </c>
      <c r="E186" s="75">
        <v>35000081</v>
      </c>
      <c r="F186" s="200">
        <v>32.61</v>
      </c>
      <c r="G186" s="200">
        <v>11.01</v>
      </c>
      <c r="H186" s="200">
        <v>6</v>
      </c>
      <c r="I186" s="200">
        <v>12.12</v>
      </c>
      <c r="J186" s="200">
        <v>3.4</v>
      </c>
      <c r="K186" s="200">
        <v>6.35</v>
      </c>
      <c r="L186" s="113">
        <f t="shared" si="100"/>
        <v>71.489999999999995</v>
      </c>
      <c r="M186" s="29" t="s">
        <v>543</v>
      </c>
      <c r="N186" s="31"/>
      <c r="O186" s="135"/>
      <c r="P186" s="156">
        <f t="shared" si="101"/>
        <v>2.0873193838042674</v>
      </c>
      <c r="Q186" s="156">
        <f t="shared" si="102"/>
        <v>0.70473432737457786</v>
      </c>
      <c r="R186" s="156">
        <f t="shared" si="103"/>
        <v>0.3840514045638026</v>
      </c>
      <c r="S186" s="156">
        <f t="shared" si="104"/>
        <v>0.77578383721888122</v>
      </c>
      <c r="T186" s="156">
        <f t="shared" si="105"/>
        <v>0.21762912925282146</v>
      </c>
      <c r="U186" s="156">
        <f t="shared" si="106"/>
        <v>0.40645440316335774</v>
      </c>
      <c r="V186" s="157"/>
      <c r="W186" s="135"/>
      <c r="X186" s="158">
        <f t="shared" si="107"/>
        <v>0.1516081685893447</v>
      </c>
      <c r="Y186" s="158">
        <f t="shared" si="108"/>
        <v>5.1186934565123743E-2</v>
      </c>
      <c r="Z186" s="158">
        <f t="shared" si="109"/>
        <v>2.7894787228950266E-2</v>
      </c>
      <c r="AA186" s="158">
        <f t="shared" si="110"/>
        <v>5.6347470202479537E-2</v>
      </c>
      <c r="AB186" s="158">
        <f t="shared" si="111"/>
        <v>1.5807046096405149E-2</v>
      </c>
      <c r="AC186" s="158">
        <f t="shared" si="112"/>
        <v>2.9521983150639031E-2</v>
      </c>
      <c r="AD186" s="135"/>
      <c r="AE186" s="135"/>
      <c r="AF186" s="189">
        <v>2023</v>
      </c>
      <c r="AG186" s="189" t="s">
        <v>621</v>
      </c>
    </row>
    <row r="187" spans="1:33" ht="15.75" customHeight="1" x14ac:dyDescent="0.3">
      <c r="A187" s="74">
        <v>7</v>
      </c>
      <c r="B187" s="75" t="s">
        <v>213</v>
      </c>
      <c r="C187" s="75">
        <v>80</v>
      </c>
      <c r="D187" s="75" t="s">
        <v>208</v>
      </c>
      <c r="E187" s="75">
        <v>35000204</v>
      </c>
      <c r="F187" s="200">
        <v>10.38</v>
      </c>
      <c r="G187" s="200">
        <v>5.5</v>
      </c>
      <c r="H187" s="200">
        <v>3.8</v>
      </c>
      <c r="I187" s="200">
        <v>12.75</v>
      </c>
      <c r="J187" s="200">
        <v>4.25</v>
      </c>
      <c r="K187" s="200">
        <v>6.7</v>
      </c>
      <c r="L187" s="201">
        <f t="shared" si="100"/>
        <v>43.38</v>
      </c>
      <c r="M187" s="75" t="s">
        <v>543</v>
      </c>
      <c r="N187" s="58"/>
      <c r="O187" s="135"/>
      <c r="P187" s="156">
        <f t="shared" si="101"/>
        <v>6.8407611829640017E-2</v>
      </c>
      <c r="Q187" s="156">
        <f t="shared" si="102"/>
        <v>3.6246807809539504E-2</v>
      </c>
      <c r="R187" s="156">
        <f t="shared" si="103"/>
        <v>2.5043249032045474E-2</v>
      </c>
      <c r="S187" s="156">
        <f t="shared" si="104"/>
        <v>8.4026690831205203E-2</v>
      </c>
      <c r="T187" s="156">
        <f t="shared" si="105"/>
        <v>2.8008896943735068E-2</v>
      </c>
      <c r="U187" s="156">
        <f t="shared" si="106"/>
        <v>4.4155202240711754E-2</v>
      </c>
      <c r="V187" s="157"/>
      <c r="W187" s="135"/>
      <c r="X187" s="158">
        <f t="shared" si="107"/>
        <v>4.9686467856971906E-3</v>
      </c>
      <c r="Y187" s="158">
        <f t="shared" si="108"/>
        <v>2.6327126513809775E-3</v>
      </c>
      <c r="Z187" s="158">
        <f t="shared" si="109"/>
        <v>1.8189651045904935E-3</v>
      </c>
      <c r="AA187" s="158">
        <f t="shared" si="110"/>
        <v>6.1031066009286294E-3</v>
      </c>
      <c r="AB187" s="158">
        <f t="shared" si="111"/>
        <v>2.0343688669762099E-3</v>
      </c>
      <c r="AC187" s="158">
        <f t="shared" si="112"/>
        <v>3.2071226844095544E-3</v>
      </c>
      <c r="AD187" s="135"/>
      <c r="AE187" s="135"/>
      <c r="AF187" s="189">
        <v>2025</v>
      </c>
      <c r="AG187" s="189" t="s">
        <v>622</v>
      </c>
    </row>
    <row r="188" spans="1:33" ht="15.75" customHeight="1" x14ac:dyDescent="0.3">
      <c r="A188" s="74">
        <v>8</v>
      </c>
      <c r="B188" s="75" t="s">
        <v>18</v>
      </c>
      <c r="C188" s="75">
        <v>1074</v>
      </c>
      <c r="D188" s="75" t="s">
        <v>19</v>
      </c>
      <c r="E188" s="75">
        <v>35000149</v>
      </c>
      <c r="F188" s="200">
        <v>23.65</v>
      </c>
      <c r="G188" s="200">
        <v>10.16</v>
      </c>
      <c r="H188" s="200">
        <v>5</v>
      </c>
      <c r="I188" s="200">
        <v>9.8000000000000007</v>
      </c>
      <c r="J188" s="200">
        <v>3.38</v>
      </c>
      <c r="K188" s="200">
        <v>5.16</v>
      </c>
      <c r="L188" s="201">
        <f t="shared" si="100"/>
        <v>57.150000000000006</v>
      </c>
      <c r="M188" s="75" t="s">
        <v>544</v>
      </c>
      <c r="N188" s="58"/>
      <c r="O188" s="135"/>
      <c r="P188" s="156">
        <f t="shared" si="101"/>
        <v>2.0924375978251915</v>
      </c>
      <c r="Q188" s="156">
        <f t="shared" si="102"/>
        <v>0.8989076530191944</v>
      </c>
      <c r="R188" s="156">
        <f t="shared" si="103"/>
        <v>0.44237581349369798</v>
      </c>
      <c r="S188" s="156">
        <f t="shared" si="104"/>
        <v>0.86705659444764815</v>
      </c>
      <c r="T188" s="156">
        <f t="shared" si="105"/>
        <v>0.29904604992173983</v>
      </c>
      <c r="U188" s="156">
        <f t="shared" si="106"/>
        <v>0.45653183952549636</v>
      </c>
      <c r="V188" s="157"/>
      <c r="W188" s="135"/>
      <c r="X188" s="158">
        <f t="shared" si="107"/>
        <v>0.15197991958259538</v>
      </c>
      <c r="Y188" s="158">
        <f t="shared" si="108"/>
        <v>6.5290316404193194E-2</v>
      </c>
      <c r="Z188" s="158">
        <f t="shared" si="109"/>
        <v>3.213106122253602E-2</v>
      </c>
      <c r="AA188" s="158">
        <f t="shared" si="110"/>
        <v>6.2976879996170604E-2</v>
      </c>
      <c r="AB188" s="158">
        <f t="shared" si="111"/>
        <v>2.1720597386434348E-2</v>
      </c>
      <c r="AC188" s="158">
        <f t="shared" si="112"/>
        <v>3.3159255181657174E-2</v>
      </c>
      <c r="AD188" s="135"/>
      <c r="AE188" s="135"/>
      <c r="AF188" s="189">
        <v>2023</v>
      </c>
      <c r="AG188" s="189" t="s">
        <v>623</v>
      </c>
    </row>
    <row r="189" spans="1:33" ht="15.75" customHeight="1" x14ac:dyDescent="0.3">
      <c r="A189" s="74">
        <v>9</v>
      </c>
      <c r="B189" s="75" t="s">
        <v>20</v>
      </c>
      <c r="C189" s="75">
        <v>1499</v>
      </c>
      <c r="D189" s="75" t="s">
        <v>19</v>
      </c>
      <c r="E189" s="75">
        <v>35000150</v>
      </c>
      <c r="F189" s="200">
        <v>31.53</v>
      </c>
      <c r="G189" s="200">
        <v>15</v>
      </c>
      <c r="H189" s="200">
        <v>7.14</v>
      </c>
      <c r="I189" s="200">
        <v>11.57</v>
      </c>
      <c r="J189" s="200">
        <v>4.25</v>
      </c>
      <c r="K189" s="200">
        <v>8.11</v>
      </c>
      <c r="L189" s="201">
        <f t="shared" si="100"/>
        <v>77.600000000000009</v>
      </c>
      <c r="M189" s="75" t="s">
        <v>543</v>
      </c>
      <c r="N189" s="58"/>
      <c r="O189" s="135"/>
      <c r="P189" s="156">
        <f t="shared" si="101"/>
        <v>3.893522530686218</v>
      </c>
      <c r="Q189" s="156">
        <f t="shared" si="102"/>
        <v>1.8522942581761266</v>
      </c>
      <c r="R189" s="156">
        <f t="shared" si="103"/>
        <v>0.8816920668918361</v>
      </c>
      <c r="S189" s="156">
        <f t="shared" si="104"/>
        <v>1.4287363044731856</v>
      </c>
      <c r="T189" s="156">
        <f t="shared" si="105"/>
        <v>0.52481670648323586</v>
      </c>
      <c r="U189" s="156">
        <f t="shared" si="106"/>
        <v>1.0014737622538923</v>
      </c>
      <c r="V189" s="157"/>
      <c r="W189" s="135"/>
      <c r="X189" s="158">
        <f t="shared" si="107"/>
        <v>0.28279803503901202</v>
      </c>
      <c r="Y189" s="158">
        <f t="shared" si="108"/>
        <v>0.13453759992341199</v>
      </c>
      <c r="Z189" s="158">
        <f t="shared" si="109"/>
        <v>6.4039897563544099E-2</v>
      </c>
      <c r="AA189" s="158">
        <f t="shared" si="110"/>
        <v>0.10377333540759179</v>
      </c>
      <c r="AB189" s="158">
        <f t="shared" si="111"/>
        <v>3.8118986644966733E-2</v>
      </c>
      <c r="AC189" s="158">
        <f t="shared" si="112"/>
        <v>7.2739995691924755E-2</v>
      </c>
      <c r="AD189" s="135"/>
      <c r="AE189" s="135"/>
      <c r="AF189" s="189">
        <v>2025</v>
      </c>
      <c r="AG189" s="189" t="s">
        <v>624</v>
      </c>
    </row>
    <row r="190" spans="1:33" ht="15.75" customHeight="1" x14ac:dyDescent="0.3">
      <c r="A190" s="74">
        <v>10</v>
      </c>
      <c r="B190" s="75" t="s">
        <v>98</v>
      </c>
      <c r="C190" s="75">
        <v>2184</v>
      </c>
      <c r="D190" s="75" t="s">
        <v>99</v>
      </c>
      <c r="E190" s="75">
        <v>35000151</v>
      </c>
      <c r="F190" s="200">
        <v>34</v>
      </c>
      <c r="G190" s="200">
        <v>13</v>
      </c>
      <c r="H190" s="200">
        <v>6</v>
      </c>
      <c r="I190" s="200">
        <v>9.5</v>
      </c>
      <c r="J190" s="200">
        <v>3.1</v>
      </c>
      <c r="K190" s="200">
        <v>5.56</v>
      </c>
      <c r="L190" s="201">
        <f t="shared" si="100"/>
        <v>71.16</v>
      </c>
      <c r="M190" s="75" t="s">
        <v>543</v>
      </c>
      <c r="N190" s="58"/>
      <c r="O190" s="135"/>
      <c r="P190" s="156">
        <f t="shared" si="101"/>
        <v>6.1171430925117392</v>
      </c>
      <c r="Q190" s="156">
        <f t="shared" si="102"/>
        <v>2.3389076530191941</v>
      </c>
      <c r="R190" s="156">
        <f t="shared" si="103"/>
        <v>1.0794958398550127</v>
      </c>
      <c r="S190" s="156">
        <f t="shared" si="104"/>
        <v>1.7092017464371037</v>
      </c>
      <c r="T190" s="156">
        <f t="shared" si="105"/>
        <v>0.5577395172584233</v>
      </c>
      <c r="U190" s="156">
        <f t="shared" si="106"/>
        <v>1.0003328115989785</v>
      </c>
      <c r="V190" s="157"/>
      <c r="W190" s="135"/>
      <c r="X190" s="158">
        <f t="shared" si="107"/>
        <v>0.44430616054760425</v>
      </c>
      <c r="Y190" s="158">
        <f t="shared" si="108"/>
        <v>0.16988176726820162</v>
      </c>
      <c r="Z190" s="158">
        <f t="shared" si="109"/>
        <v>7.8406969508400745E-2</v>
      </c>
      <c r="AA190" s="158">
        <f t="shared" si="110"/>
        <v>0.12414436838830119</v>
      </c>
      <c r="AB190" s="158">
        <f t="shared" si="111"/>
        <v>4.0510267579340391E-2</v>
      </c>
      <c r="AC190" s="158">
        <f t="shared" si="112"/>
        <v>7.2657125077784684E-2</v>
      </c>
      <c r="AD190" s="135"/>
      <c r="AE190" s="135"/>
      <c r="AF190" s="189">
        <v>2022</v>
      </c>
      <c r="AG190" s="189" t="s">
        <v>625</v>
      </c>
    </row>
    <row r="191" spans="1:33" ht="15.75" customHeight="1" x14ac:dyDescent="0.3">
      <c r="A191" s="74">
        <v>11</v>
      </c>
      <c r="B191" s="75" t="s">
        <v>10</v>
      </c>
      <c r="C191" s="75">
        <v>1736</v>
      </c>
      <c r="D191" s="75" t="s">
        <v>9</v>
      </c>
      <c r="E191" s="75">
        <v>35000153</v>
      </c>
      <c r="F191" s="200">
        <v>24.43</v>
      </c>
      <c r="G191" s="200">
        <v>11.81</v>
      </c>
      <c r="H191" s="200">
        <v>4.2</v>
      </c>
      <c r="I191" s="200">
        <v>7.3</v>
      </c>
      <c r="J191" s="200">
        <v>3.58</v>
      </c>
      <c r="K191" s="200">
        <v>4.16</v>
      </c>
      <c r="L191" s="201">
        <f t="shared" si="100"/>
        <v>55.480000000000004</v>
      </c>
      <c r="M191" s="75" t="s">
        <v>543</v>
      </c>
      <c r="N191" s="58"/>
      <c r="O191" s="135"/>
      <c r="P191" s="156">
        <f t="shared" si="101"/>
        <v>3.493737540159815</v>
      </c>
      <c r="Q191" s="156">
        <f t="shared" si="102"/>
        <v>1.68894966636461</v>
      </c>
      <c r="R191" s="156">
        <f t="shared" si="103"/>
        <v>0.60064255704753278</v>
      </c>
      <c r="S191" s="156">
        <f t="shared" si="104"/>
        <v>1.043973968201664</v>
      </c>
      <c r="T191" s="156">
        <f t="shared" si="105"/>
        <v>0.51197627481670649</v>
      </c>
      <c r="U191" s="156">
        <f t="shared" si="106"/>
        <v>0.59492215174231822</v>
      </c>
      <c r="V191" s="157"/>
      <c r="W191" s="135"/>
      <c r="X191" s="158">
        <f t="shared" si="107"/>
        <v>0.25376047101622706</v>
      </c>
      <c r="Y191" s="158">
        <f t="shared" si="108"/>
        <v>0.1226734000287205</v>
      </c>
      <c r="Z191" s="158">
        <f t="shared" si="109"/>
        <v>4.3626442008520422E-2</v>
      </c>
      <c r="AA191" s="158">
        <f t="shared" si="110"/>
        <v>7.5826911110047385E-2</v>
      </c>
      <c r="AB191" s="158">
        <f t="shared" si="111"/>
        <v>3.7186348188215021E-2</v>
      </c>
      <c r="AC191" s="158">
        <f t="shared" si="112"/>
        <v>4.3210952084629745E-2</v>
      </c>
      <c r="AD191" s="135"/>
      <c r="AE191" s="135"/>
      <c r="AF191" s="189">
        <v>2022</v>
      </c>
      <c r="AG191" s="189" t="s">
        <v>626</v>
      </c>
    </row>
    <row r="192" spans="1:33" ht="15.75" customHeight="1" x14ac:dyDescent="0.3">
      <c r="A192" s="74">
        <v>12</v>
      </c>
      <c r="B192" s="75" t="s">
        <v>11</v>
      </c>
      <c r="C192" s="75">
        <v>1074</v>
      </c>
      <c r="D192" s="75" t="s">
        <v>9</v>
      </c>
      <c r="E192" s="75">
        <v>35000154</v>
      </c>
      <c r="F192" s="200">
        <v>35.32</v>
      </c>
      <c r="G192" s="200">
        <v>13</v>
      </c>
      <c r="H192" s="200">
        <v>7.19</v>
      </c>
      <c r="I192" s="200">
        <v>11.49</v>
      </c>
      <c r="J192" s="200">
        <v>3.7</v>
      </c>
      <c r="K192" s="200">
        <v>7.45</v>
      </c>
      <c r="L192" s="113">
        <f t="shared" si="100"/>
        <v>78.150000000000006</v>
      </c>
      <c r="M192" s="29" t="s">
        <v>543</v>
      </c>
      <c r="N192" s="31"/>
      <c r="O192" s="135"/>
      <c r="P192" s="156">
        <f t="shared" si="101"/>
        <v>3.1249427465194826</v>
      </c>
      <c r="Q192" s="156">
        <f t="shared" si="102"/>
        <v>1.1501771150836149</v>
      </c>
      <c r="R192" s="156">
        <f t="shared" si="103"/>
        <v>0.63613641980393776</v>
      </c>
      <c r="S192" s="156">
        <f t="shared" si="104"/>
        <v>1.0165796194085179</v>
      </c>
      <c r="T192" s="156">
        <f t="shared" si="105"/>
        <v>0.32735810198533655</v>
      </c>
      <c r="U192" s="156">
        <f t="shared" si="106"/>
        <v>0.65913996210560999</v>
      </c>
      <c r="V192" s="157"/>
      <c r="W192" s="135"/>
      <c r="X192" s="158">
        <f t="shared" si="107"/>
        <v>0.22697381647599446</v>
      </c>
      <c r="Y192" s="158">
        <f t="shared" si="108"/>
        <v>8.3540759178593646E-2</v>
      </c>
      <c r="Z192" s="158">
        <f t="shared" si="109"/>
        <v>4.6204466038006799E-2</v>
      </c>
      <c r="AA192" s="158">
        <f t="shared" si="110"/>
        <v>7.3837178689387772E-2</v>
      </c>
      <c r="AB192" s="158">
        <f t="shared" si="111"/>
        <v>2.3776985304676656E-2</v>
      </c>
      <c r="AC192" s="158">
        <f t="shared" si="112"/>
        <v>4.7875281221578671E-2</v>
      </c>
      <c r="AD192" s="135"/>
      <c r="AE192" s="135"/>
      <c r="AF192" s="189">
        <v>2025</v>
      </c>
      <c r="AG192" s="189" t="s">
        <v>627</v>
      </c>
    </row>
    <row r="193" spans="1:33" ht="15.75" customHeight="1" x14ac:dyDescent="0.3">
      <c r="A193" s="74">
        <v>13</v>
      </c>
      <c r="B193" s="75" t="s">
        <v>8</v>
      </c>
      <c r="C193" s="75">
        <v>1523</v>
      </c>
      <c r="D193" s="75" t="s">
        <v>9</v>
      </c>
      <c r="E193" s="75">
        <v>35000155</v>
      </c>
      <c r="F193" s="200">
        <v>32.72</v>
      </c>
      <c r="G193" s="200">
        <v>14.87</v>
      </c>
      <c r="H193" s="200">
        <v>6.48</v>
      </c>
      <c r="I193" s="200">
        <v>11.7</v>
      </c>
      <c r="J193" s="200">
        <v>4.18</v>
      </c>
      <c r="K193" s="200">
        <v>7.3</v>
      </c>
      <c r="L193" s="201">
        <f t="shared" si="100"/>
        <v>77.249999999999986</v>
      </c>
      <c r="M193" s="75" t="s">
        <v>543</v>
      </c>
      <c r="N193" s="58"/>
      <c r="O193" s="135"/>
      <c r="P193" s="156">
        <f t="shared" si="101"/>
        <v>4.1051618749485126</v>
      </c>
      <c r="Q193" s="156">
        <f t="shared" si="102"/>
        <v>1.8656404975698162</v>
      </c>
      <c r="R193" s="156">
        <f t="shared" si="103"/>
        <v>0.81300271851058581</v>
      </c>
      <c r="S193" s="156">
        <f t="shared" si="104"/>
        <v>1.4679215750885575</v>
      </c>
      <c r="T193" s="156">
        <f t="shared" si="105"/>
        <v>0.52443693879232223</v>
      </c>
      <c r="U193" s="156">
        <f t="shared" si="106"/>
        <v>0.91588269214927087</v>
      </c>
      <c r="V193" s="161" t="s">
        <v>518</v>
      </c>
      <c r="W193" s="162" t="s">
        <v>263</v>
      </c>
      <c r="X193" s="158">
        <f t="shared" si="107"/>
        <v>0.29817002536977644</v>
      </c>
      <c r="Y193" s="158">
        <f t="shared" si="108"/>
        <v>0.13550697668852615</v>
      </c>
      <c r="Z193" s="158">
        <f t="shared" si="109"/>
        <v>5.9050787420420282E-2</v>
      </c>
      <c r="AA193" s="158">
        <f t="shared" si="110"/>
        <v>0.10661947728686993</v>
      </c>
      <c r="AB193" s="158">
        <f t="shared" si="111"/>
        <v>3.8091402996505666E-2</v>
      </c>
      <c r="AC193" s="158">
        <f t="shared" si="112"/>
        <v>6.652326360633766E-2</v>
      </c>
      <c r="AD193" s="135"/>
      <c r="AE193" s="135"/>
      <c r="AF193" s="189">
        <v>2025</v>
      </c>
      <c r="AG193" s="189" t="s">
        <v>628</v>
      </c>
    </row>
    <row r="194" spans="1:33" ht="15.75" customHeight="1" x14ac:dyDescent="0.3">
      <c r="A194" s="18"/>
      <c r="B194" s="163" t="s">
        <v>546</v>
      </c>
      <c r="C194" s="191">
        <f>SUM(C181:C193)</f>
        <v>12139</v>
      </c>
      <c r="D194" s="19"/>
      <c r="E194" s="19"/>
      <c r="F194" s="165"/>
      <c r="G194" s="165"/>
      <c r="H194" s="165"/>
      <c r="I194" s="165"/>
      <c r="J194" s="165"/>
      <c r="K194" s="165"/>
      <c r="L194" s="165"/>
      <c r="M194" s="19"/>
      <c r="N194" s="21"/>
      <c r="O194" s="21"/>
      <c r="P194" s="166">
        <f t="shared" ref="P194:U194" si="113">SUM(P181:P193)</f>
        <v>30.063767196638928</v>
      </c>
      <c r="Q194" s="166">
        <f t="shared" si="113"/>
        <v>12.394833182304968</v>
      </c>
      <c r="R194" s="166">
        <f t="shared" si="113"/>
        <v>6.2232589175385131</v>
      </c>
      <c r="S194" s="166">
        <f t="shared" si="113"/>
        <v>10.695801136831697</v>
      </c>
      <c r="T194" s="166">
        <f t="shared" si="113"/>
        <v>3.7887503089216574</v>
      </c>
      <c r="U194" s="166">
        <f t="shared" si="113"/>
        <v>6.5661067633248207</v>
      </c>
      <c r="V194" s="167">
        <f>SUM(P194:U194)</f>
        <v>69.732517505560594</v>
      </c>
      <c r="W194" s="135">
        <f>(P194/45)*100</f>
        <v>66.808371548086512</v>
      </c>
      <c r="X194" s="133"/>
      <c r="Y194" s="133"/>
      <c r="Z194" s="133"/>
      <c r="AA194" s="133"/>
      <c r="AB194" s="133"/>
      <c r="AC194" s="133"/>
      <c r="AD194" s="135"/>
      <c r="AE194" s="135"/>
      <c r="AF194" s="190"/>
      <c r="AG194" s="190"/>
    </row>
    <row r="195" spans="1:33" ht="14.25" customHeight="1" x14ac:dyDescent="0.3">
      <c r="A195" s="48" t="s">
        <v>250</v>
      </c>
      <c r="B195" s="228" t="s">
        <v>251</v>
      </c>
      <c r="C195" s="229"/>
      <c r="D195" s="229"/>
      <c r="E195" s="230"/>
      <c r="F195" s="175"/>
      <c r="G195" s="175"/>
      <c r="H195" s="175"/>
      <c r="I195" s="175"/>
      <c r="J195" s="175"/>
      <c r="K195" s="175"/>
      <c r="L195" s="107">
        <f t="shared" ref="L195:L200" si="114">+SUM(F195:K195)</f>
        <v>0</v>
      </c>
      <c r="M195" s="48"/>
      <c r="N195" s="1"/>
      <c r="O195" s="1"/>
      <c r="P195" s="148"/>
      <c r="Q195" s="148"/>
      <c r="R195" s="148"/>
      <c r="S195" s="148"/>
      <c r="T195" s="148"/>
      <c r="U195" s="202"/>
      <c r="V195" s="148"/>
      <c r="W195" s="1"/>
      <c r="X195" s="149"/>
      <c r="Y195" s="149"/>
      <c r="Z195" s="149"/>
      <c r="AA195" s="149"/>
      <c r="AB195" s="149"/>
      <c r="AC195" s="149"/>
      <c r="AD195" s="1"/>
      <c r="AE195" s="1"/>
      <c r="AF195" s="192"/>
      <c r="AG195" s="192"/>
    </row>
    <row r="196" spans="1:33" ht="15" customHeight="1" x14ac:dyDescent="0.3">
      <c r="A196" s="44">
        <v>1</v>
      </c>
      <c r="B196" s="45" t="s">
        <v>5</v>
      </c>
      <c r="C196" s="45">
        <v>1085</v>
      </c>
      <c r="D196" s="45" t="s">
        <v>6</v>
      </c>
      <c r="E196" s="45">
        <v>35000184</v>
      </c>
      <c r="F196" s="174">
        <v>27.01</v>
      </c>
      <c r="G196" s="174">
        <v>12.95</v>
      </c>
      <c r="H196" s="174">
        <v>5.4</v>
      </c>
      <c r="I196" s="174">
        <v>7.14</v>
      </c>
      <c r="J196" s="174">
        <v>2.7</v>
      </c>
      <c r="K196" s="174">
        <v>5</v>
      </c>
      <c r="L196" s="170">
        <f t="shared" si="114"/>
        <v>60.2</v>
      </c>
      <c r="M196" s="45" t="s">
        <v>547</v>
      </c>
      <c r="N196" s="47"/>
      <c r="O196" s="135"/>
      <c r="P196" s="156">
        <f t="shared" ref="P196:P200" si="115">(F196*C196)/$C$201</f>
        <v>3.4167949166375191</v>
      </c>
      <c r="Q196" s="156">
        <f t="shared" ref="Q196:Q200" si="116">(G196*C196)/$C$201</f>
        <v>1.638189343593331</v>
      </c>
      <c r="R196" s="156">
        <f t="shared" ref="R196:R200" si="117">(H196*C196)/$C$201</f>
        <v>0.68310598111227705</v>
      </c>
      <c r="S196" s="156">
        <f t="shared" ref="S196:S200" si="118">(I196*C196)/$C$201</f>
        <v>0.90321790835956628</v>
      </c>
      <c r="T196" s="156">
        <f t="shared" ref="T196:T200" si="119">(J196*C196)/$C$201</f>
        <v>0.34155299055613852</v>
      </c>
      <c r="U196" s="156">
        <f t="shared" ref="U196:U200" si="120">(K196*C196)/$C$201</f>
        <v>0.63250553806692311</v>
      </c>
      <c r="V196" s="157"/>
      <c r="W196" s="135"/>
      <c r="X196" s="158">
        <f t="shared" ref="X196:X200" si="121">(F196*C196)/$C$202</f>
        <v>0.17534973194198461</v>
      </c>
      <c r="Y196" s="158">
        <f t="shared" ref="Y196:Y200" si="122">(G196*C196)/$C$202</f>
        <v>8.4071789287252882E-2</v>
      </c>
      <c r="Z196" s="158">
        <f t="shared" ref="Z196:Z200" si="123">(H196*C196)/$C$202</f>
        <v>3.5056962328275335E-2</v>
      </c>
      <c r="AA196" s="158">
        <f t="shared" ref="AA196:AA200" si="124">(I196*C196)/$C$202</f>
        <v>4.635309463405294E-2</v>
      </c>
      <c r="AB196" s="158">
        <f t="shared" ref="AB196:AB200" si="125">(J196*C196)/$C$202</f>
        <v>1.7528481164137667E-2</v>
      </c>
      <c r="AC196" s="158">
        <f t="shared" ref="AC196:AC200" si="126">(K196*C196)/$C$202</f>
        <v>3.2460150303958643E-2</v>
      </c>
      <c r="AD196" s="135"/>
      <c r="AE196" s="135"/>
      <c r="AF196" s="189">
        <v>2025</v>
      </c>
      <c r="AG196" s="189" t="s">
        <v>629</v>
      </c>
    </row>
    <row r="197" spans="1:33" ht="15.75" customHeight="1" x14ac:dyDescent="0.3">
      <c r="A197" s="44">
        <v>2</v>
      </c>
      <c r="B197" s="45" t="s">
        <v>7</v>
      </c>
      <c r="C197" s="45">
        <v>1807</v>
      </c>
      <c r="D197" s="45" t="s">
        <v>6</v>
      </c>
      <c r="E197" s="45">
        <v>35000185</v>
      </c>
      <c r="F197" s="174">
        <v>39.49</v>
      </c>
      <c r="G197" s="174">
        <v>12.64</v>
      </c>
      <c r="H197" s="174">
        <v>3.94</v>
      </c>
      <c r="I197" s="174">
        <v>7.46</v>
      </c>
      <c r="J197" s="174">
        <v>2.78</v>
      </c>
      <c r="K197" s="174">
        <v>3.4</v>
      </c>
      <c r="L197" s="170">
        <f t="shared" si="114"/>
        <v>69.710000000000008</v>
      </c>
      <c r="M197" s="45" t="s">
        <v>543</v>
      </c>
      <c r="N197" s="47"/>
      <c r="O197" s="135"/>
      <c r="P197" s="156">
        <f t="shared" si="115"/>
        <v>8.3197423341494705</v>
      </c>
      <c r="Q197" s="156">
        <f t="shared" si="116"/>
        <v>2.662991722047336</v>
      </c>
      <c r="R197" s="156">
        <f t="shared" si="117"/>
        <v>0.83007811589133729</v>
      </c>
      <c r="S197" s="156">
        <f t="shared" si="118"/>
        <v>1.5716707473475573</v>
      </c>
      <c r="T197" s="156">
        <f t="shared" si="119"/>
        <v>0.58568963507053751</v>
      </c>
      <c r="U197" s="156">
        <f t="shared" si="120"/>
        <v>0.71631106447475812</v>
      </c>
      <c r="V197" s="157"/>
      <c r="W197" s="135"/>
      <c r="X197" s="158">
        <f t="shared" si="121"/>
        <v>0.42696873055382706</v>
      </c>
      <c r="Y197" s="158">
        <f t="shared" si="122"/>
        <v>0.13666459240821405</v>
      </c>
      <c r="Z197" s="158">
        <f t="shared" si="123"/>
        <v>4.2599564405724953E-2</v>
      </c>
      <c r="AA197" s="158">
        <f t="shared" si="124"/>
        <v>8.0658058494088358E-2</v>
      </c>
      <c r="AB197" s="158">
        <f t="shared" si="125"/>
        <v>3.0057560672059738E-2</v>
      </c>
      <c r="AC197" s="158">
        <f t="shared" si="126"/>
        <v>3.676104542626011E-2</v>
      </c>
      <c r="AD197" s="135"/>
      <c r="AE197" s="135"/>
      <c r="AF197" s="189">
        <v>2025</v>
      </c>
      <c r="AG197" s="189" t="s">
        <v>597</v>
      </c>
    </row>
    <row r="198" spans="1:33" ht="15.75" customHeight="1" x14ac:dyDescent="0.3">
      <c r="A198" s="44">
        <v>3</v>
      </c>
      <c r="B198" s="45" t="s">
        <v>96</v>
      </c>
      <c r="C198" s="45">
        <v>1799</v>
      </c>
      <c r="D198" s="45" t="s">
        <v>97</v>
      </c>
      <c r="E198" s="45">
        <v>35000186</v>
      </c>
      <c r="F198" s="174">
        <v>19.59</v>
      </c>
      <c r="G198" s="174">
        <v>13.02</v>
      </c>
      <c r="H198" s="174">
        <v>4.68</v>
      </c>
      <c r="I198" s="174">
        <v>10.78</v>
      </c>
      <c r="J198" s="174">
        <v>3.65</v>
      </c>
      <c r="K198" s="174">
        <v>4.16</v>
      </c>
      <c r="L198" s="107">
        <f t="shared" si="114"/>
        <v>55.879999999999995</v>
      </c>
      <c r="M198" s="29" t="s">
        <v>544</v>
      </c>
      <c r="N198" s="31"/>
      <c r="O198" s="135"/>
      <c r="P198" s="156">
        <f t="shared" si="115"/>
        <v>4.1089436866037072</v>
      </c>
      <c r="Q198" s="156">
        <f t="shared" si="116"/>
        <v>2.7309059111577474</v>
      </c>
      <c r="R198" s="156">
        <f t="shared" si="117"/>
        <v>0.98161594963273868</v>
      </c>
      <c r="S198" s="156">
        <f t="shared" si="118"/>
        <v>2.261072636119855</v>
      </c>
      <c r="T198" s="156">
        <f t="shared" si="119"/>
        <v>0.76557654191442226</v>
      </c>
      <c r="U198" s="156">
        <f t="shared" si="120"/>
        <v>0.87254751078465664</v>
      </c>
      <c r="V198" s="157"/>
      <c r="W198" s="135"/>
      <c r="X198" s="158">
        <f t="shared" si="121"/>
        <v>0.21087076970944424</v>
      </c>
      <c r="Y198" s="158">
        <f t="shared" si="122"/>
        <v>0.14014994495237182</v>
      </c>
      <c r="Z198" s="158">
        <f t="shared" si="123"/>
        <v>5.0376477909147475E-2</v>
      </c>
      <c r="AA198" s="158">
        <f t="shared" si="124"/>
        <v>0.11603812646594226</v>
      </c>
      <c r="AB198" s="158">
        <f t="shared" si="125"/>
        <v>3.9289347087262456E-2</v>
      </c>
      <c r="AC198" s="158">
        <f t="shared" si="126"/>
        <v>4.4779091474797764E-2</v>
      </c>
      <c r="AD198" s="135"/>
      <c r="AE198" s="135"/>
      <c r="AF198" s="189">
        <v>2025</v>
      </c>
      <c r="AG198" s="189" t="s">
        <v>630</v>
      </c>
    </row>
    <row r="199" spans="1:33" ht="15.75" customHeight="1" x14ac:dyDescent="0.3">
      <c r="A199" s="44">
        <v>4</v>
      </c>
      <c r="B199" s="45" t="s">
        <v>72</v>
      </c>
      <c r="C199" s="45">
        <v>2462</v>
      </c>
      <c r="D199" s="45" t="s">
        <v>73</v>
      </c>
      <c r="E199" s="45">
        <v>35000187</v>
      </c>
      <c r="F199" s="174">
        <v>33.450000000000003</v>
      </c>
      <c r="G199" s="174">
        <v>11.15</v>
      </c>
      <c r="H199" s="174">
        <v>6.5</v>
      </c>
      <c r="I199" s="174">
        <v>11.2</v>
      </c>
      <c r="J199" s="174">
        <v>3.5</v>
      </c>
      <c r="K199" s="174">
        <v>7</v>
      </c>
      <c r="L199" s="170">
        <f t="shared" si="114"/>
        <v>72.8</v>
      </c>
      <c r="M199" s="45" t="s">
        <v>545</v>
      </c>
      <c r="N199" s="47"/>
      <c r="O199" s="135"/>
      <c r="P199" s="156">
        <f t="shared" si="115"/>
        <v>9.6017138859741173</v>
      </c>
      <c r="Q199" s="156">
        <f t="shared" si="116"/>
        <v>3.2005712953247056</v>
      </c>
      <c r="R199" s="156">
        <f t="shared" si="117"/>
        <v>1.8658038941354786</v>
      </c>
      <c r="S199" s="156">
        <f t="shared" si="118"/>
        <v>3.2149236329719013</v>
      </c>
      <c r="T199" s="156">
        <f t="shared" si="119"/>
        <v>1.0046636353037193</v>
      </c>
      <c r="U199" s="156">
        <f t="shared" si="120"/>
        <v>2.0093272706074385</v>
      </c>
      <c r="V199" s="157"/>
      <c r="W199" s="135"/>
      <c r="X199" s="158">
        <f t="shared" si="121"/>
        <v>0.49275944186491794</v>
      </c>
      <c r="Y199" s="158">
        <f t="shared" si="122"/>
        <v>0.16425314728830598</v>
      </c>
      <c r="Z199" s="158">
        <f t="shared" si="123"/>
        <v>9.575295581829496E-2</v>
      </c>
      <c r="AA199" s="158">
        <f t="shared" si="124"/>
        <v>0.16498970848690822</v>
      </c>
      <c r="AB199" s="158">
        <f t="shared" si="125"/>
        <v>5.1559283902158824E-2</v>
      </c>
      <c r="AC199" s="158">
        <f t="shared" si="126"/>
        <v>0.10311856780431765</v>
      </c>
      <c r="AD199" s="135"/>
      <c r="AE199" s="135"/>
      <c r="AF199" s="189">
        <v>2021</v>
      </c>
      <c r="AG199" s="189" t="s">
        <v>631</v>
      </c>
    </row>
    <row r="200" spans="1:33" ht="15.75" customHeight="1" x14ac:dyDescent="0.3">
      <c r="A200" s="203">
        <v>5</v>
      </c>
      <c r="B200" s="204" t="s">
        <v>100</v>
      </c>
      <c r="C200" s="204">
        <v>1424</v>
      </c>
      <c r="D200" s="204" t="s">
        <v>101</v>
      </c>
      <c r="E200" s="204">
        <v>35000188</v>
      </c>
      <c r="F200" s="174">
        <v>35.369999999999997</v>
      </c>
      <c r="G200" s="174">
        <v>12.62</v>
      </c>
      <c r="H200" s="174">
        <v>4.4000000000000004</v>
      </c>
      <c r="I200" s="174">
        <v>7.46</v>
      </c>
      <c r="J200" s="174">
        <v>3.73</v>
      </c>
      <c r="K200" s="174">
        <v>5.8</v>
      </c>
      <c r="L200" s="170">
        <f t="shared" si="114"/>
        <v>69.38</v>
      </c>
      <c r="M200" s="204" t="s">
        <v>543</v>
      </c>
      <c r="N200" s="47"/>
      <c r="O200" s="135"/>
      <c r="P200" s="156">
        <f t="shared" si="115"/>
        <v>5.8723189926547743</v>
      </c>
      <c r="Q200" s="156">
        <f t="shared" si="116"/>
        <v>2.0952407601725542</v>
      </c>
      <c r="R200" s="156">
        <f t="shared" si="117"/>
        <v>0.73051183397458319</v>
      </c>
      <c r="S200" s="156">
        <f t="shared" si="118"/>
        <v>1.2385496094205433</v>
      </c>
      <c r="T200" s="156">
        <f t="shared" si="119"/>
        <v>0.61927480471027163</v>
      </c>
      <c r="U200" s="156">
        <f t="shared" si="120"/>
        <v>0.96294741751195045</v>
      </c>
      <c r="V200" s="161" t="s">
        <v>518</v>
      </c>
      <c r="W200" s="162" t="s">
        <v>263</v>
      </c>
      <c r="X200" s="158">
        <f t="shared" si="121"/>
        <v>0.30136709587860799</v>
      </c>
      <c r="Y200" s="158">
        <f t="shared" si="122"/>
        <v>0.10752764348283948</v>
      </c>
      <c r="Z200" s="158">
        <f t="shared" si="123"/>
        <v>3.7489828155665122E-2</v>
      </c>
      <c r="AA200" s="158">
        <f t="shared" si="124"/>
        <v>6.3562299554832224E-2</v>
      </c>
      <c r="AB200" s="158">
        <f t="shared" si="125"/>
        <v>3.1781149777416112E-2</v>
      </c>
      <c r="AC200" s="158">
        <f t="shared" si="126"/>
        <v>4.9418409841558562E-2</v>
      </c>
      <c r="AD200" s="135"/>
      <c r="AE200" s="135"/>
      <c r="AF200" s="189">
        <v>2025</v>
      </c>
      <c r="AG200" s="189" t="s">
        <v>597</v>
      </c>
    </row>
    <row r="201" spans="1:33" ht="15.75" customHeight="1" x14ac:dyDescent="0.3">
      <c r="A201" s="21"/>
      <c r="B201" s="205" t="s">
        <v>546</v>
      </c>
      <c r="C201" s="206">
        <f>SUM(C196:C200)</f>
        <v>8577</v>
      </c>
      <c r="D201" s="21"/>
      <c r="E201" s="21"/>
      <c r="F201" s="207"/>
      <c r="G201" s="207"/>
      <c r="H201" s="207"/>
      <c r="I201" s="207"/>
      <c r="J201" s="207"/>
      <c r="K201" s="207"/>
      <c r="L201" s="21"/>
      <c r="M201" s="21"/>
      <c r="N201" s="21"/>
      <c r="O201" s="21"/>
      <c r="P201" s="166">
        <f t="shared" ref="P201:U201" si="127">SUM(P196:P200)</f>
        <v>31.319513816019587</v>
      </c>
      <c r="Q201" s="166">
        <f t="shared" si="127"/>
        <v>12.327899032295674</v>
      </c>
      <c r="R201" s="166">
        <f t="shared" si="127"/>
        <v>5.0911157747464149</v>
      </c>
      <c r="S201" s="166">
        <f t="shared" si="127"/>
        <v>9.1894345342194228</v>
      </c>
      <c r="T201" s="166">
        <f t="shared" si="127"/>
        <v>3.3167576075550893</v>
      </c>
      <c r="U201" s="166">
        <f t="shared" si="127"/>
        <v>5.1936388014457266</v>
      </c>
      <c r="V201" s="167">
        <f>SUM(P201:U201)</f>
        <v>66.438359566281918</v>
      </c>
      <c r="W201" s="135">
        <f>(P201/45)*100</f>
        <v>69.59891959115464</v>
      </c>
      <c r="X201" s="208">
        <f t="shared" ref="X201:AC201" si="128">SUM(X7:X200)</f>
        <v>27.886315339141273</v>
      </c>
      <c r="Y201" s="208">
        <f t="shared" si="128"/>
        <v>12.063222559954047</v>
      </c>
      <c r="Z201" s="208">
        <f t="shared" si="128"/>
        <v>6.2643171102388564</v>
      </c>
      <c r="AA201" s="208">
        <f t="shared" si="128"/>
        <v>9.9624959910966489</v>
      </c>
      <c r="AB201" s="208">
        <f t="shared" si="128"/>
        <v>3.5227365252979737</v>
      </c>
      <c r="AC201" s="208">
        <f t="shared" si="128"/>
        <v>6.1306547077688984</v>
      </c>
      <c r="AD201" s="209">
        <f>SUM(X201:AC201)</f>
        <v>65.829742233497697</v>
      </c>
      <c r="AE201" s="210" t="s">
        <v>518</v>
      </c>
      <c r="AF201" s="135"/>
      <c r="AG201" s="135"/>
    </row>
    <row r="202" spans="1:33" ht="15.75" customHeight="1" x14ac:dyDescent="0.3">
      <c r="C202" s="211">
        <f>C42+C63+C75+C96+C137+C164+C179+C194+C201</f>
        <v>167128</v>
      </c>
      <c r="O202" s="135"/>
      <c r="P202" s="157"/>
      <c r="Q202" s="157"/>
      <c r="R202" s="157"/>
      <c r="S202" s="157"/>
      <c r="T202" s="157"/>
      <c r="U202" s="157"/>
      <c r="V202" s="157"/>
      <c r="W202" s="135"/>
      <c r="X202" s="135"/>
      <c r="Y202" s="135"/>
      <c r="Z202" s="135"/>
      <c r="AA202" s="135"/>
      <c r="AB202" s="135"/>
      <c r="AC202" s="135"/>
      <c r="AD202" s="212">
        <f>(X201/45)*100</f>
        <v>61.969589642536164</v>
      </c>
      <c r="AE202" s="213" t="s">
        <v>263</v>
      </c>
      <c r="AF202" s="135"/>
      <c r="AG202" s="135"/>
    </row>
    <row r="203" spans="1:33" ht="15.75" customHeight="1" x14ac:dyDescent="0.3">
      <c r="O203" s="135"/>
      <c r="P203" s="157"/>
      <c r="Q203" s="157"/>
      <c r="R203" s="157"/>
      <c r="S203" s="157"/>
      <c r="T203" s="157"/>
      <c r="U203" s="157"/>
      <c r="V203" s="156"/>
      <c r="W203" s="135"/>
      <c r="X203" s="135">
        <f>X201/45</f>
        <v>0.6196958964253616</v>
      </c>
      <c r="Y203" s="135"/>
      <c r="Z203" s="135"/>
      <c r="AA203" s="135"/>
      <c r="AB203" s="135"/>
      <c r="AC203" s="135"/>
      <c r="AD203" s="135"/>
      <c r="AE203" s="135"/>
      <c r="AF203" s="135"/>
      <c r="AG203" s="135"/>
    </row>
    <row r="204" spans="1:33" ht="15.75" customHeight="1" x14ac:dyDescent="0.3">
      <c r="O204" s="135"/>
      <c r="P204" s="157"/>
      <c r="Q204" s="157"/>
      <c r="R204" s="157"/>
      <c r="S204" s="157"/>
      <c r="T204" s="157"/>
      <c r="U204" s="157"/>
      <c r="V204" s="156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</row>
    <row r="205" spans="1:33" ht="15.75" customHeight="1" x14ac:dyDescent="0.3">
      <c r="O205" s="135"/>
      <c r="P205" s="157"/>
      <c r="Q205" s="157"/>
      <c r="R205" s="157"/>
      <c r="S205" s="157"/>
      <c r="T205" s="157"/>
      <c r="U205" s="157"/>
      <c r="V205" s="157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</row>
    <row r="206" spans="1:33" ht="15.75" customHeight="1" x14ac:dyDescent="0.3">
      <c r="O206" s="135"/>
      <c r="P206" s="157"/>
      <c r="Q206" s="157"/>
      <c r="R206" s="157"/>
      <c r="S206" s="157"/>
      <c r="T206" s="157"/>
      <c r="U206" s="157"/>
      <c r="V206" s="157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</row>
    <row r="207" spans="1:33" ht="15.75" customHeight="1" x14ac:dyDescent="0.3">
      <c r="O207" s="135"/>
      <c r="P207" s="157"/>
      <c r="Q207" s="157"/>
      <c r="R207" s="157"/>
      <c r="S207" s="157"/>
      <c r="T207" s="157"/>
      <c r="U207" s="157"/>
      <c r="V207" s="157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</row>
    <row r="208" spans="1:33" ht="15.75" customHeight="1" x14ac:dyDescent="0.3">
      <c r="O208" s="135"/>
      <c r="P208" s="157"/>
      <c r="Q208" s="157"/>
      <c r="R208" s="157"/>
      <c r="S208" s="157"/>
      <c r="T208" s="157"/>
      <c r="U208" s="157"/>
      <c r="V208" s="157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</row>
    <row r="209" spans="15:33" ht="15.75" customHeight="1" x14ac:dyDescent="0.3">
      <c r="O209" s="135"/>
      <c r="P209" s="157"/>
      <c r="Q209" s="157"/>
      <c r="R209" s="157"/>
      <c r="S209" s="157"/>
      <c r="T209" s="157"/>
      <c r="U209" s="157"/>
      <c r="V209" s="157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</row>
    <row r="210" spans="15:33" ht="15.75" customHeight="1" x14ac:dyDescent="0.3">
      <c r="O210" s="135"/>
      <c r="P210" s="157"/>
      <c r="Q210" s="157"/>
      <c r="R210" s="157"/>
      <c r="S210" s="157"/>
      <c r="T210" s="157"/>
      <c r="U210" s="157"/>
      <c r="V210" s="157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</row>
    <row r="211" spans="15:33" ht="15.75" customHeight="1" x14ac:dyDescent="0.3">
      <c r="O211" s="135"/>
      <c r="P211" s="157"/>
      <c r="Q211" s="157"/>
      <c r="R211" s="157"/>
      <c r="S211" s="157"/>
      <c r="T211" s="157"/>
      <c r="U211" s="157"/>
      <c r="V211" s="157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</row>
    <row r="212" spans="15:33" ht="15.75" customHeight="1" x14ac:dyDescent="0.3">
      <c r="O212" s="135"/>
      <c r="P212" s="157"/>
      <c r="Q212" s="157"/>
      <c r="R212" s="157"/>
      <c r="S212" s="157"/>
      <c r="T212" s="157"/>
      <c r="U212" s="157"/>
      <c r="V212" s="157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</row>
    <row r="213" spans="15:33" ht="15.75" customHeight="1" x14ac:dyDescent="0.3">
      <c r="O213" s="135"/>
      <c r="P213" s="157"/>
      <c r="Q213" s="157"/>
      <c r="R213" s="157"/>
      <c r="S213" s="157"/>
      <c r="T213" s="157"/>
      <c r="U213" s="157"/>
      <c r="V213" s="157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</row>
    <row r="214" spans="15:33" ht="15.75" customHeight="1" x14ac:dyDescent="0.3">
      <c r="O214" s="135"/>
      <c r="P214" s="157"/>
      <c r="Q214" s="157"/>
      <c r="R214" s="157"/>
      <c r="S214" s="157"/>
      <c r="T214" s="157"/>
      <c r="U214" s="157"/>
      <c r="V214" s="157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</row>
    <row r="215" spans="15:33" ht="15.75" customHeight="1" x14ac:dyDescent="0.3">
      <c r="O215" s="135"/>
      <c r="P215" s="157"/>
      <c r="Q215" s="157"/>
      <c r="R215" s="157"/>
      <c r="S215" s="157"/>
      <c r="T215" s="157"/>
      <c r="U215" s="157"/>
      <c r="V215" s="157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</row>
    <row r="216" spans="15:33" ht="15.75" customHeight="1" x14ac:dyDescent="0.3">
      <c r="O216" s="135"/>
      <c r="P216" s="157"/>
      <c r="Q216" s="157"/>
      <c r="R216" s="157"/>
      <c r="S216" s="157"/>
      <c r="T216" s="157"/>
      <c r="U216" s="157"/>
      <c r="V216" s="157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</row>
    <row r="217" spans="15:33" ht="15.75" customHeight="1" x14ac:dyDescent="0.3">
      <c r="O217" s="135"/>
      <c r="P217" s="157"/>
      <c r="Q217" s="157"/>
      <c r="R217" s="157"/>
      <c r="S217" s="157"/>
      <c r="T217" s="157"/>
      <c r="U217" s="157"/>
      <c r="V217" s="157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</row>
    <row r="218" spans="15:33" ht="15.75" customHeight="1" x14ac:dyDescent="0.3">
      <c r="O218" s="135"/>
      <c r="P218" s="157"/>
      <c r="Q218" s="157"/>
      <c r="R218" s="157"/>
      <c r="S218" s="157"/>
      <c r="T218" s="157"/>
      <c r="U218" s="157"/>
      <c r="V218" s="157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</row>
    <row r="219" spans="15:33" ht="15.75" customHeight="1" x14ac:dyDescent="0.3">
      <c r="O219" s="135"/>
      <c r="P219" s="157"/>
      <c r="Q219" s="157"/>
      <c r="R219" s="157"/>
      <c r="S219" s="157"/>
      <c r="T219" s="157"/>
      <c r="U219" s="157"/>
      <c r="V219" s="157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</row>
    <row r="220" spans="15:33" ht="15.75" customHeight="1" x14ac:dyDescent="0.3">
      <c r="O220" s="135"/>
      <c r="P220" s="157"/>
      <c r="Q220" s="157"/>
      <c r="R220" s="157"/>
      <c r="S220" s="157"/>
      <c r="T220" s="157"/>
      <c r="U220" s="157"/>
      <c r="V220" s="157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</row>
    <row r="221" spans="15:33" ht="15.75" customHeight="1" x14ac:dyDescent="0.3">
      <c r="O221" s="135"/>
      <c r="P221" s="157"/>
      <c r="Q221" s="157"/>
      <c r="R221" s="157"/>
      <c r="S221" s="157"/>
      <c r="T221" s="157"/>
      <c r="U221" s="157"/>
      <c r="V221" s="157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</row>
    <row r="222" spans="15:33" ht="15.75" customHeight="1" x14ac:dyDescent="0.3">
      <c r="O222" s="135"/>
      <c r="P222" s="157"/>
      <c r="Q222" s="157"/>
      <c r="R222" s="157"/>
      <c r="S222" s="157"/>
      <c r="T222" s="157"/>
      <c r="U222" s="157"/>
      <c r="V222" s="157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</row>
    <row r="223" spans="15:33" ht="15.75" customHeight="1" x14ac:dyDescent="0.3">
      <c r="O223" s="135"/>
      <c r="P223" s="157"/>
      <c r="Q223" s="157"/>
      <c r="R223" s="157"/>
      <c r="S223" s="157"/>
      <c r="T223" s="157"/>
      <c r="U223" s="157"/>
      <c r="V223" s="157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</row>
    <row r="224" spans="15:33" ht="15.75" customHeight="1" x14ac:dyDescent="0.3">
      <c r="O224" s="135"/>
      <c r="P224" s="157"/>
      <c r="Q224" s="157"/>
      <c r="R224" s="157"/>
      <c r="S224" s="157"/>
      <c r="T224" s="157"/>
      <c r="U224" s="157"/>
      <c r="V224" s="157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</row>
    <row r="225" spans="15:33" ht="15.75" customHeight="1" x14ac:dyDescent="0.3">
      <c r="O225" s="135"/>
      <c r="P225" s="157"/>
      <c r="Q225" s="157"/>
      <c r="R225" s="157"/>
      <c r="S225" s="157"/>
      <c r="T225" s="157"/>
      <c r="U225" s="157"/>
      <c r="V225" s="157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</row>
    <row r="226" spans="15:33" ht="15.75" customHeight="1" x14ac:dyDescent="0.3">
      <c r="O226" s="135"/>
      <c r="P226" s="157"/>
      <c r="Q226" s="157"/>
      <c r="R226" s="157"/>
      <c r="S226" s="157"/>
      <c r="T226" s="157"/>
      <c r="U226" s="157"/>
      <c r="V226" s="157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</row>
    <row r="227" spans="15:33" ht="15.75" customHeight="1" x14ac:dyDescent="0.3">
      <c r="O227" s="135"/>
      <c r="P227" s="157"/>
      <c r="Q227" s="157"/>
      <c r="R227" s="157"/>
      <c r="S227" s="157"/>
      <c r="T227" s="157"/>
      <c r="U227" s="157"/>
      <c r="V227" s="157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</row>
    <row r="228" spans="15:33" ht="15.75" customHeight="1" x14ac:dyDescent="0.3">
      <c r="O228" s="135"/>
      <c r="P228" s="157"/>
      <c r="Q228" s="157"/>
      <c r="R228" s="157"/>
      <c r="S228" s="157"/>
      <c r="T228" s="157"/>
      <c r="U228" s="157"/>
      <c r="V228" s="157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</row>
    <row r="229" spans="15:33" ht="15.75" customHeight="1" x14ac:dyDescent="0.3">
      <c r="O229" s="135"/>
      <c r="P229" s="157"/>
      <c r="Q229" s="157"/>
      <c r="R229" s="157"/>
      <c r="S229" s="157"/>
      <c r="T229" s="157"/>
      <c r="U229" s="157"/>
      <c r="V229" s="157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</row>
    <row r="230" spans="15:33" ht="15.75" customHeight="1" x14ac:dyDescent="0.3">
      <c r="O230" s="135"/>
      <c r="P230" s="157"/>
      <c r="Q230" s="157"/>
      <c r="R230" s="157"/>
      <c r="S230" s="157"/>
      <c r="T230" s="157"/>
      <c r="U230" s="157"/>
      <c r="V230" s="157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</row>
    <row r="231" spans="15:33" ht="15.75" customHeight="1" x14ac:dyDescent="0.3">
      <c r="O231" s="135"/>
      <c r="P231" s="157"/>
      <c r="Q231" s="157"/>
      <c r="R231" s="157"/>
      <c r="S231" s="157"/>
      <c r="T231" s="157"/>
      <c r="U231" s="157"/>
      <c r="V231" s="157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</row>
    <row r="232" spans="15:33" ht="15.75" customHeight="1" x14ac:dyDescent="0.3">
      <c r="O232" s="135"/>
      <c r="P232" s="157"/>
      <c r="Q232" s="157"/>
      <c r="R232" s="157"/>
      <c r="S232" s="157"/>
      <c r="T232" s="157"/>
      <c r="U232" s="157"/>
      <c r="V232" s="157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</row>
    <row r="233" spans="15:33" ht="15.75" customHeight="1" x14ac:dyDescent="0.3">
      <c r="O233" s="135"/>
      <c r="P233" s="157"/>
      <c r="Q233" s="157"/>
      <c r="R233" s="157"/>
      <c r="S233" s="157"/>
      <c r="T233" s="157"/>
      <c r="U233" s="157"/>
      <c r="V233" s="157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</row>
    <row r="234" spans="15:33" ht="15.75" customHeight="1" x14ac:dyDescent="0.3">
      <c r="O234" s="135"/>
      <c r="P234" s="157"/>
      <c r="Q234" s="157"/>
      <c r="R234" s="157"/>
      <c r="S234" s="157"/>
      <c r="T234" s="157"/>
      <c r="U234" s="157"/>
      <c r="V234" s="157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</row>
    <row r="235" spans="15:33" ht="15.75" customHeight="1" x14ac:dyDescent="0.3">
      <c r="O235" s="135"/>
      <c r="P235" s="157"/>
      <c r="Q235" s="157"/>
      <c r="R235" s="157"/>
      <c r="S235" s="157"/>
      <c r="T235" s="157"/>
      <c r="U235" s="157"/>
      <c r="V235" s="157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</row>
    <row r="236" spans="15:33" ht="15.75" customHeight="1" x14ac:dyDescent="0.3">
      <c r="O236" s="135"/>
      <c r="P236" s="157"/>
      <c r="Q236" s="157"/>
      <c r="R236" s="157"/>
      <c r="S236" s="157"/>
      <c r="T236" s="157"/>
      <c r="U236" s="157"/>
      <c r="V236" s="157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</row>
    <row r="237" spans="15:33" ht="15.75" customHeight="1" x14ac:dyDescent="0.3">
      <c r="O237" s="135"/>
      <c r="P237" s="157"/>
      <c r="Q237" s="157"/>
      <c r="R237" s="157"/>
      <c r="S237" s="157"/>
      <c r="T237" s="157"/>
      <c r="U237" s="157"/>
      <c r="V237" s="157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</row>
    <row r="238" spans="15:33" ht="15.75" customHeight="1" x14ac:dyDescent="0.3">
      <c r="O238" s="135"/>
      <c r="P238" s="157"/>
      <c r="Q238" s="157"/>
      <c r="R238" s="157"/>
      <c r="S238" s="157"/>
      <c r="T238" s="157"/>
      <c r="U238" s="157"/>
      <c r="V238" s="157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</row>
    <row r="239" spans="15:33" ht="15.75" customHeight="1" x14ac:dyDescent="0.3">
      <c r="O239" s="135"/>
      <c r="P239" s="157"/>
      <c r="Q239" s="157"/>
      <c r="R239" s="157"/>
      <c r="S239" s="157"/>
      <c r="T239" s="157"/>
      <c r="U239" s="157"/>
      <c r="V239" s="157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</row>
    <row r="240" spans="15:33" ht="15.75" customHeight="1" x14ac:dyDescent="0.3">
      <c r="O240" s="135"/>
      <c r="P240" s="157"/>
      <c r="Q240" s="157"/>
      <c r="R240" s="157"/>
      <c r="S240" s="157"/>
      <c r="T240" s="157"/>
      <c r="U240" s="157"/>
      <c r="V240" s="157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</row>
    <row r="241" spans="15:33" ht="15.75" customHeight="1" x14ac:dyDescent="0.3">
      <c r="O241" s="135"/>
      <c r="P241" s="157"/>
      <c r="Q241" s="157"/>
      <c r="R241" s="157"/>
      <c r="S241" s="157"/>
      <c r="T241" s="157"/>
      <c r="U241" s="157"/>
      <c r="V241" s="157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</row>
    <row r="242" spans="15:33" ht="15.75" customHeight="1" x14ac:dyDescent="0.3">
      <c r="O242" s="135"/>
      <c r="P242" s="157"/>
      <c r="Q242" s="157"/>
      <c r="R242" s="157"/>
      <c r="S242" s="157"/>
      <c r="T242" s="157"/>
      <c r="U242" s="157"/>
      <c r="V242" s="157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</row>
    <row r="243" spans="15:33" ht="15.75" customHeight="1" x14ac:dyDescent="0.3">
      <c r="O243" s="135"/>
      <c r="P243" s="157"/>
      <c r="Q243" s="157"/>
      <c r="R243" s="157"/>
      <c r="S243" s="157"/>
      <c r="T243" s="157"/>
      <c r="U243" s="157"/>
      <c r="V243" s="157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</row>
    <row r="244" spans="15:33" ht="15.75" customHeight="1" x14ac:dyDescent="0.3">
      <c r="O244" s="135"/>
      <c r="P244" s="157"/>
      <c r="Q244" s="157"/>
      <c r="R244" s="157"/>
      <c r="S244" s="157"/>
      <c r="T244" s="157"/>
      <c r="U244" s="157"/>
      <c r="V244" s="157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</row>
    <row r="245" spans="15:33" ht="15.75" customHeight="1" x14ac:dyDescent="0.3">
      <c r="O245" s="135"/>
      <c r="P245" s="157"/>
      <c r="Q245" s="157"/>
      <c r="R245" s="157"/>
      <c r="S245" s="157"/>
      <c r="T245" s="157"/>
      <c r="U245" s="157"/>
      <c r="V245" s="157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</row>
    <row r="246" spans="15:33" ht="15.75" customHeight="1" x14ac:dyDescent="0.3">
      <c r="O246" s="135"/>
      <c r="P246" s="157"/>
      <c r="Q246" s="157"/>
      <c r="R246" s="157"/>
      <c r="S246" s="157"/>
      <c r="T246" s="157"/>
      <c r="U246" s="157"/>
      <c r="V246" s="157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</row>
    <row r="247" spans="15:33" ht="15.75" customHeight="1" x14ac:dyDescent="0.3">
      <c r="O247" s="135"/>
      <c r="P247" s="157"/>
      <c r="Q247" s="157"/>
      <c r="R247" s="157"/>
      <c r="S247" s="157"/>
      <c r="T247" s="157"/>
      <c r="U247" s="157"/>
      <c r="V247" s="157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</row>
    <row r="248" spans="15:33" ht="15.75" customHeight="1" x14ac:dyDescent="0.3">
      <c r="O248" s="135"/>
      <c r="P248" s="157"/>
      <c r="Q248" s="157"/>
      <c r="R248" s="157"/>
      <c r="S248" s="157"/>
      <c r="T248" s="157"/>
      <c r="U248" s="157"/>
      <c r="V248" s="157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</row>
    <row r="249" spans="15:33" ht="15.75" customHeight="1" x14ac:dyDescent="0.3">
      <c r="O249" s="135"/>
      <c r="P249" s="157"/>
      <c r="Q249" s="157"/>
      <c r="R249" s="157"/>
      <c r="S249" s="157"/>
      <c r="T249" s="157"/>
      <c r="U249" s="157"/>
      <c r="V249" s="157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</row>
    <row r="250" spans="15:33" ht="15.75" customHeight="1" x14ac:dyDescent="0.3">
      <c r="O250" s="135"/>
      <c r="P250" s="157"/>
      <c r="Q250" s="157"/>
      <c r="R250" s="157"/>
      <c r="S250" s="157"/>
      <c r="T250" s="157"/>
      <c r="U250" s="157"/>
      <c r="V250" s="157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</row>
    <row r="251" spans="15:33" ht="15.75" customHeight="1" x14ac:dyDescent="0.3">
      <c r="O251" s="135"/>
      <c r="P251" s="157"/>
      <c r="Q251" s="157"/>
      <c r="R251" s="157"/>
      <c r="S251" s="157"/>
      <c r="T251" s="157"/>
      <c r="U251" s="157"/>
      <c r="V251" s="157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</row>
    <row r="252" spans="15:33" ht="15.75" customHeight="1" x14ac:dyDescent="0.3">
      <c r="O252" s="135"/>
      <c r="P252" s="157"/>
      <c r="Q252" s="157"/>
      <c r="R252" s="157"/>
      <c r="S252" s="157"/>
      <c r="T252" s="157"/>
      <c r="U252" s="157"/>
      <c r="V252" s="157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</row>
    <row r="253" spans="15:33" ht="15.75" customHeight="1" x14ac:dyDescent="0.3">
      <c r="O253" s="135"/>
      <c r="P253" s="157"/>
      <c r="Q253" s="157"/>
      <c r="R253" s="157"/>
      <c r="S253" s="157"/>
      <c r="T253" s="157"/>
      <c r="U253" s="157"/>
      <c r="V253" s="157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</row>
    <row r="254" spans="15:33" ht="15.75" customHeight="1" x14ac:dyDescent="0.3">
      <c r="O254" s="135"/>
      <c r="P254" s="157"/>
      <c r="Q254" s="157"/>
      <c r="R254" s="157"/>
      <c r="S254" s="157"/>
      <c r="T254" s="157"/>
      <c r="U254" s="157"/>
      <c r="V254" s="157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</row>
    <row r="255" spans="15:33" ht="15.75" customHeight="1" x14ac:dyDescent="0.3">
      <c r="O255" s="135"/>
      <c r="P255" s="157"/>
      <c r="Q255" s="157"/>
      <c r="R255" s="157"/>
      <c r="S255" s="157"/>
      <c r="T255" s="157"/>
      <c r="U255" s="157"/>
      <c r="V255" s="157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</row>
    <row r="256" spans="15:33" ht="15.75" customHeight="1" x14ac:dyDescent="0.3">
      <c r="O256" s="135"/>
      <c r="P256" s="157"/>
      <c r="Q256" s="157"/>
      <c r="R256" s="157"/>
      <c r="S256" s="157"/>
      <c r="T256" s="157"/>
      <c r="U256" s="157"/>
      <c r="V256" s="157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</row>
    <row r="257" spans="15:33" ht="15.75" customHeight="1" x14ac:dyDescent="0.3">
      <c r="O257" s="135"/>
      <c r="P257" s="157"/>
      <c r="Q257" s="157"/>
      <c r="R257" s="157"/>
      <c r="S257" s="157"/>
      <c r="T257" s="157"/>
      <c r="U257" s="157"/>
      <c r="V257" s="157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</row>
    <row r="258" spans="15:33" ht="15.75" customHeight="1" x14ac:dyDescent="0.3">
      <c r="O258" s="135"/>
      <c r="P258" s="157"/>
      <c r="Q258" s="157"/>
      <c r="R258" s="157"/>
      <c r="S258" s="157"/>
      <c r="T258" s="157"/>
      <c r="U258" s="157"/>
      <c r="V258" s="157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</row>
    <row r="259" spans="15:33" ht="15.75" customHeight="1" x14ac:dyDescent="0.3">
      <c r="O259" s="135"/>
      <c r="P259" s="157"/>
      <c r="Q259" s="157"/>
      <c r="R259" s="157"/>
      <c r="S259" s="157"/>
      <c r="T259" s="157"/>
      <c r="U259" s="157"/>
      <c r="V259" s="157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</row>
    <row r="260" spans="15:33" ht="15.75" customHeight="1" x14ac:dyDescent="0.3">
      <c r="O260" s="135"/>
      <c r="P260" s="157"/>
      <c r="Q260" s="157"/>
      <c r="R260" s="157"/>
      <c r="S260" s="157"/>
      <c r="T260" s="157"/>
      <c r="U260" s="157"/>
      <c r="V260" s="157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</row>
    <row r="261" spans="15:33" ht="15.75" customHeight="1" x14ac:dyDescent="0.3">
      <c r="O261" s="135"/>
      <c r="P261" s="157"/>
      <c r="Q261" s="157"/>
      <c r="R261" s="157"/>
      <c r="S261" s="157"/>
      <c r="T261" s="157"/>
      <c r="U261" s="157"/>
      <c r="V261" s="157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</row>
    <row r="262" spans="15:33" ht="15.75" customHeight="1" x14ac:dyDescent="0.3">
      <c r="O262" s="135"/>
      <c r="P262" s="157"/>
      <c r="Q262" s="157"/>
      <c r="R262" s="157"/>
      <c r="S262" s="157"/>
      <c r="T262" s="157"/>
      <c r="U262" s="157"/>
      <c r="V262" s="157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</row>
    <row r="263" spans="15:33" ht="15.75" customHeight="1" x14ac:dyDescent="0.3">
      <c r="O263" s="135"/>
      <c r="P263" s="157"/>
      <c r="Q263" s="157"/>
      <c r="R263" s="157"/>
      <c r="S263" s="157"/>
      <c r="T263" s="157"/>
      <c r="U263" s="157"/>
      <c r="V263" s="157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</row>
    <row r="264" spans="15:33" ht="15.75" customHeight="1" x14ac:dyDescent="0.3">
      <c r="O264" s="135"/>
      <c r="P264" s="157"/>
      <c r="Q264" s="157"/>
      <c r="R264" s="157"/>
      <c r="S264" s="157"/>
      <c r="T264" s="157"/>
      <c r="U264" s="157"/>
      <c r="V264" s="157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</row>
    <row r="265" spans="15:33" ht="15.75" customHeight="1" x14ac:dyDescent="0.3">
      <c r="O265" s="135"/>
      <c r="P265" s="157"/>
      <c r="Q265" s="157"/>
      <c r="R265" s="157"/>
      <c r="S265" s="157"/>
      <c r="T265" s="157"/>
      <c r="U265" s="157"/>
      <c r="V265" s="157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</row>
    <row r="266" spans="15:33" ht="15.75" customHeight="1" x14ac:dyDescent="0.3">
      <c r="O266" s="135"/>
      <c r="P266" s="157"/>
      <c r="Q266" s="157"/>
      <c r="R266" s="157"/>
      <c r="S266" s="157"/>
      <c r="T266" s="157"/>
      <c r="U266" s="157"/>
      <c r="V266" s="157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</row>
    <row r="267" spans="15:33" ht="15.75" customHeight="1" x14ac:dyDescent="0.3">
      <c r="O267" s="135"/>
      <c r="P267" s="157"/>
      <c r="Q267" s="157"/>
      <c r="R267" s="157"/>
      <c r="S267" s="157"/>
      <c r="T267" s="157"/>
      <c r="U267" s="157"/>
      <c r="V267" s="157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</row>
    <row r="268" spans="15:33" ht="15.75" customHeight="1" x14ac:dyDescent="0.3">
      <c r="O268" s="135"/>
      <c r="P268" s="157"/>
      <c r="Q268" s="157"/>
      <c r="R268" s="157"/>
      <c r="S268" s="157"/>
      <c r="T268" s="157"/>
      <c r="U268" s="157"/>
      <c r="V268" s="157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</row>
    <row r="269" spans="15:33" ht="15.75" customHeight="1" x14ac:dyDescent="0.3">
      <c r="O269" s="135"/>
      <c r="P269" s="157"/>
      <c r="Q269" s="157"/>
      <c r="R269" s="157"/>
      <c r="S269" s="157"/>
      <c r="T269" s="157"/>
      <c r="U269" s="157"/>
      <c r="V269" s="157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</row>
    <row r="270" spans="15:33" ht="15.75" customHeight="1" x14ac:dyDescent="0.3">
      <c r="O270" s="135"/>
      <c r="P270" s="157"/>
      <c r="Q270" s="157"/>
      <c r="R270" s="157"/>
      <c r="S270" s="157"/>
      <c r="T270" s="157"/>
      <c r="U270" s="157"/>
      <c r="V270" s="157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</row>
    <row r="271" spans="15:33" ht="15.75" customHeight="1" x14ac:dyDescent="0.3">
      <c r="O271" s="135"/>
      <c r="P271" s="157"/>
      <c r="Q271" s="157"/>
      <c r="R271" s="157"/>
      <c r="S271" s="157"/>
      <c r="T271" s="157"/>
      <c r="U271" s="157"/>
      <c r="V271" s="157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</row>
    <row r="272" spans="15:33" ht="15.75" customHeight="1" x14ac:dyDescent="0.3">
      <c r="O272" s="135"/>
      <c r="P272" s="157"/>
      <c r="Q272" s="157"/>
      <c r="R272" s="157"/>
      <c r="S272" s="157"/>
      <c r="T272" s="157"/>
      <c r="U272" s="157"/>
      <c r="V272" s="157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</row>
    <row r="273" spans="15:33" ht="15.75" customHeight="1" x14ac:dyDescent="0.3">
      <c r="O273" s="135"/>
      <c r="P273" s="157"/>
      <c r="Q273" s="157"/>
      <c r="R273" s="157"/>
      <c r="S273" s="157"/>
      <c r="T273" s="157"/>
      <c r="U273" s="157"/>
      <c r="V273" s="157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</row>
    <row r="274" spans="15:33" ht="15.75" customHeight="1" x14ac:dyDescent="0.3">
      <c r="O274" s="135"/>
      <c r="P274" s="157"/>
      <c r="Q274" s="157"/>
      <c r="R274" s="157"/>
      <c r="S274" s="157"/>
      <c r="T274" s="157"/>
      <c r="U274" s="157"/>
      <c r="V274" s="157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</row>
    <row r="275" spans="15:33" ht="15.75" customHeight="1" x14ac:dyDescent="0.3">
      <c r="O275" s="135"/>
      <c r="P275" s="157"/>
      <c r="Q275" s="157"/>
      <c r="R275" s="157"/>
      <c r="S275" s="157"/>
      <c r="T275" s="157"/>
      <c r="U275" s="157"/>
      <c r="V275" s="157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</row>
    <row r="276" spans="15:33" ht="15.75" customHeight="1" x14ac:dyDescent="0.3">
      <c r="O276" s="135"/>
      <c r="P276" s="157"/>
      <c r="Q276" s="157"/>
      <c r="R276" s="157"/>
      <c r="S276" s="157"/>
      <c r="T276" s="157"/>
      <c r="U276" s="157"/>
      <c r="V276" s="157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</row>
    <row r="277" spans="15:33" ht="15.75" customHeight="1" x14ac:dyDescent="0.3">
      <c r="O277" s="135"/>
      <c r="P277" s="157"/>
      <c r="Q277" s="157"/>
      <c r="R277" s="157"/>
      <c r="S277" s="157"/>
      <c r="T277" s="157"/>
      <c r="U277" s="157"/>
      <c r="V277" s="157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</row>
    <row r="278" spans="15:33" ht="15.75" customHeight="1" x14ac:dyDescent="0.3">
      <c r="O278" s="135"/>
      <c r="P278" s="157"/>
      <c r="Q278" s="157"/>
      <c r="R278" s="157"/>
      <c r="S278" s="157"/>
      <c r="T278" s="157"/>
      <c r="U278" s="157"/>
      <c r="V278" s="157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</row>
    <row r="279" spans="15:33" ht="15.75" customHeight="1" x14ac:dyDescent="0.3">
      <c r="O279" s="135"/>
      <c r="P279" s="157"/>
      <c r="Q279" s="157"/>
      <c r="R279" s="157"/>
      <c r="S279" s="157"/>
      <c r="T279" s="157"/>
      <c r="U279" s="157"/>
      <c r="V279" s="157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</row>
    <row r="280" spans="15:33" ht="15.75" customHeight="1" x14ac:dyDescent="0.3">
      <c r="O280" s="135"/>
      <c r="P280" s="157"/>
      <c r="Q280" s="157"/>
      <c r="R280" s="157"/>
      <c r="S280" s="157"/>
      <c r="T280" s="157"/>
      <c r="U280" s="157"/>
      <c r="V280" s="157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</row>
    <row r="281" spans="15:33" ht="15.75" customHeight="1" x14ac:dyDescent="0.3">
      <c r="O281" s="135"/>
      <c r="P281" s="157"/>
      <c r="Q281" s="157"/>
      <c r="R281" s="157"/>
      <c r="S281" s="157"/>
      <c r="T281" s="157"/>
      <c r="U281" s="157"/>
      <c r="V281" s="157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</row>
    <row r="282" spans="15:33" ht="15.75" customHeight="1" x14ac:dyDescent="0.3">
      <c r="O282" s="135"/>
      <c r="P282" s="157"/>
      <c r="Q282" s="157"/>
      <c r="R282" s="157"/>
      <c r="S282" s="157"/>
      <c r="T282" s="157"/>
      <c r="U282" s="157"/>
      <c r="V282" s="157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</row>
    <row r="283" spans="15:33" ht="15.75" customHeight="1" x14ac:dyDescent="0.3">
      <c r="O283" s="135"/>
      <c r="P283" s="157"/>
      <c r="Q283" s="157"/>
      <c r="R283" s="157"/>
      <c r="S283" s="157"/>
      <c r="T283" s="157"/>
      <c r="U283" s="157"/>
      <c r="V283" s="157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</row>
    <row r="284" spans="15:33" ht="15.75" customHeight="1" x14ac:dyDescent="0.3">
      <c r="O284" s="135"/>
      <c r="P284" s="157"/>
      <c r="Q284" s="157"/>
      <c r="R284" s="157"/>
      <c r="S284" s="157"/>
      <c r="T284" s="157"/>
      <c r="U284" s="157"/>
      <c r="V284" s="157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</row>
    <row r="285" spans="15:33" ht="15.75" customHeight="1" x14ac:dyDescent="0.3">
      <c r="O285" s="135"/>
      <c r="P285" s="157"/>
      <c r="Q285" s="157"/>
      <c r="R285" s="157"/>
      <c r="S285" s="157"/>
      <c r="T285" s="157"/>
      <c r="U285" s="157"/>
      <c r="V285" s="157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</row>
    <row r="286" spans="15:33" ht="15.75" customHeight="1" x14ac:dyDescent="0.3">
      <c r="O286" s="135"/>
      <c r="P286" s="157"/>
      <c r="Q286" s="157"/>
      <c r="R286" s="157"/>
      <c r="S286" s="157"/>
      <c r="T286" s="157"/>
      <c r="U286" s="157"/>
      <c r="V286" s="157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</row>
    <row r="287" spans="15:33" ht="15.75" customHeight="1" x14ac:dyDescent="0.3">
      <c r="O287" s="135"/>
      <c r="P287" s="157"/>
      <c r="Q287" s="157"/>
      <c r="R287" s="157"/>
      <c r="S287" s="157"/>
      <c r="T287" s="157"/>
      <c r="U287" s="157"/>
      <c r="V287" s="157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</row>
    <row r="288" spans="15:33" ht="15.75" customHeight="1" x14ac:dyDescent="0.3">
      <c r="O288" s="135"/>
      <c r="P288" s="157"/>
      <c r="Q288" s="157"/>
      <c r="R288" s="157"/>
      <c r="S288" s="157"/>
      <c r="T288" s="157"/>
      <c r="U288" s="157"/>
      <c r="V288" s="157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</row>
    <row r="289" spans="15:33" ht="15.75" customHeight="1" x14ac:dyDescent="0.3">
      <c r="O289" s="135"/>
      <c r="P289" s="157"/>
      <c r="Q289" s="157"/>
      <c r="R289" s="157"/>
      <c r="S289" s="157"/>
      <c r="T289" s="157"/>
      <c r="U289" s="157"/>
      <c r="V289" s="157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</row>
    <row r="290" spans="15:33" ht="15.75" customHeight="1" x14ac:dyDescent="0.3">
      <c r="O290" s="135"/>
      <c r="P290" s="157"/>
      <c r="Q290" s="157"/>
      <c r="R290" s="157"/>
      <c r="S290" s="157"/>
      <c r="T290" s="157"/>
      <c r="U290" s="157"/>
      <c r="V290" s="157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</row>
    <row r="291" spans="15:33" ht="15.75" customHeight="1" x14ac:dyDescent="0.3">
      <c r="O291" s="135"/>
      <c r="P291" s="157"/>
      <c r="Q291" s="157"/>
      <c r="R291" s="157"/>
      <c r="S291" s="157"/>
      <c r="T291" s="157"/>
      <c r="U291" s="157"/>
      <c r="V291" s="157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</row>
    <row r="292" spans="15:33" ht="15.75" customHeight="1" x14ac:dyDescent="0.3">
      <c r="O292" s="135"/>
      <c r="P292" s="157"/>
      <c r="Q292" s="157"/>
      <c r="R292" s="157"/>
      <c r="S292" s="157"/>
      <c r="T292" s="157"/>
      <c r="U292" s="157"/>
      <c r="V292" s="157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</row>
    <row r="293" spans="15:33" ht="15.75" customHeight="1" x14ac:dyDescent="0.3">
      <c r="O293" s="135"/>
      <c r="P293" s="157"/>
      <c r="Q293" s="157"/>
      <c r="R293" s="157"/>
      <c r="S293" s="157"/>
      <c r="T293" s="157"/>
      <c r="U293" s="157"/>
      <c r="V293" s="157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</row>
    <row r="294" spans="15:33" ht="15.75" customHeight="1" x14ac:dyDescent="0.3">
      <c r="O294" s="135"/>
      <c r="P294" s="157"/>
      <c r="Q294" s="157"/>
      <c r="R294" s="157"/>
      <c r="S294" s="157"/>
      <c r="T294" s="157"/>
      <c r="U294" s="157"/>
      <c r="V294" s="157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</row>
    <row r="295" spans="15:33" ht="15.75" customHeight="1" x14ac:dyDescent="0.3">
      <c r="O295" s="135"/>
      <c r="P295" s="157"/>
      <c r="Q295" s="157"/>
      <c r="R295" s="157"/>
      <c r="S295" s="157"/>
      <c r="T295" s="157"/>
      <c r="U295" s="157"/>
      <c r="V295" s="157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</row>
    <row r="296" spans="15:33" ht="15.75" customHeight="1" x14ac:dyDescent="0.3">
      <c r="O296" s="135"/>
      <c r="P296" s="157"/>
      <c r="Q296" s="157"/>
      <c r="R296" s="157"/>
      <c r="S296" s="157"/>
      <c r="T296" s="157"/>
      <c r="U296" s="157"/>
      <c r="V296" s="157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</row>
    <row r="297" spans="15:33" ht="15.75" customHeight="1" x14ac:dyDescent="0.3">
      <c r="O297" s="135"/>
      <c r="P297" s="157"/>
      <c r="Q297" s="157"/>
      <c r="R297" s="157"/>
      <c r="S297" s="157"/>
      <c r="T297" s="157"/>
      <c r="U297" s="157"/>
      <c r="V297" s="157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</row>
    <row r="298" spans="15:33" ht="15.75" customHeight="1" x14ac:dyDescent="0.3">
      <c r="O298" s="135"/>
      <c r="P298" s="157"/>
      <c r="Q298" s="157"/>
      <c r="R298" s="157"/>
      <c r="S298" s="157"/>
      <c r="T298" s="157"/>
      <c r="U298" s="157"/>
      <c r="V298" s="157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</row>
    <row r="299" spans="15:33" ht="15.75" customHeight="1" x14ac:dyDescent="0.3">
      <c r="O299" s="135"/>
      <c r="P299" s="157"/>
      <c r="Q299" s="157"/>
      <c r="R299" s="157"/>
      <c r="S299" s="157"/>
      <c r="T299" s="157"/>
      <c r="U299" s="157"/>
      <c r="V299" s="157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</row>
    <row r="300" spans="15:33" ht="15.75" customHeight="1" x14ac:dyDescent="0.3">
      <c r="O300" s="135"/>
      <c r="P300" s="157"/>
      <c r="Q300" s="157"/>
      <c r="R300" s="157"/>
      <c r="S300" s="157"/>
      <c r="T300" s="157"/>
      <c r="U300" s="157"/>
      <c r="V300" s="157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</row>
    <row r="301" spans="15:33" ht="15.75" customHeight="1" x14ac:dyDescent="0.3">
      <c r="O301" s="135"/>
      <c r="P301" s="157"/>
      <c r="Q301" s="157"/>
      <c r="R301" s="157"/>
      <c r="S301" s="157"/>
      <c r="T301" s="157"/>
      <c r="U301" s="157"/>
      <c r="V301" s="157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</row>
    <row r="302" spans="15:33" ht="15.75" customHeight="1" x14ac:dyDescent="0.3">
      <c r="O302" s="135"/>
      <c r="P302" s="157"/>
      <c r="Q302" s="157"/>
      <c r="R302" s="157"/>
      <c r="S302" s="157"/>
      <c r="T302" s="157"/>
      <c r="U302" s="157"/>
      <c r="V302" s="157"/>
      <c r="W302" s="135"/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</row>
    <row r="303" spans="15:33" ht="15.75" customHeight="1" x14ac:dyDescent="0.3">
      <c r="O303" s="135"/>
      <c r="P303" s="157"/>
      <c r="Q303" s="157"/>
      <c r="R303" s="157"/>
      <c r="S303" s="157"/>
      <c r="T303" s="157"/>
      <c r="U303" s="157"/>
      <c r="V303" s="157"/>
      <c r="W303" s="135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</row>
    <row r="304" spans="15:33" ht="15.75" customHeight="1" x14ac:dyDescent="0.3">
      <c r="O304" s="135"/>
      <c r="P304" s="157"/>
      <c r="Q304" s="157"/>
      <c r="R304" s="157"/>
      <c r="S304" s="157"/>
      <c r="T304" s="157"/>
      <c r="U304" s="157"/>
      <c r="V304" s="157"/>
      <c r="W304" s="135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</row>
    <row r="305" spans="15:33" ht="15.75" customHeight="1" x14ac:dyDescent="0.3">
      <c r="O305" s="135"/>
      <c r="P305" s="157"/>
      <c r="Q305" s="157"/>
      <c r="R305" s="157"/>
      <c r="S305" s="157"/>
      <c r="T305" s="157"/>
      <c r="U305" s="157"/>
      <c r="V305" s="157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</row>
    <row r="306" spans="15:33" ht="15.75" customHeight="1" x14ac:dyDescent="0.3">
      <c r="O306" s="135"/>
      <c r="P306" s="157"/>
      <c r="Q306" s="157"/>
      <c r="R306" s="157"/>
      <c r="S306" s="157"/>
      <c r="T306" s="157"/>
      <c r="U306" s="157"/>
      <c r="V306" s="157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</row>
    <row r="307" spans="15:33" ht="15.75" customHeight="1" x14ac:dyDescent="0.3">
      <c r="O307" s="135"/>
      <c r="P307" s="157"/>
      <c r="Q307" s="157"/>
      <c r="R307" s="157"/>
      <c r="S307" s="157"/>
      <c r="T307" s="157"/>
      <c r="U307" s="157"/>
      <c r="V307" s="157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</row>
    <row r="308" spans="15:33" ht="15.75" customHeight="1" x14ac:dyDescent="0.3">
      <c r="O308" s="135"/>
      <c r="P308" s="157"/>
      <c r="Q308" s="157"/>
      <c r="R308" s="157"/>
      <c r="S308" s="157"/>
      <c r="T308" s="157"/>
      <c r="U308" s="157"/>
      <c r="V308" s="157"/>
      <c r="W308" s="135"/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</row>
    <row r="309" spans="15:33" ht="15.75" customHeight="1" x14ac:dyDescent="0.3">
      <c r="O309" s="135"/>
      <c r="P309" s="157"/>
      <c r="Q309" s="157"/>
      <c r="R309" s="157"/>
      <c r="S309" s="157"/>
      <c r="T309" s="157"/>
      <c r="U309" s="157"/>
      <c r="V309" s="157"/>
      <c r="W309" s="135"/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</row>
    <row r="310" spans="15:33" ht="15.75" customHeight="1" x14ac:dyDescent="0.3">
      <c r="O310" s="135"/>
      <c r="P310" s="157"/>
      <c r="Q310" s="157"/>
      <c r="R310" s="157"/>
      <c r="S310" s="157"/>
      <c r="T310" s="157"/>
      <c r="U310" s="157"/>
      <c r="V310" s="157"/>
      <c r="W310" s="135"/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</row>
    <row r="311" spans="15:33" ht="15.75" customHeight="1" x14ac:dyDescent="0.3">
      <c r="O311" s="135"/>
      <c r="P311" s="157"/>
      <c r="Q311" s="157"/>
      <c r="R311" s="157"/>
      <c r="S311" s="157"/>
      <c r="T311" s="157"/>
      <c r="U311" s="157"/>
      <c r="V311" s="157"/>
      <c r="W311" s="135"/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</row>
    <row r="312" spans="15:33" ht="15.75" customHeight="1" x14ac:dyDescent="0.3">
      <c r="O312" s="135"/>
      <c r="P312" s="157"/>
      <c r="Q312" s="157"/>
      <c r="R312" s="157"/>
      <c r="S312" s="157"/>
      <c r="T312" s="157"/>
      <c r="U312" s="157"/>
      <c r="V312" s="157"/>
      <c r="W312" s="135"/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</row>
    <row r="313" spans="15:33" ht="15.75" customHeight="1" x14ac:dyDescent="0.3">
      <c r="O313" s="135"/>
      <c r="P313" s="157"/>
      <c r="Q313" s="157"/>
      <c r="R313" s="157"/>
      <c r="S313" s="157"/>
      <c r="T313" s="157"/>
      <c r="U313" s="157"/>
      <c r="V313" s="157"/>
      <c r="W313" s="135"/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</row>
    <row r="314" spans="15:33" ht="15.75" customHeight="1" x14ac:dyDescent="0.3">
      <c r="O314" s="135"/>
      <c r="P314" s="157"/>
      <c r="Q314" s="157"/>
      <c r="R314" s="157"/>
      <c r="S314" s="157"/>
      <c r="T314" s="157"/>
      <c r="U314" s="157"/>
      <c r="V314" s="157"/>
      <c r="W314" s="135"/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</row>
    <row r="315" spans="15:33" ht="15.75" customHeight="1" x14ac:dyDescent="0.3">
      <c r="O315" s="135"/>
      <c r="P315" s="157"/>
      <c r="Q315" s="157"/>
      <c r="R315" s="157"/>
      <c r="S315" s="157"/>
      <c r="T315" s="157"/>
      <c r="U315" s="157"/>
      <c r="V315" s="157"/>
      <c r="W315" s="135"/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</row>
    <row r="316" spans="15:33" ht="15.75" customHeight="1" x14ac:dyDescent="0.3">
      <c r="O316" s="135"/>
      <c r="P316" s="157"/>
      <c r="Q316" s="157"/>
      <c r="R316" s="157"/>
      <c r="S316" s="157"/>
      <c r="T316" s="157"/>
      <c r="U316" s="157"/>
      <c r="V316" s="157"/>
      <c r="W316" s="135"/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</row>
    <row r="317" spans="15:33" ht="15.75" customHeight="1" x14ac:dyDescent="0.3">
      <c r="O317" s="135"/>
      <c r="P317" s="157"/>
      <c r="Q317" s="157"/>
      <c r="R317" s="157"/>
      <c r="S317" s="157"/>
      <c r="T317" s="157"/>
      <c r="U317" s="157"/>
      <c r="V317" s="157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</row>
    <row r="318" spans="15:33" ht="15.75" customHeight="1" x14ac:dyDescent="0.3">
      <c r="O318" s="135"/>
      <c r="P318" s="157"/>
      <c r="Q318" s="157"/>
      <c r="R318" s="157"/>
      <c r="S318" s="157"/>
      <c r="T318" s="157"/>
      <c r="U318" s="157"/>
      <c r="V318" s="157"/>
      <c r="W318" s="135"/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</row>
    <row r="319" spans="15:33" ht="15.75" customHeight="1" x14ac:dyDescent="0.3">
      <c r="O319" s="135"/>
      <c r="P319" s="157"/>
      <c r="Q319" s="157"/>
      <c r="R319" s="157"/>
      <c r="S319" s="157"/>
      <c r="T319" s="157"/>
      <c r="U319" s="157"/>
      <c r="V319" s="157"/>
      <c r="W319" s="135"/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</row>
    <row r="320" spans="15:33" ht="15.75" customHeight="1" x14ac:dyDescent="0.3">
      <c r="O320" s="135"/>
      <c r="P320" s="157"/>
      <c r="Q320" s="157"/>
      <c r="R320" s="157"/>
      <c r="S320" s="157"/>
      <c r="T320" s="157"/>
      <c r="U320" s="157"/>
      <c r="V320" s="157"/>
      <c r="W320" s="135"/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</row>
    <row r="321" spans="15:33" ht="15.75" customHeight="1" x14ac:dyDescent="0.3">
      <c r="O321" s="135"/>
      <c r="P321" s="157"/>
      <c r="Q321" s="157"/>
      <c r="R321" s="157"/>
      <c r="S321" s="157"/>
      <c r="T321" s="157"/>
      <c r="U321" s="157"/>
      <c r="V321" s="157"/>
      <c r="W321" s="135"/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</row>
    <row r="322" spans="15:33" ht="15.75" customHeight="1" x14ac:dyDescent="0.3">
      <c r="O322" s="135"/>
      <c r="P322" s="157"/>
      <c r="Q322" s="157"/>
      <c r="R322" s="157"/>
      <c r="S322" s="157"/>
      <c r="T322" s="157"/>
      <c r="U322" s="157"/>
      <c r="V322" s="157"/>
      <c r="W322" s="135"/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</row>
    <row r="323" spans="15:33" ht="15.75" customHeight="1" x14ac:dyDescent="0.3">
      <c r="O323" s="135"/>
      <c r="P323" s="157"/>
      <c r="Q323" s="157"/>
      <c r="R323" s="157"/>
      <c r="S323" s="157"/>
      <c r="T323" s="157"/>
      <c r="U323" s="157"/>
      <c r="V323" s="157"/>
      <c r="W323" s="135"/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</row>
    <row r="324" spans="15:33" ht="15.75" customHeight="1" x14ac:dyDescent="0.3">
      <c r="O324" s="135"/>
      <c r="P324" s="157"/>
      <c r="Q324" s="157"/>
      <c r="R324" s="157"/>
      <c r="S324" s="157"/>
      <c r="T324" s="157"/>
      <c r="U324" s="157"/>
      <c r="V324" s="157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</row>
    <row r="325" spans="15:33" ht="15.75" customHeight="1" x14ac:dyDescent="0.3">
      <c r="O325" s="135"/>
      <c r="P325" s="157"/>
      <c r="Q325" s="157"/>
      <c r="R325" s="157"/>
      <c r="S325" s="157"/>
      <c r="T325" s="157"/>
      <c r="U325" s="157"/>
      <c r="V325" s="157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</row>
    <row r="326" spans="15:33" ht="15.75" customHeight="1" x14ac:dyDescent="0.3">
      <c r="O326" s="135"/>
      <c r="P326" s="157"/>
      <c r="Q326" s="157"/>
      <c r="R326" s="157"/>
      <c r="S326" s="157"/>
      <c r="T326" s="157"/>
      <c r="U326" s="157"/>
      <c r="V326" s="157"/>
      <c r="W326" s="135"/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</row>
    <row r="327" spans="15:33" ht="15.75" customHeight="1" x14ac:dyDescent="0.3">
      <c r="O327" s="135"/>
      <c r="P327" s="157"/>
      <c r="Q327" s="157"/>
      <c r="R327" s="157"/>
      <c r="S327" s="157"/>
      <c r="T327" s="157"/>
      <c r="U327" s="157"/>
      <c r="V327" s="157"/>
      <c r="W327" s="135"/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</row>
    <row r="328" spans="15:33" ht="15.75" customHeight="1" x14ac:dyDescent="0.3">
      <c r="O328" s="135"/>
      <c r="P328" s="157"/>
      <c r="Q328" s="157"/>
      <c r="R328" s="157"/>
      <c r="S328" s="157"/>
      <c r="T328" s="157"/>
      <c r="U328" s="157"/>
      <c r="V328" s="157"/>
      <c r="W328" s="135"/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</row>
    <row r="329" spans="15:33" ht="15.75" customHeight="1" x14ac:dyDescent="0.3">
      <c r="O329" s="135"/>
      <c r="P329" s="157"/>
      <c r="Q329" s="157"/>
      <c r="R329" s="157"/>
      <c r="S329" s="157"/>
      <c r="T329" s="157"/>
      <c r="U329" s="157"/>
      <c r="V329" s="157"/>
      <c r="W329" s="135"/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</row>
    <row r="330" spans="15:33" ht="15.75" customHeight="1" x14ac:dyDescent="0.3">
      <c r="O330" s="135"/>
      <c r="P330" s="157"/>
      <c r="Q330" s="157"/>
      <c r="R330" s="157"/>
      <c r="S330" s="157"/>
      <c r="T330" s="157"/>
      <c r="U330" s="157"/>
      <c r="V330" s="157"/>
      <c r="W330" s="135"/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</row>
    <row r="331" spans="15:33" ht="15.75" customHeight="1" x14ac:dyDescent="0.3">
      <c r="O331" s="135"/>
      <c r="P331" s="157"/>
      <c r="Q331" s="157"/>
      <c r="R331" s="157"/>
      <c r="S331" s="157"/>
      <c r="T331" s="157"/>
      <c r="U331" s="157"/>
      <c r="V331" s="157"/>
      <c r="W331" s="135"/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</row>
    <row r="332" spans="15:33" ht="15.75" customHeight="1" x14ac:dyDescent="0.3">
      <c r="O332" s="135"/>
      <c r="P332" s="157"/>
      <c r="Q332" s="157"/>
      <c r="R332" s="157"/>
      <c r="S332" s="157"/>
      <c r="T332" s="157"/>
      <c r="U332" s="157"/>
      <c r="V332" s="157"/>
      <c r="W332" s="135"/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</row>
    <row r="333" spans="15:33" ht="15.75" customHeight="1" x14ac:dyDescent="0.3">
      <c r="O333" s="135"/>
      <c r="P333" s="157"/>
      <c r="Q333" s="157"/>
      <c r="R333" s="157"/>
      <c r="S333" s="157"/>
      <c r="T333" s="157"/>
      <c r="U333" s="157"/>
      <c r="V333" s="157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</row>
    <row r="334" spans="15:33" ht="15.75" customHeight="1" x14ac:dyDescent="0.3">
      <c r="O334" s="135"/>
      <c r="P334" s="157"/>
      <c r="Q334" s="157"/>
      <c r="R334" s="157"/>
      <c r="S334" s="157"/>
      <c r="T334" s="157"/>
      <c r="U334" s="157"/>
      <c r="V334" s="157"/>
      <c r="W334" s="135"/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</row>
    <row r="335" spans="15:33" ht="15.75" customHeight="1" x14ac:dyDescent="0.3">
      <c r="O335" s="135"/>
      <c r="P335" s="157"/>
      <c r="Q335" s="157"/>
      <c r="R335" s="157"/>
      <c r="S335" s="157"/>
      <c r="T335" s="157"/>
      <c r="U335" s="157"/>
      <c r="V335" s="157"/>
      <c r="W335" s="135"/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</row>
    <row r="336" spans="15:33" ht="15.75" customHeight="1" x14ac:dyDescent="0.3">
      <c r="O336" s="135"/>
      <c r="P336" s="157"/>
      <c r="Q336" s="157"/>
      <c r="R336" s="157"/>
      <c r="S336" s="157"/>
      <c r="T336" s="157"/>
      <c r="U336" s="157"/>
      <c r="V336" s="157"/>
      <c r="W336" s="135"/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</row>
    <row r="337" spans="15:33" ht="15.75" customHeight="1" x14ac:dyDescent="0.3">
      <c r="O337" s="135"/>
      <c r="P337" s="157"/>
      <c r="Q337" s="157"/>
      <c r="R337" s="157"/>
      <c r="S337" s="157"/>
      <c r="T337" s="157"/>
      <c r="U337" s="157"/>
      <c r="V337" s="157"/>
      <c r="W337" s="135"/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</row>
    <row r="338" spans="15:33" ht="15.75" customHeight="1" x14ac:dyDescent="0.3">
      <c r="O338" s="135"/>
      <c r="P338" s="157"/>
      <c r="Q338" s="157"/>
      <c r="R338" s="157"/>
      <c r="S338" s="157"/>
      <c r="T338" s="157"/>
      <c r="U338" s="157"/>
      <c r="V338" s="157"/>
      <c r="W338" s="135"/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</row>
    <row r="339" spans="15:33" ht="15.75" customHeight="1" x14ac:dyDescent="0.3">
      <c r="O339" s="135"/>
      <c r="P339" s="157"/>
      <c r="Q339" s="157"/>
      <c r="R339" s="157"/>
      <c r="S339" s="157"/>
      <c r="T339" s="157"/>
      <c r="U339" s="157"/>
      <c r="V339" s="157"/>
      <c r="W339" s="135"/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</row>
    <row r="340" spans="15:33" ht="15.75" customHeight="1" x14ac:dyDescent="0.3">
      <c r="O340" s="135"/>
      <c r="P340" s="157"/>
      <c r="Q340" s="157"/>
      <c r="R340" s="157"/>
      <c r="S340" s="157"/>
      <c r="T340" s="157"/>
      <c r="U340" s="157"/>
      <c r="V340" s="157"/>
      <c r="W340" s="135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</row>
    <row r="341" spans="15:33" ht="15.75" customHeight="1" x14ac:dyDescent="0.3">
      <c r="O341" s="135"/>
      <c r="P341" s="157"/>
      <c r="Q341" s="157"/>
      <c r="R341" s="157"/>
      <c r="S341" s="157"/>
      <c r="T341" s="157"/>
      <c r="U341" s="157"/>
      <c r="V341" s="157"/>
      <c r="W341" s="135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</row>
    <row r="342" spans="15:33" ht="15.75" customHeight="1" x14ac:dyDescent="0.3">
      <c r="O342" s="135"/>
      <c r="P342" s="157"/>
      <c r="Q342" s="157"/>
      <c r="R342" s="157"/>
      <c r="S342" s="157"/>
      <c r="T342" s="157"/>
      <c r="U342" s="157"/>
      <c r="V342" s="157"/>
      <c r="W342" s="135"/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</row>
    <row r="343" spans="15:33" ht="15.75" customHeight="1" x14ac:dyDescent="0.3">
      <c r="O343" s="135"/>
      <c r="P343" s="157"/>
      <c r="Q343" s="157"/>
      <c r="R343" s="157"/>
      <c r="S343" s="157"/>
      <c r="T343" s="157"/>
      <c r="U343" s="157"/>
      <c r="V343" s="157"/>
      <c r="W343" s="135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</row>
    <row r="344" spans="15:33" ht="15.75" customHeight="1" x14ac:dyDescent="0.3">
      <c r="O344" s="135"/>
      <c r="P344" s="157"/>
      <c r="Q344" s="157"/>
      <c r="R344" s="157"/>
      <c r="S344" s="157"/>
      <c r="T344" s="157"/>
      <c r="U344" s="157"/>
      <c r="V344" s="157"/>
      <c r="W344" s="135"/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</row>
    <row r="345" spans="15:33" ht="15.75" customHeight="1" x14ac:dyDescent="0.3">
      <c r="O345" s="135"/>
      <c r="P345" s="157"/>
      <c r="Q345" s="157"/>
      <c r="R345" s="157"/>
      <c r="S345" s="157"/>
      <c r="T345" s="157"/>
      <c r="U345" s="157"/>
      <c r="V345" s="157"/>
      <c r="W345" s="135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</row>
    <row r="346" spans="15:33" ht="15.75" customHeight="1" x14ac:dyDescent="0.3">
      <c r="O346" s="135"/>
      <c r="P346" s="157"/>
      <c r="Q346" s="157"/>
      <c r="R346" s="157"/>
      <c r="S346" s="157"/>
      <c r="T346" s="157"/>
      <c r="U346" s="157"/>
      <c r="V346" s="157"/>
      <c r="W346" s="135"/>
      <c r="X346" s="135"/>
      <c r="Y346" s="135"/>
      <c r="Z346" s="135"/>
      <c r="AA346" s="135"/>
      <c r="AB346" s="135"/>
      <c r="AC346" s="135"/>
      <c r="AD346" s="135"/>
      <c r="AE346" s="135"/>
      <c r="AF346" s="135"/>
      <c r="AG346" s="135"/>
    </row>
    <row r="347" spans="15:33" ht="15.75" customHeight="1" x14ac:dyDescent="0.3">
      <c r="O347" s="135"/>
      <c r="P347" s="157"/>
      <c r="Q347" s="157"/>
      <c r="R347" s="157"/>
      <c r="S347" s="157"/>
      <c r="T347" s="157"/>
      <c r="U347" s="157"/>
      <c r="V347" s="157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</row>
    <row r="348" spans="15:33" ht="15.75" customHeight="1" x14ac:dyDescent="0.3">
      <c r="O348" s="135"/>
      <c r="P348" s="157"/>
      <c r="Q348" s="157"/>
      <c r="R348" s="157"/>
      <c r="S348" s="157"/>
      <c r="T348" s="157"/>
      <c r="U348" s="157"/>
      <c r="V348" s="157"/>
      <c r="W348" s="135"/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</row>
    <row r="349" spans="15:33" ht="15.75" customHeight="1" x14ac:dyDescent="0.3">
      <c r="O349" s="135"/>
      <c r="P349" s="157"/>
      <c r="Q349" s="157"/>
      <c r="R349" s="157"/>
      <c r="S349" s="157"/>
      <c r="T349" s="157"/>
      <c r="U349" s="157"/>
      <c r="V349" s="157"/>
      <c r="W349" s="135"/>
      <c r="X349" s="135"/>
      <c r="Y349" s="135"/>
      <c r="Z349" s="135"/>
      <c r="AA349" s="135"/>
      <c r="AB349" s="135"/>
      <c r="AC349" s="135"/>
      <c r="AD349" s="135"/>
      <c r="AE349" s="135"/>
      <c r="AF349" s="135"/>
      <c r="AG349" s="135"/>
    </row>
    <row r="350" spans="15:33" ht="15.75" customHeight="1" x14ac:dyDescent="0.3">
      <c r="O350" s="135"/>
      <c r="P350" s="157"/>
      <c r="Q350" s="157"/>
      <c r="R350" s="157"/>
      <c r="S350" s="157"/>
      <c r="T350" s="157"/>
      <c r="U350" s="157"/>
      <c r="V350" s="157"/>
      <c r="W350" s="135"/>
      <c r="X350" s="135"/>
      <c r="Y350" s="135"/>
      <c r="Z350" s="135"/>
      <c r="AA350" s="135"/>
      <c r="AB350" s="135"/>
      <c r="AC350" s="135"/>
      <c r="AD350" s="135"/>
      <c r="AE350" s="135"/>
      <c r="AF350" s="135"/>
      <c r="AG350" s="135"/>
    </row>
    <row r="351" spans="15:33" ht="15.75" customHeight="1" x14ac:dyDescent="0.3">
      <c r="O351" s="135"/>
      <c r="P351" s="157"/>
      <c r="Q351" s="157"/>
      <c r="R351" s="157"/>
      <c r="S351" s="157"/>
      <c r="T351" s="157"/>
      <c r="U351" s="157"/>
      <c r="V351" s="157"/>
      <c r="W351" s="135"/>
      <c r="X351" s="135"/>
      <c r="Y351" s="135"/>
      <c r="Z351" s="135"/>
      <c r="AA351" s="135"/>
      <c r="AB351" s="135"/>
      <c r="AC351" s="135"/>
      <c r="AD351" s="135"/>
      <c r="AE351" s="135"/>
      <c r="AF351" s="135"/>
      <c r="AG351" s="135"/>
    </row>
    <row r="352" spans="15:33" ht="15.75" customHeight="1" x14ac:dyDescent="0.3">
      <c r="O352" s="135"/>
      <c r="P352" s="157"/>
      <c r="Q352" s="157"/>
      <c r="R352" s="157"/>
      <c r="S352" s="157"/>
      <c r="T352" s="157"/>
      <c r="U352" s="157"/>
      <c r="V352" s="157"/>
      <c r="W352" s="135"/>
      <c r="X352" s="135"/>
      <c r="Y352" s="135"/>
      <c r="Z352" s="135"/>
      <c r="AA352" s="135"/>
      <c r="AB352" s="135"/>
      <c r="AC352" s="135"/>
      <c r="AD352" s="135"/>
      <c r="AE352" s="135"/>
      <c r="AF352" s="135"/>
      <c r="AG352" s="135"/>
    </row>
    <row r="353" spans="15:33" ht="15.75" customHeight="1" x14ac:dyDescent="0.3">
      <c r="O353" s="135"/>
      <c r="P353" s="157"/>
      <c r="Q353" s="157"/>
      <c r="R353" s="157"/>
      <c r="S353" s="157"/>
      <c r="T353" s="157"/>
      <c r="U353" s="157"/>
      <c r="V353" s="157"/>
      <c r="W353" s="135"/>
      <c r="X353" s="135"/>
      <c r="Y353" s="135"/>
      <c r="Z353" s="135"/>
      <c r="AA353" s="135"/>
      <c r="AB353" s="135"/>
      <c r="AC353" s="135"/>
      <c r="AD353" s="135"/>
      <c r="AE353" s="135"/>
      <c r="AF353" s="135"/>
      <c r="AG353" s="135"/>
    </row>
    <row r="354" spans="15:33" ht="15.75" customHeight="1" x14ac:dyDescent="0.3">
      <c r="O354" s="135"/>
      <c r="P354" s="157"/>
      <c r="Q354" s="157"/>
      <c r="R354" s="157"/>
      <c r="S354" s="157"/>
      <c r="T354" s="157"/>
      <c r="U354" s="157"/>
      <c r="V354" s="157"/>
      <c r="W354" s="135"/>
      <c r="X354" s="135"/>
      <c r="Y354" s="135"/>
      <c r="Z354" s="135"/>
      <c r="AA354" s="135"/>
      <c r="AB354" s="135"/>
      <c r="AC354" s="135"/>
      <c r="AD354" s="135"/>
      <c r="AE354" s="135"/>
      <c r="AF354" s="135"/>
      <c r="AG354" s="135"/>
    </row>
    <row r="355" spans="15:33" ht="15.75" customHeight="1" x14ac:dyDescent="0.3">
      <c r="O355" s="135"/>
      <c r="P355" s="157"/>
      <c r="Q355" s="157"/>
      <c r="R355" s="157"/>
      <c r="S355" s="157"/>
      <c r="T355" s="157"/>
      <c r="U355" s="157"/>
      <c r="V355" s="157"/>
      <c r="W355" s="135"/>
      <c r="X355" s="135"/>
      <c r="Y355" s="135"/>
      <c r="Z355" s="135"/>
      <c r="AA355" s="135"/>
      <c r="AB355" s="135"/>
      <c r="AC355" s="135"/>
      <c r="AD355" s="135"/>
      <c r="AE355" s="135"/>
      <c r="AF355" s="135"/>
      <c r="AG355" s="135"/>
    </row>
    <row r="356" spans="15:33" ht="15.75" customHeight="1" x14ac:dyDescent="0.3">
      <c r="O356" s="135"/>
      <c r="P356" s="157"/>
      <c r="Q356" s="157"/>
      <c r="R356" s="157"/>
      <c r="S356" s="157"/>
      <c r="T356" s="157"/>
      <c r="U356" s="157"/>
      <c r="V356" s="157"/>
      <c r="W356" s="135"/>
      <c r="X356" s="135"/>
      <c r="Y356" s="135"/>
      <c r="Z356" s="135"/>
      <c r="AA356" s="135"/>
      <c r="AB356" s="135"/>
      <c r="AC356" s="135"/>
      <c r="AD356" s="135"/>
      <c r="AE356" s="135"/>
      <c r="AF356" s="135"/>
      <c r="AG356" s="135"/>
    </row>
    <row r="357" spans="15:33" ht="15.75" customHeight="1" x14ac:dyDescent="0.3">
      <c r="O357" s="135"/>
      <c r="P357" s="157"/>
      <c r="Q357" s="157"/>
      <c r="R357" s="157"/>
      <c r="S357" s="157"/>
      <c r="T357" s="157"/>
      <c r="U357" s="157"/>
      <c r="V357" s="157"/>
      <c r="W357" s="135"/>
      <c r="X357" s="135"/>
      <c r="Y357" s="135"/>
      <c r="Z357" s="135"/>
      <c r="AA357" s="135"/>
      <c r="AB357" s="135"/>
      <c r="AC357" s="135"/>
      <c r="AD357" s="135"/>
      <c r="AE357" s="135"/>
      <c r="AF357" s="135"/>
      <c r="AG357" s="135"/>
    </row>
    <row r="358" spans="15:33" ht="15.75" customHeight="1" x14ac:dyDescent="0.3">
      <c r="O358" s="135"/>
      <c r="P358" s="157"/>
      <c r="Q358" s="157"/>
      <c r="R358" s="157"/>
      <c r="S358" s="157"/>
      <c r="T358" s="157"/>
      <c r="U358" s="157"/>
      <c r="V358" s="157"/>
      <c r="W358" s="135"/>
      <c r="X358" s="135"/>
      <c r="Y358" s="135"/>
      <c r="Z358" s="135"/>
      <c r="AA358" s="135"/>
      <c r="AB358" s="135"/>
      <c r="AC358" s="135"/>
      <c r="AD358" s="135"/>
      <c r="AE358" s="135"/>
      <c r="AF358" s="135"/>
      <c r="AG358" s="135"/>
    </row>
    <row r="359" spans="15:33" ht="15.75" customHeight="1" x14ac:dyDescent="0.3">
      <c r="O359" s="135"/>
      <c r="P359" s="157"/>
      <c r="Q359" s="157"/>
      <c r="R359" s="157"/>
      <c r="S359" s="157"/>
      <c r="T359" s="157"/>
      <c r="U359" s="157"/>
      <c r="V359" s="157"/>
      <c r="W359" s="135"/>
      <c r="X359" s="135"/>
      <c r="Y359" s="135"/>
      <c r="Z359" s="135"/>
      <c r="AA359" s="135"/>
      <c r="AB359" s="135"/>
      <c r="AC359" s="135"/>
      <c r="AD359" s="135"/>
      <c r="AE359" s="135"/>
      <c r="AF359" s="135"/>
      <c r="AG359" s="135"/>
    </row>
    <row r="360" spans="15:33" ht="15.75" customHeight="1" x14ac:dyDescent="0.3">
      <c r="O360" s="135"/>
      <c r="P360" s="157"/>
      <c r="Q360" s="157"/>
      <c r="R360" s="157"/>
      <c r="S360" s="157"/>
      <c r="T360" s="157"/>
      <c r="U360" s="157"/>
      <c r="V360" s="157"/>
      <c r="W360" s="135"/>
      <c r="X360" s="135"/>
      <c r="Y360" s="135"/>
      <c r="Z360" s="135"/>
      <c r="AA360" s="135"/>
      <c r="AB360" s="135"/>
      <c r="AC360" s="135"/>
      <c r="AD360" s="135"/>
      <c r="AE360" s="135"/>
      <c r="AF360" s="135"/>
      <c r="AG360" s="135"/>
    </row>
    <row r="361" spans="15:33" ht="15.75" customHeight="1" x14ac:dyDescent="0.3">
      <c r="O361" s="135"/>
      <c r="P361" s="157"/>
      <c r="Q361" s="157"/>
      <c r="R361" s="157"/>
      <c r="S361" s="157"/>
      <c r="T361" s="157"/>
      <c r="U361" s="157"/>
      <c r="V361" s="157"/>
      <c r="W361" s="135"/>
      <c r="X361" s="135"/>
      <c r="Y361" s="135"/>
      <c r="Z361" s="135"/>
      <c r="AA361" s="135"/>
      <c r="AB361" s="135"/>
      <c r="AC361" s="135"/>
      <c r="AD361" s="135"/>
      <c r="AE361" s="135"/>
      <c r="AF361" s="135"/>
      <c r="AG361" s="135"/>
    </row>
    <row r="362" spans="15:33" ht="15.75" customHeight="1" x14ac:dyDescent="0.3">
      <c r="O362" s="135"/>
      <c r="P362" s="157"/>
      <c r="Q362" s="157"/>
      <c r="R362" s="157"/>
      <c r="S362" s="157"/>
      <c r="T362" s="157"/>
      <c r="U362" s="157"/>
      <c r="V362" s="157"/>
      <c r="W362" s="135"/>
      <c r="X362" s="135"/>
      <c r="Y362" s="135"/>
      <c r="Z362" s="135"/>
      <c r="AA362" s="135"/>
      <c r="AB362" s="135"/>
      <c r="AC362" s="135"/>
      <c r="AD362" s="135"/>
      <c r="AE362" s="135"/>
      <c r="AF362" s="135"/>
      <c r="AG362" s="135"/>
    </row>
    <row r="363" spans="15:33" ht="15.75" customHeight="1" x14ac:dyDescent="0.3">
      <c r="O363" s="135"/>
      <c r="P363" s="157"/>
      <c r="Q363" s="157"/>
      <c r="R363" s="157"/>
      <c r="S363" s="157"/>
      <c r="T363" s="157"/>
      <c r="U363" s="157"/>
      <c r="V363" s="157"/>
      <c r="W363" s="135"/>
      <c r="X363" s="135"/>
      <c r="Y363" s="135"/>
      <c r="Z363" s="135"/>
      <c r="AA363" s="135"/>
      <c r="AB363" s="135"/>
      <c r="AC363" s="135"/>
      <c r="AD363" s="135"/>
      <c r="AE363" s="135"/>
      <c r="AF363" s="135"/>
      <c r="AG363" s="135"/>
    </row>
    <row r="364" spans="15:33" ht="15.75" customHeight="1" x14ac:dyDescent="0.3">
      <c r="O364" s="135"/>
      <c r="P364" s="157"/>
      <c r="Q364" s="157"/>
      <c r="R364" s="157"/>
      <c r="S364" s="157"/>
      <c r="T364" s="157"/>
      <c r="U364" s="157"/>
      <c r="V364" s="157"/>
      <c r="W364" s="135"/>
      <c r="X364" s="135"/>
      <c r="Y364" s="135"/>
      <c r="Z364" s="135"/>
      <c r="AA364" s="135"/>
      <c r="AB364" s="135"/>
      <c r="AC364" s="135"/>
      <c r="AD364" s="135"/>
      <c r="AE364" s="135"/>
      <c r="AF364" s="135"/>
      <c r="AG364" s="135"/>
    </row>
    <row r="365" spans="15:33" ht="15.75" customHeight="1" x14ac:dyDescent="0.3">
      <c r="O365" s="135"/>
      <c r="P365" s="157"/>
      <c r="Q365" s="157"/>
      <c r="R365" s="157"/>
      <c r="S365" s="157"/>
      <c r="T365" s="157"/>
      <c r="U365" s="157"/>
      <c r="V365" s="157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</row>
    <row r="366" spans="15:33" ht="15.75" customHeight="1" x14ac:dyDescent="0.3">
      <c r="O366" s="135"/>
      <c r="P366" s="157"/>
      <c r="Q366" s="157"/>
      <c r="R366" s="157"/>
      <c r="S366" s="157"/>
      <c r="T366" s="157"/>
      <c r="U366" s="157"/>
      <c r="V366" s="157"/>
      <c r="W366" s="135"/>
      <c r="X366" s="135"/>
      <c r="Y366" s="135"/>
      <c r="Z366" s="135"/>
      <c r="AA366" s="135"/>
      <c r="AB366" s="135"/>
      <c r="AC366" s="135"/>
      <c r="AD366" s="135"/>
      <c r="AE366" s="135"/>
      <c r="AF366" s="135"/>
      <c r="AG366" s="135"/>
    </row>
    <row r="367" spans="15:33" ht="15.75" customHeight="1" x14ac:dyDescent="0.3">
      <c r="O367" s="135"/>
      <c r="P367" s="157"/>
      <c r="Q367" s="157"/>
      <c r="R367" s="157"/>
      <c r="S367" s="157"/>
      <c r="T367" s="157"/>
      <c r="U367" s="157"/>
      <c r="V367" s="157"/>
      <c r="W367" s="135"/>
      <c r="X367" s="135"/>
      <c r="Y367" s="135"/>
      <c r="Z367" s="135"/>
      <c r="AA367" s="135"/>
      <c r="AB367" s="135"/>
      <c r="AC367" s="135"/>
      <c r="AD367" s="135"/>
      <c r="AE367" s="135"/>
      <c r="AF367" s="135"/>
      <c r="AG367" s="135"/>
    </row>
    <row r="368" spans="15:33" ht="15.75" customHeight="1" x14ac:dyDescent="0.3">
      <c r="O368" s="135"/>
      <c r="P368" s="157"/>
      <c r="Q368" s="157"/>
      <c r="R368" s="157"/>
      <c r="S368" s="157"/>
      <c r="T368" s="157"/>
      <c r="U368" s="157"/>
      <c r="V368" s="157"/>
      <c r="W368" s="135"/>
      <c r="X368" s="135"/>
      <c r="Y368" s="135"/>
      <c r="Z368" s="135"/>
      <c r="AA368" s="135"/>
      <c r="AB368" s="135"/>
      <c r="AC368" s="135"/>
      <c r="AD368" s="135"/>
      <c r="AE368" s="135"/>
      <c r="AF368" s="135"/>
      <c r="AG368" s="135"/>
    </row>
    <row r="369" spans="15:33" ht="15.75" customHeight="1" x14ac:dyDescent="0.3">
      <c r="O369" s="135"/>
      <c r="P369" s="157"/>
      <c r="Q369" s="157"/>
      <c r="R369" s="157"/>
      <c r="S369" s="157"/>
      <c r="T369" s="157"/>
      <c r="U369" s="157"/>
      <c r="V369" s="157"/>
      <c r="W369" s="135"/>
      <c r="X369" s="135"/>
      <c r="Y369" s="135"/>
      <c r="Z369" s="135"/>
      <c r="AA369" s="135"/>
      <c r="AB369" s="135"/>
      <c r="AC369" s="135"/>
      <c r="AD369" s="135"/>
      <c r="AE369" s="135"/>
      <c r="AF369" s="135"/>
      <c r="AG369" s="135"/>
    </row>
    <row r="370" spans="15:33" ht="15.75" customHeight="1" x14ac:dyDescent="0.3">
      <c r="O370" s="135"/>
      <c r="P370" s="157"/>
      <c r="Q370" s="157"/>
      <c r="R370" s="157"/>
      <c r="S370" s="157"/>
      <c r="T370" s="157"/>
      <c r="U370" s="157"/>
      <c r="V370" s="157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5"/>
    </row>
    <row r="371" spans="15:33" ht="15.75" customHeight="1" x14ac:dyDescent="0.3">
      <c r="O371" s="135"/>
      <c r="P371" s="157"/>
      <c r="Q371" s="157"/>
      <c r="R371" s="157"/>
      <c r="S371" s="157"/>
      <c r="T371" s="157"/>
      <c r="U371" s="157"/>
      <c r="V371" s="157"/>
      <c r="W371" s="135"/>
      <c r="X371" s="135"/>
      <c r="Y371" s="135"/>
      <c r="Z371" s="135"/>
      <c r="AA371" s="135"/>
      <c r="AB371" s="135"/>
      <c r="AC371" s="135"/>
      <c r="AD371" s="135"/>
      <c r="AE371" s="135"/>
      <c r="AF371" s="135"/>
      <c r="AG371" s="135"/>
    </row>
    <row r="372" spans="15:33" ht="15.75" customHeight="1" x14ac:dyDescent="0.3">
      <c r="O372" s="135"/>
      <c r="P372" s="157"/>
      <c r="Q372" s="157"/>
      <c r="R372" s="157"/>
      <c r="S372" s="157"/>
      <c r="T372" s="157"/>
      <c r="U372" s="157"/>
      <c r="V372" s="157"/>
      <c r="W372" s="135"/>
      <c r="X372" s="135"/>
      <c r="Y372" s="135"/>
      <c r="Z372" s="135"/>
      <c r="AA372" s="135"/>
      <c r="AB372" s="135"/>
      <c r="AC372" s="135"/>
      <c r="AD372" s="135"/>
      <c r="AE372" s="135"/>
      <c r="AF372" s="135"/>
      <c r="AG372" s="135"/>
    </row>
    <row r="373" spans="15:33" ht="15.75" customHeight="1" x14ac:dyDescent="0.3">
      <c r="O373" s="135"/>
      <c r="P373" s="157"/>
      <c r="Q373" s="157"/>
      <c r="R373" s="157"/>
      <c r="S373" s="157"/>
      <c r="T373" s="157"/>
      <c r="U373" s="157"/>
      <c r="V373" s="157"/>
      <c r="W373" s="135"/>
      <c r="X373" s="135"/>
      <c r="Y373" s="135"/>
      <c r="Z373" s="135"/>
      <c r="AA373" s="135"/>
      <c r="AB373" s="135"/>
      <c r="AC373" s="135"/>
      <c r="AD373" s="135"/>
      <c r="AE373" s="135"/>
      <c r="AF373" s="135"/>
      <c r="AG373" s="135"/>
    </row>
    <row r="374" spans="15:33" ht="15.75" customHeight="1" x14ac:dyDescent="0.3">
      <c r="O374" s="135"/>
      <c r="P374" s="157"/>
      <c r="Q374" s="157"/>
      <c r="R374" s="157"/>
      <c r="S374" s="157"/>
      <c r="T374" s="157"/>
      <c r="U374" s="157"/>
      <c r="V374" s="157"/>
      <c r="W374" s="135"/>
      <c r="X374" s="135"/>
      <c r="Y374" s="135"/>
      <c r="Z374" s="135"/>
      <c r="AA374" s="135"/>
      <c r="AB374" s="135"/>
      <c r="AC374" s="135"/>
      <c r="AD374" s="135"/>
      <c r="AE374" s="135"/>
      <c r="AF374" s="135"/>
      <c r="AG374" s="135"/>
    </row>
    <row r="375" spans="15:33" ht="15.75" customHeight="1" x14ac:dyDescent="0.3">
      <c r="O375" s="135"/>
      <c r="P375" s="157"/>
      <c r="Q375" s="157"/>
      <c r="R375" s="157"/>
      <c r="S375" s="157"/>
      <c r="T375" s="157"/>
      <c r="U375" s="157"/>
      <c r="V375" s="157"/>
      <c r="W375" s="135"/>
      <c r="X375" s="135"/>
      <c r="Y375" s="135"/>
      <c r="Z375" s="135"/>
      <c r="AA375" s="135"/>
      <c r="AB375" s="135"/>
      <c r="AC375" s="135"/>
      <c r="AD375" s="135"/>
      <c r="AE375" s="135"/>
      <c r="AF375" s="135"/>
      <c r="AG375" s="135"/>
    </row>
    <row r="376" spans="15:33" ht="15.75" customHeight="1" x14ac:dyDescent="0.3">
      <c r="O376" s="135"/>
      <c r="P376" s="157"/>
      <c r="Q376" s="157"/>
      <c r="R376" s="157"/>
      <c r="S376" s="157"/>
      <c r="T376" s="157"/>
      <c r="U376" s="157"/>
      <c r="V376" s="157"/>
      <c r="W376" s="135"/>
      <c r="X376" s="135"/>
      <c r="Y376" s="135"/>
      <c r="Z376" s="135"/>
      <c r="AA376" s="135"/>
      <c r="AB376" s="135"/>
      <c r="AC376" s="135"/>
      <c r="AD376" s="135"/>
      <c r="AE376" s="135"/>
      <c r="AF376" s="135"/>
      <c r="AG376" s="135"/>
    </row>
    <row r="377" spans="15:33" ht="15.75" customHeight="1" x14ac:dyDescent="0.3">
      <c r="O377" s="135"/>
      <c r="P377" s="157"/>
      <c r="Q377" s="157"/>
      <c r="R377" s="157"/>
      <c r="S377" s="157"/>
      <c r="T377" s="157"/>
      <c r="U377" s="157"/>
      <c r="V377" s="157"/>
      <c r="W377" s="135"/>
      <c r="X377" s="135"/>
      <c r="Y377" s="135"/>
      <c r="Z377" s="135"/>
      <c r="AA377" s="135"/>
      <c r="AB377" s="135"/>
      <c r="AC377" s="135"/>
      <c r="AD377" s="135"/>
      <c r="AE377" s="135"/>
      <c r="AF377" s="135"/>
      <c r="AG377" s="135"/>
    </row>
    <row r="378" spans="15:33" ht="15.75" customHeight="1" x14ac:dyDescent="0.3">
      <c r="O378" s="135"/>
      <c r="P378" s="157"/>
      <c r="Q378" s="157"/>
      <c r="R378" s="157"/>
      <c r="S378" s="157"/>
      <c r="T378" s="157"/>
      <c r="U378" s="157"/>
      <c r="V378" s="157"/>
      <c r="W378" s="135"/>
      <c r="X378" s="135"/>
      <c r="Y378" s="135"/>
      <c r="Z378" s="135"/>
      <c r="AA378" s="135"/>
      <c r="AB378" s="135"/>
      <c r="AC378" s="135"/>
      <c r="AD378" s="135"/>
      <c r="AE378" s="135"/>
      <c r="AF378" s="135"/>
      <c r="AG378" s="135"/>
    </row>
    <row r="379" spans="15:33" ht="15.75" customHeight="1" x14ac:dyDescent="0.3">
      <c r="O379" s="135"/>
      <c r="P379" s="157"/>
      <c r="Q379" s="157"/>
      <c r="R379" s="157"/>
      <c r="S379" s="157"/>
      <c r="T379" s="157"/>
      <c r="U379" s="157"/>
      <c r="V379" s="157"/>
      <c r="W379" s="135"/>
      <c r="X379" s="135"/>
      <c r="Y379" s="135"/>
      <c r="Z379" s="135"/>
      <c r="AA379" s="135"/>
      <c r="AB379" s="135"/>
      <c r="AC379" s="135"/>
      <c r="AD379" s="135"/>
      <c r="AE379" s="135"/>
      <c r="AF379" s="135"/>
      <c r="AG379" s="135"/>
    </row>
    <row r="380" spans="15:33" ht="15.75" customHeight="1" x14ac:dyDescent="0.3">
      <c r="O380" s="135"/>
      <c r="P380" s="157"/>
      <c r="Q380" s="157"/>
      <c r="R380" s="157"/>
      <c r="S380" s="157"/>
      <c r="T380" s="157"/>
      <c r="U380" s="157"/>
      <c r="V380" s="157"/>
      <c r="W380" s="135"/>
      <c r="X380" s="135"/>
      <c r="Y380" s="135"/>
      <c r="Z380" s="135"/>
      <c r="AA380" s="135"/>
      <c r="AB380" s="135"/>
      <c r="AC380" s="135"/>
      <c r="AD380" s="135"/>
      <c r="AE380" s="135"/>
      <c r="AF380" s="135"/>
      <c r="AG380" s="135"/>
    </row>
    <row r="381" spans="15:33" ht="15.75" customHeight="1" x14ac:dyDescent="0.3">
      <c r="O381" s="135"/>
      <c r="P381" s="157"/>
      <c r="Q381" s="157"/>
      <c r="R381" s="157"/>
      <c r="S381" s="157"/>
      <c r="T381" s="157"/>
      <c r="U381" s="157"/>
      <c r="V381" s="157"/>
      <c r="W381" s="135"/>
      <c r="X381" s="135"/>
      <c r="Y381" s="135"/>
      <c r="Z381" s="135"/>
      <c r="AA381" s="135"/>
      <c r="AB381" s="135"/>
      <c r="AC381" s="135"/>
      <c r="AD381" s="135"/>
      <c r="AE381" s="135"/>
      <c r="AF381" s="135"/>
      <c r="AG381" s="135"/>
    </row>
    <row r="382" spans="15:33" ht="15.75" customHeight="1" x14ac:dyDescent="0.3">
      <c r="O382" s="135"/>
      <c r="P382" s="157"/>
      <c r="Q382" s="157"/>
      <c r="R382" s="157"/>
      <c r="S382" s="157"/>
      <c r="T382" s="157"/>
      <c r="U382" s="157"/>
      <c r="V382" s="157"/>
      <c r="W382" s="135"/>
      <c r="X382" s="135"/>
      <c r="Y382" s="135"/>
      <c r="Z382" s="135"/>
      <c r="AA382" s="135"/>
      <c r="AB382" s="135"/>
      <c r="AC382" s="135"/>
      <c r="AD382" s="135"/>
      <c r="AE382" s="135"/>
      <c r="AF382" s="135"/>
      <c r="AG382" s="135"/>
    </row>
    <row r="383" spans="15:33" ht="15.75" customHeight="1" x14ac:dyDescent="0.3">
      <c r="O383" s="135"/>
      <c r="P383" s="157"/>
      <c r="Q383" s="157"/>
      <c r="R383" s="157"/>
      <c r="S383" s="157"/>
      <c r="T383" s="157"/>
      <c r="U383" s="157"/>
      <c r="V383" s="157"/>
      <c r="W383" s="135"/>
      <c r="X383" s="135"/>
      <c r="Y383" s="135"/>
      <c r="Z383" s="135"/>
      <c r="AA383" s="135"/>
      <c r="AB383" s="135"/>
      <c r="AC383" s="135"/>
      <c r="AD383" s="135"/>
      <c r="AE383" s="135"/>
      <c r="AF383" s="135"/>
      <c r="AG383" s="135"/>
    </row>
    <row r="384" spans="15:33" ht="15.75" customHeight="1" x14ac:dyDescent="0.3">
      <c r="O384" s="135"/>
      <c r="P384" s="157"/>
      <c r="Q384" s="157"/>
      <c r="R384" s="157"/>
      <c r="S384" s="157"/>
      <c r="T384" s="157"/>
      <c r="U384" s="157"/>
      <c r="V384" s="157"/>
      <c r="W384" s="135"/>
      <c r="X384" s="135"/>
      <c r="Y384" s="135"/>
      <c r="Z384" s="135"/>
      <c r="AA384" s="135"/>
      <c r="AB384" s="135"/>
      <c r="AC384" s="135"/>
      <c r="AD384" s="135"/>
      <c r="AE384" s="135"/>
      <c r="AF384" s="135"/>
      <c r="AG384" s="135"/>
    </row>
    <row r="385" spans="15:33" ht="15.75" customHeight="1" x14ac:dyDescent="0.3">
      <c r="O385" s="135"/>
      <c r="P385" s="157"/>
      <c r="Q385" s="157"/>
      <c r="R385" s="157"/>
      <c r="S385" s="157"/>
      <c r="T385" s="157"/>
      <c r="U385" s="157"/>
      <c r="V385" s="157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</row>
    <row r="386" spans="15:33" ht="15.75" customHeight="1" x14ac:dyDescent="0.3">
      <c r="O386" s="135"/>
      <c r="P386" s="157"/>
      <c r="Q386" s="157"/>
      <c r="R386" s="157"/>
      <c r="S386" s="157"/>
      <c r="T386" s="157"/>
      <c r="U386" s="157"/>
      <c r="V386" s="157"/>
      <c r="W386" s="135"/>
      <c r="X386" s="135"/>
      <c r="Y386" s="135"/>
      <c r="Z386" s="135"/>
      <c r="AA386" s="135"/>
      <c r="AB386" s="135"/>
      <c r="AC386" s="135"/>
      <c r="AD386" s="135"/>
      <c r="AE386" s="135"/>
      <c r="AF386" s="135"/>
      <c r="AG386" s="135"/>
    </row>
    <row r="387" spans="15:33" ht="15.75" customHeight="1" x14ac:dyDescent="0.3">
      <c r="O387" s="135"/>
      <c r="P387" s="157"/>
      <c r="Q387" s="157"/>
      <c r="R387" s="157"/>
      <c r="S387" s="157"/>
      <c r="T387" s="157"/>
      <c r="U387" s="157"/>
      <c r="V387" s="157"/>
      <c r="W387" s="135"/>
      <c r="X387" s="135"/>
      <c r="Y387" s="135"/>
      <c r="Z387" s="135"/>
      <c r="AA387" s="135"/>
      <c r="AB387" s="135"/>
      <c r="AC387" s="135"/>
      <c r="AD387" s="135"/>
      <c r="AE387" s="135"/>
      <c r="AF387" s="135"/>
      <c r="AG387" s="135"/>
    </row>
    <row r="388" spans="15:33" ht="15.75" customHeight="1" x14ac:dyDescent="0.3">
      <c r="O388" s="135"/>
      <c r="P388" s="157"/>
      <c r="Q388" s="157"/>
      <c r="R388" s="157"/>
      <c r="S388" s="157"/>
      <c r="T388" s="157"/>
      <c r="U388" s="157"/>
      <c r="V388" s="157"/>
      <c r="W388" s="135"/>
      <c r="X388" s="135"/>
      <c r="Y388" s="135"/>
      <c r="Z388" s="135"/>
      <c r="AA388" s="135"/>
      <c r="AB388" s="135"/>
      <c r="AC388" s="135"/>
      <c r="AD388" s="135"/>
      <c r="AE388" s="135"/>
      <c r="AF388" s="135"/>
      <c r="AG388" s="135"/>
    </row>
    <row r="389" spans="15:33" ht="15.75" customHeight="1" x14ac:dyDescent="0.3">
      <c r="O389" s="135"/>
      <c r="P389" s="157"/>
      <c r="Q389" s="157"/>
      <c r="R389" s="157"/>
      <c r="S389" s="157"/>
      <c r="T389" s="157"/>
      <c r="U389" s="157"/>
      <c r="V389" s="157"/>
      <c r="W389" s="135"/>
      <c r="X389" s="135"/>
      <c r="Y389" s="135"/>
      <c r="Z389" s="135"/>
      <c r="AA389" s="135"/>
      <c r="AB389" s="135"/>
      <c r="AC389" s="135"/>
      <c r="AD389" s="135"/>
      <c r="AE389" s="135"/>
      <c r="AF389" s="135"/>
      <c r="AG389" s="135"/>
    </row>
    <row r="390" spans="15:33" ht="15.75" customHeight="1" x14ac:dyDescent="0.3">
      <c r="O390" s="135"/>
      <c r="P390" s="157"/>
      <c r="Q390" s="157"/>
      <c r="R390" s="157"/>
      <c r="S390" s="157"/>
      <c r="T390" s="157"/>
      <c r="U390" s="157"/>
      <c r="V390" s="157"/>
      <c r="W390" s="135"/>
      <c r="X390" s="135"/>
      <c r="Y390" s="135"/>
      <c r="Z390" s="135"/>
      <c r="AA390" s="135"/>
      <c r="AB390" s="135"/>
      <c r="AC390" s="135"/>
      <c r="AD390" s="135"/>
      <c r="AE390" s="135"/>
      <c r="AF390" s="135"/>
      <c r="AG390" s="135"/>
    </row>
    <row r="391" spans="15:33" ht="15.75" customHeight="1" x14ac:dyDescent="0.3">
      <c r="O391" s="135"/>
      <c r="P391" s="157"/>
      <c r="Q391" s="157"/>
      <c r="R391" s="157"/>
      <c r="S391" s="157"/>
      <c r="T391" s="157"/>
      <c r="U391" s="157"/>
      <c r="V391" s="157"/>
      <c r="W391" s="135"/>
      <c r="X391" s="135"/>
      <c r="Y391" s="135"/>
      <c r="Z391" s="135"/>
      <c r="AA391" s="135"/>
      <c r="AB391" s="135"/>
      <c r="AC391" s="135"/>
      <c r="AD391" s="135"/>
      <c r="AE391" s="135"/>
      <c r="AF391" s="135"/>
      <c r="AG391" s="135"/>
    </row>
    <row r="392" spans="15:33" ht="15.75" customHeight="1" x14ac:dyDescent="0.3">
      <c r="O392" s="135"/>
      <c r="P392" s="157"/>
      <c r="Q392" s="157"/>
      <c r="R392" s="157"/>
      <c r="S392" s="157"/>
      <c r="T392" s="157"/>
      <c r="U392" s="157"/>
      <c r="V392" s="157"/>
      <c r="W392" s="135"/>
      <c r="X392" s="135"/>
      <c r="Y392" s="135"/>
      <c r="Z392" s="135"/>
      <c r="AA392" s="135"/>
      <c r="AB392" s="135"/>
      <c r="AC392" s="135"/>
      <c r="AD392" s="135"/>
      <c r="AE392" s="135"/>
      <c r="AF392" s="135"/>
      <c r="AG392" s="135"/>
    </row>
    <row r="393" spans="15:33" ht="15.75" customHeight="1" x14ac:dyDescent="0.3">
      <c r="O393" s="135"/>
      <c r="P393" s="157"/>
      <c r="Q393" s="157"/>
      <c r="R393" s="157"/>
      <c r="S393" s="157"/>
      <c r="T393" s="157"/>
      <c r="U393" s="157"/>
      <c r="V393" s="157"/>
      <c r="W393" s="135"/>
      <c r="X393" s="135"/>
      <c r="Y393" s="135"/>
      <c r="Z393" s="135"/>
      <c r="AA393" s="135"/>
      <c r="AB393" s="135"/>
      <c r="AC393" s="135"/>
      <c r="AD393" s="135"/>
      <c r="AE393" s="135"/>
      <c r="AF393" s="135"/>
      <c r="AG393" s="135"/>
    </row>
    <row r="394" spans="15:33" ht="15.75" customHeight="1" x14ac:dyDescent="0.3">
      <c r="O394" s="135"/>
      <c r="P394" s="157"/>
      <c r="Q394" s="157"/>
      <c r="R394" s="157"/>
      <c r="S394" s="157"/>
      <c r="T394" s="157"/>
      <c r="U394" s="157"/>
      <c r="V394" s="157"/>
      <c r="W394" s="135"/>
      <c r="X394" s="135"/>
      <c r="Y394" s="135"/>
      <c r="Z394" s="135"/>
      <c r="AA394" s="135"/>
      <c r="AB394" s="135"/>
      <c r="AC394" s="135"/>
      <c r="AD394" s="135"/>
      <c r="AE394" s="135"/>
      <c r="AF394" s="135"/>
      <c r="AG394" s="135"/>
    </row>
    <row r="395" spans="15:33" ht="15.75" customHeight="1" x14ac:dyDescent="0.3">
      <c r="O395" s="135"/>
      <c r="P395" s="157"/>
      <c r="Q395" s="157"/>
      <c r="R395" s="157"/>
      <c r="S395" s="157"/>
      <c r="T395" s="157"/>
      <c r="U395" s="157"/>
      <c r="V395" s="157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</row>
    <row r="396" spans="15:33" ht="15.75" customHeight="1" x14ac:dyDescent="0.3">
      <c r="O396" s="135"/>
      <c r="P396" s="157"/>
      <c r="Q396" s="157"/>
      <c r="R396" s="157"/>
      <c r="S396" s="157"/>
      <c r="T396" s="157"/>
      <c r="U396" s="157"/>
      <c r="V396" s="157"/>
      <c r="W396" s="135"/>
      <c r="X396" s="135"/>
      <c r="Y396" s="135"/>
      <c r="Z396" s="135"/>
      <c r="AA396" s="135"/>
      <c r="AB396" s="135"/>
      <c r="AC396" s="135"/>
      <c r="AD396" s="135"/>
      <c r="AE396" s="135"/>
      <c r="AF396" s="135"/>
      <c r="AG396" s="135"/>
    </row>
    <row r="397" spans="15:33" ht="15.75" customHeight="1" x14ac:dyDescent="0.3">
      <c r="O397" s="135"/>
      <c r="P397" s="157"/>
      <c r="Q397" s="157"/>
      <c r="R397" s="157"/>
      <c r="S397" s="157"/>
      <c r="T397" s="157"/>
      <c r="U397" s="157"/>
      <c r="V397" s="157"/>
      <c r="W397" s="135"/>
      <c r="X397" s="135"/>
      <c r="Y397" s="135"/>
      <c r="Z397" s="135"/>
      <c r="AA397" s="135"/>
      <c r="AB397" s="135"/>
      <c r="AC397" s="135"/>
      <c r="AD397" s="135"/>
      <c r="AE397" s="135"/>
      <c r="AF397" s="135"/>
      <c r="AG397" s="135"/>
    </row>
    <row r="398" spans="15:33" ht="15.75" customHeight="1" x14ac:dyDescent="0.3">
      <c r="O398" s="135"/>
      <c r="P398" s="157"/>
      <c r="Q398" s="157"/>
      <c r="R398" s="157"/>
      <c r="S398" s="157"/>
      <c r="T398" s="157"/>
      <c r="U398" s="157"/>
      <c r="V398" s="157"/>
      <c r="W398" s="135"/>
      <c r="X398" s="135"/>
      <c r="Y398" s="135"/>
      <c r="Z398" s="135"/>
      <c r="AA398" s="135"/>
      <c r="AB398" s="135"/>
      <c r="AC398" s="135"/>
      <c r="AD398" s="135"/>
      <c r="AE398" s="135"/>
      <c r="AF398" s="135"/>
      <c r="AG398" s="135"/>
    </row>
    <row r="399" spans="15:33" ht="15.75" customHeight="1" x14ac:dyDescent="0.3">
      <c r="O399" s="135"/>
      <c r="P399" s="157"/>
      <c r="Q399" s="157"/>
      <c r="R399" s="157"/>
      <c r="S399" s="157"/>
      <c r="T399" s="157"/>
      <c r="U399" s="157"/>
      <c r="V399" s="157"/>
      <c r="W399" s="135"/>
      <c r="X399" s="135"/>
      <c r="Y399" s="135"/>
      <c r="Z399" s="135"/>
      <c r="AA399" s="135"/>
      <c r="AB399" s="135"/>
      <c r="AC399" s="135"/>
      <c r="AD399" s="135"/>
      <c r="AE399" s="135"/>
      <c r="AF399" s="135"/>
      <c r="AG399" s="135"/>
    </row>
    <row r="400" spans="15:33" ht="15.75" customHeight="1" x14ac:dyDescent="0.3">
      <c r="O400" s="135"/>
      <c r="P400" s="157"/>
      <c r="Q400" s="157"/>
      <c r="R400" s="157"/>
      <c r="S400" s="157"/>
      <c r="T400" s="157"/>
      <c r="U400" s="157"/>
      <c r="V400" s="157"/>
      <c r="W400" s="135"/>
      <c r="X400" s="135"/>
      <c r="Y400" s="135"/>
      <c r="Z400" s="135"/>
      <c r="AA400" s="135"/>
      <c r="AB400" s="135"/>
      <c r="AC400" s="135"/>
      <c r="AD400" s="135"/>
      <c r="AE400" s="135"/>
      <c r="AF400" s="135"/>
      <c r="AG400" s="135"/>
    </row>
    <row r="401" spans="15:33" ht="15.75" customHeight="1" x14ac:dyDescent="0.3">
      <c r="O401" s="135"/>
      <c r="P401" s="157"/>
      <c r="Q401" s="157"/>
      <c r="R401" s="157"/>
      <c r="S401" s="157"/>
      <c r="T401" s="157"/>
      <c r="U401" s="157"/>
      <c r="V401" s="157"/>
      <c r="W401" s="135"/>
      <c r="X401" s="135"/>
      <c r="Y401" s="135"/>
      <c r="Z401" s="135"/>
      <c r="AA401" s="135"/>
      <c r="AB401" s="135"/>
      <c r="AC401" s="135"/>
      <c r="AD401" s="135"/>
      <c r="AE401" s="135"/>
      <c r="AF401" s="135"/>
      <c r="AG401" s="135"/>
    </row>
    <row r="402" spans="15:33" ht="15.75" customHeight="1" x14ac:dyDescent="0.3">
      <c r="O402" s="135"/>
      <c r="P402" s="157"/>
      <c r="Q402" s="157"/>
      <c r="R402" s="157"/>
      <c r="S402" s="157"/>
      <c r="T402" s="157"/>
      <c r="U402" s="157"/>
      <c r="V402" s="157"/>
      <c r="W402" s="135"/>
      <c r="X402" s="135"/>
      <c r="Y402" s="135"/>
      <c r="Z402" s="135"/>
      <c r="AA402" s="135"/>
      <c r="AB402" s="135"/>
      <c r="AC402" s="135"/>
      <c r="AD402" s="135"/>
      <c r="AE402" s="135"/>
      <c r="AF402" s="135"/>
      <c r="AG402" s="135"/>
    </row>
    <row r="403" spans="15:33" ht="15.75" customHeight="1" x14ac:dyDescent="0.3">
      <c r="O403" s="135"/>
      <c r="P403" s="157"/>
      <c r="Q403" s="157"/>
      <c r="R403" s="157"/>
      <c r="S403" s="157"/>
      <c r="T403" s="157"/>
      <c r="U403" s="157"/>
      <c r="V403" s="157"/>
      <c r="W403" s="135"/>
      <c r="X403" s="135"/>
      <c r="Y403" s="135"/>
      <c r="Z403" s="135"/>
      <c r="AA403" s="135"/>
      <c r="AB403" s="135"/>
      <c r="AC403" s="135"/>
      <c r="AD403" s="135"/>
      <c r="AE403" s="135"/>
      <c r="AF403" s="135"/>
      <c r="AG403" s="135"/>
    </row>
    <row r="404" spans="15:33" ht="15.75" customHeight="1" x14ac:dyDescent="0.3">
      <c r="O404" s="135"/>
      <c r="P404" s="157"/>
      <c r="Q404" s="157"/>
      <c r="R404" s="157"/>
      <c r="S404" s="157"/>
      <c r="T404" s="157"/>
      <c r="U404" s="157"/>
      <c r="V404" s="157"/>
      <c r="W404" s="135"/>
      <c r="X404" s="135"/>
      <c r="Y404" s="135"/>
      <c r="Z404" s="135"/>
      <c r="AA404" s="135"/>
      <c r="AB404" s="135"/>
      <c r="AC404" s="135"/>
      <c r="AD404" s="135"/>
      <c r="AE404" s="135"/>
      <c r="AF404" s="135"/>
      <c r="AG404" s="135"/>
    </row>
    <row r="405" spans="15:33" ht="15.75" customHeight="1" x14ac:dyDescent="0.3">
      <c r="O405" s="135"/>
      <c r="P405" s="157"/>
      <c r="Q405" s="157"/>
      <c r="R405" s="157"/>
      <c r="S405" s="157"/>
      <c r="T405" s="157"/>
      <c r="U405" s="157"/>
      <c r="V405" s="157"/>
      <c r="W405" s="135"/>
      <c r="X405" s="135"/>
      <c r="Y405" s="135"/>
      <c r="Z405" s="135"/>
      <c r="AA405" s="135"/>
      <c r="AB405" s="135"/>
      <c r="AC405" s="135"/>
      <c r="AD405" s="135"/>
      <c r="AE405" s="135"/>
      <c r="AF405" s="135"/>
      <c r="AG405" s="135"/>
    </row>
    <row r="406" spans="15:33" ht="15.75" customHeight="1" x14ac:dyDescent="0.3">
      <c r="O406" s="135"/>
      <c r="P406" s="157"/>
      <c r="Q406" s="157"/>
      <c r="R406" s="157"/>
      <c r="S406" s="157"/>
      <c r="T406" s="157"/>
      <c r="U406" s="157"/>
      <c r="V406" s="157"/>
      <c r="W406" s="135"/>
      <c r="X406" s="135"/>
      <c r="Y406" s="135"/>
      <c r="Z406" s="135"/>
      <c r="AA406" s="135"/>
      <c r="AB406" s="135"/>
      <c r="AC406" s="135"/>
      <c r="AD406" s="135"/>
      <c r="AE406" s="135"/>
      <c r="AF406" s="135"/>
      <c r="AG406" s="135"/>
    </row>
    <row r="407" spans="15:33" ht="15.75" customHeight="1" x14ac:dyDescent="0.3">
      <c r="O407" s="135"/>
      <c r="P407" s="157"/>
      <c r="Q407" s="157"/>
      <c r="R407" s="157"/>
      <c r="S407" s="157"/>
      <c r="T407" s="157"/>
      <c r="U407" s="157"/>
      <c r="V407" s="157"/>
      <c r="W407" s="135"/>
      <c r="X407" s="135"/>
      <c r="Y407" s="135"/>
      <c r="Z407" s="135"/>
      <c r="AA407" s="135"/>
      <c r="AB407" s="135"/>
      <c r="AC407" s="135"/>
      <c r="AD407" s="135"/>
      <c r="AE407" s="135"/>
      <c r="AF407" s="135"/>
      <c r="AG407" s="135"/>
    </row>
    <row r="408" spans="15:33" ht="15.75" customHeight="1" x14ac:dyDescent="0.3">
      <c r="O408" s="135"/>
      <c r="P408" s="157"/>
      <c r="Q408" s="157"/>
      <c r="R408" s="157"/>
      <c r="S408" s="157"/>
      <c r="T408" s="157"/>
      <c r="U408" s="157"/>
      <c r="V408" s="157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</row>
    <row r="409" spans="15:33" ht="15.75" customHeight="1" x14ac:dyDescent="0.3">
      <c r="O409" s="135"/>
      <c r="P409" s="157"/>
      <c r="Q409" s="157"/>
      <c r="R409" s="157"/>
      <c r="S409" s="157"/>
      <c r="T409" s="157"/>
      <c r="U409" s="157"/>
      <c r="V409" s="157"/>
      <c r="W409" s="135"/>
      <c r="X409" s="135"/>
      <c r="Y409" s="135"/>
      <c r="Z409" s="135"/>
      <c r="AA409" s="135"/>
      <c r="AB409" s="135"/>
      <c r="AC409" s="135"/>
      <c r="AD409" s="135"/>
      <c r="AE409" s="135"/>
      <c r="AF409" s="135"/>
      <c r="AG409" s="135"/>
    </row>
    <row r="410" spans="15:33" ht="15.75" customHeight="1" x14ac:dyDescent="0.3">
      <c r="O410" s="135"/>
      <c r="P410" s="157"/>
      <c r="Q410" s="157"/>
      <c r="R410" s="157"/>
      <c r="S410" s="157"/>
      <c r="T410" s="157"/>
      <c r="U410" s="157"/>
      <c r="V410" s="157"/>
      <c r="W410" s="135"/>
      <c r="X410" s="135"/>
      <c r="Y410" s="135"/>
      <c r="Z410" s="135"/>
      <c r="AA410" s="135"/>
      <c r="AB410" s="135"/>
      <c r="AC410" s="135"/>
      <c r="AD410" s="135"/>
      <c r="AE410" s="135"/>
      <c r="AF410" s="135"/>
      <c r="AG410" s="135"/>
    </row>
    <row r="411" spans="15:33" ht="15.75" customHeight="1" x14ac:dyDescent="0.3">
      <c r="O411" s="135"/>
      <c r="P411" s="157"/>
      <c r="Q411" s="157"/>
      <c r="R411" s="157"/>
      <c r="S411" s="157"/>
      <c r="T411" s="157"/>
      <c r="U411" s="157"/>
      <c r="V411" s="157"/>
      <c r="W411" s="135"/>
      <c r="X411" s="135"/>
      <c r="Y411" s="135"/>
      <c r="Z411" s="135"/>
      <c r="AA411" s="135"/>
      <c r="AB411" s="135"/>
      <c r="AC411" s="135"/>
      <c r="AD411" s="135"/>
      <c r="AE411" s="135"/>
      <c r="AF411" s="135"/>
      <c r="AG411" s="135"/>
    </row>
    <row r="412" spans="15:33" ht="15.75" customHeight="1" x14ac:dyDescent="0.3">
      <c r="O412" s="135"/>
      <c r="P412" s="157"/>
      <c r="Q412" s="157"/>
      <c r="R412" s="157"/>
      <c r="S412" s="157"/>
      <c r="T412" s="157"/>
      <c r="U412" s="157"/>
      <c r="V412" s="157"/>
      <c r="W412" s="135"/>
      <c r="X412" s="135"/>
      <c r="Y412" s="135"/>
      <c r="Z412" s="135"/>
      <c r="AA412" s="135"/>
      <c r="AB412" s="135"/>
      <c r="AC412" s="135"/>
      <c r="AD412" s="135"/>
      <c r="AE412" s="135"/>
      <c r="AF412" s="135"/>
      <c r="AG412" s="135"/>
    </row>
    <row r="413" spans="15:33" ht="15.75" customHeight="1" x14ac:dyDescent="0.3">
      <c r="O413" s="135"/>
      <c r="P413" s="157"/>
      <c r="Q413" s="157"/>
      <c r="R413" s="157"/>
      <c r="S413" s="157"/>
      <c r="T413" s="157"/>
      <c r="U413" s="157"/>
      <c r="V413" s="157"/>
      <c r="W413" s="135"/>
      <c r="X413" s="135"/>
      <c r="Y413" s="135"/>
      <c r="Z413" s="135"/>
      <c r="AA413" s="135"/>
      <c r="AB413" s="135"/>
      <c r="AC413" s="135"/>
      <c r="AD413" s="135"/>
      <c r="AE413" s="135"/>
      <c r="AF413" s="135"/>
      <c r="AG413" s="135"/>
    </row>
    <row r="414" spans="15:33" ht="15.75" customHeight="1" x14ac:dyDescent="0.3">
      <c r="O414" s="135"/>
      <c r="P414" s="157"/>
      <c r="Q414" s="157"/>
      <c r="R414" s="157"/>
      <c r="S414" s="157"/>
      <c r="T414" s="157"/>
      <c r="U414" s="157"/>
      <c r="V414" s="157"/>
      <c r="W414" s="135"/>
      <c r="X414" s="135"/>
      <c r="Y414" s="135"/>
      <c r="Z414" s="135"/>
      <c r="AA414" s="135"/>
      <c r="AB414" s="135"/>
      <c r="AC414" s="135"/>
      <c r="AD414" s="135"/>
      <c r="AE414" s="135"/>
      <c r="AF414" s="135"/>
      <c r="AG414" s="135"/>
    </row>
    <row r="415" spans="15:33" ht="15.75" customHeight="1" x14ac:dyDescent="0.3">
      <c r="O415" s="135"/>
      <c r="P415" s="157"/>
      <c r="Q415" s="157"/>
      <c r="R415" s="157"/>
      <c r="S415" s="157"/>
      <c r="T415" s="157"/>
      <c r="U415" s="157"/>
      <c r="V415" s="157"/>
      <c r="W415" s="135"/>
      <c r="X415" s="135"/>
      <c r="Y415" s="135"/>
      <c r="Z415" s="135"/>
      <c r="AA415" s="135"/>
      <c r="AB415" s="135"/>
      <c r="AC415" s="135"/>
      <c r="AD415" s="135"/>
      <c r="AE415" s="135"/>
      <c r="AF415" s="135"/>
      <c r="AG415" s="135"/>
    </row>
    <row r="416" spans="15:33" ht="15.75" customHeight="1" x14ac:dyDescent="0.3">
      <c r="O416" s="135"/>
      <c r="P416" s="157"/>
      <c r="Q416" s="157"/>
      <c r="R416" s="157"/>
      <c r="S416" s="157"/>
      <c r="T416" s="157"/>
      <c r="U416" s="157"/>
      <c r="V416" s="157"/>
      <c r="W416" s="135"/>
      <c r="X416" s="135"/>
      <c r="Y416" s="135"/>
      <c r="Z416" s="135"/>
      <c r="AA416" s="135"/>
      <c r="AB416" s="135"/>
      <c r="AC416" s="135"/>
      <c r="AD416" s="135"/>
      <c r="AE416" s="135"/>
      <c r="AF416" s="135"/>
      <c r="AG416" s="135"/>
    </row>
    <row r="417" spans="15:33" ht="15.75" customHeight="1" x14ac:dyDescent="0.3">
      <c r="O417" s="135"/>
      <c r="P417" s="157"/>
      <c r="Q417" s="157"/>
      <c r="R417" s="157"/>
      <c r="S417" s="157"/>
      <c r="T417" s="157"/>
      <c r="U417" s="157"/>
      <c r="V417" s="157"/>
      <c r="W417" s="135"/>
      <c r="X417" s="135"/>
      <c r="Y417" s="135"/>
      <c r="Z417" s="135"/>
      <c r="AA417" s="135"/>
      <c r="AB417" s="135"/>
      <c r="AC417" s="135"/>
      <c r="AD417" s="135"/>
      <c r="AE417" s="135"/>
      <c r="AF417" s="135"/>
      <c r="AG417" s="135"/>
    </row>
    <row r="418" spans="15:33" ht="15.75" customHeight="1" x14ac:dyDescent="0.3">
      <c r="O418" s="135"/>
      <c r="P418" s="157"/>
      <c r="Q418" s="157"/>
      <c r="R418" s="157"/>
      <c r="S418" s="157"/>
      <c r="T418" s="157"/>
      <c r="U418" s="157"/>
      <c r="V418" s="157"/>
      <c r="W418" s="135"/>
      <c r="X418" s="135"/>
      <c r="Y418" s="135"/>
      <c r="Z418" s="135"/>
      <c r="AA418" s="135"/>
      <c r="AB418" s="135"/>
      <c r="AC418" s="135"/>
      <c r="AD418" s="135"/>
      <c r="AE418" s="135"/>
      <c r="AF418" s="135"/>
      <c r="AG418" s="135"/>
    </row>
    <row r="419" spans="15:33" ht="15.75" customHeight="1" x14ac:dyDescent="0.3">
      <c r="O419" s="135"/>
      <c r="P419" s="157"/>
      <c r="Q419" s="157"/>
      <c r="R419" s="157"/>
      <c r="S419" s="157"/>
      <c r="T419" s="157"/>
      <c r="U419" s="157"/>
      <c r="V419" s="157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</row>
    <row r="420" spans="15:33" ht="15.75" customHeight="1" x14ac:dyDescent="0.3">
      <c r="O420" s="135"/>
      <c r="P420" s="157"/>
      <c r="Q420" s="157"/>
      <c r="R420" s="157"/>
      <c r="S420" s="157"/>
      <c r="T420" s="157"/>
      <c r="U420" s="157"/>
      <c r="V420" s="157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</row>
    <row r="421" spans="15:33" ht="15.75" customHeight="1" x14ac:dyDescent="0.3">
      <c r="O421" s="135"/>
      <c r="P421" s="157"/>
      <c r="Q421" s="157"/>
      <c r="R421" s="157"/>
      <c r="S421" s="157"/>
      <c r="T421" s="157"/>
      <c r="U421" s="157"/>
      <c r="V421" s="157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</row>
    <row r="422" spans="15:33" ht="15.75" customHeight="1" x14ac:dyDescent="0.3">
      <c r="O422" s="135"/>
      <c r="P422" s="157"/>
      <c r="Q422" s="157"/>
      <c r="R422" s="157"/>
      <c r="S422" s="157"/>
      <c r="T422" s="157"/>
      <c r="U422" s="157"/>
      <c r="V422" s="157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</row>
    <row r="423" spans="15:33" ht="15.75" customHeight="1" x14ac:dyDescent="0.3">
      <c r="O423" s="135"/>
      <c r="P423" s="157"/>
      <c r="Q423" s="157"/>
      <c r="R423" s="157"/>
      <c r="S423" s="157"/>
      <c r="T423" s="157"/>
      <c r="U423" s="157"/>
      <c r="V423" s="157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5"/>
    </row>
    <row r="424" spans="15:33" ht="15.75" customHeight="1" x14ac:dyDescent="0.3">
      <c r="O424" s="135"/>
      <c r="P424" s="157"/>
      <c r="Q424" s="157"/>
      <c r="R424" s="157"/>
      <c r="S424" s="157"/>
      <c r="T424" s="157"/>
      <c r="U424" s="157"/>
      <c r="V424" s="157"/>
      <c r="W424" s="135"/>
      <c r="X424" s="135"/>
      <c r="Y424" s="135"/>
      <c r="Z424" s="135"/>
      <c r="AA424" s="135"/>
      <c r="AB424" s="135"/>
      <c r="AC424" s="135"/>
      <c r="AD424" s="135"/>
      <c r="AE424" s="135"/>
      <c r="AF424" s="135"/>
      <c r="AG424" s="135"/>
    </row>
    <row r="425" spans="15:33" ht="15.75" customHeight="1" x14ac:dyDescent="0.3">
      <c r="O425" s="135"/>
      <c r="P425" s="157"/>
      <c r="Q425" s="157"/>
      <c r="R425" s="157"/>
      <c r="S425" s="157"/>
      <c r="T425" s="157"/>
      <c r="U425" s="157"/>
      <c r="V425" s="157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</row>
    <row r="426" spans="15:33" ht="15.75" customHeight="1" x14ac:dyDescent="0.3">
      <c r="O426" s="135"/>
      <c r="P426" s="157"/>
      <c r="Q426" s="157"/>
      <c r="R426" s="157"/>
      <c r="S426" s="157"/>
      <c r="T426" s="157"/>
      <c r="U426" s="157"/>
      <c r="V426" s="157"/>
      <c r="W426" s="135"/>
      <c r="X426" s="135"/>
      <c r="Y426" s="135"/>
      <c r="Z426" s="135"/>
      <c r="AA426" s="135"/>
      <c r="AB426" s="135"/>
      <c r="AC426" s="135"/>
      <c r="AD426" s="135"/>
      <c r="AE426" s="135"/>
      <c r="AF426" s="135"/>
      <c r="AG426" s="135"/>
    </row>
    <row r="427" spans="15:33" ht="15.75" customHeight="1" x14ac:dyDescent="0.3">
      <c r="O427" s="135"/>
      <c r="P427" s="157"/>
      <c r="Q427" s="157"/>
      <c r="R427" s="157"/>
      <c r="S427" s="157"/>
      <c r="T427" s="157"/>
      <c r="U427" s="157"/>
      <c r="V427" s="157"/>
      <c r="W427" s="135"/>
      <c r="X427" s="135"/>
      <c r="Y427" s="135"/>
      <c r="Z427" s="135"/>
      <c r="AA427" s="135"/>
      <c r="AB427" s="135"/>
      <c r="AC427" s="135"/>
      <c r="AD427" s="135"/>
      <c r="AE427" s="135"/>
      <c r="AF427" s="135"/>
      <c r="AG427" s="135"/>
    </row>
    <row r="428" spans="15:33" ht="15.75" customHeight="1" x14ac:dyDescent="0.3">
      <c r="O428" s="135"/>
      <c r="P428" s="157"/>
      <c r="Q428" s="157"/>
      <c r="R428" s="157"/>
      <c r="S428" s="157"/>
      <c r="T428" s="157"/>
      <c r="U428" s="157"/>
      <c r="V428" s="157"/>
      <c r="W428" s="135"/>
      <c r="X428" s="135"/>
      <c r="Y428" s="135"/>
      <c r="Z428" s="135"/>
      <c r="AA428" s="135"/>
      <c r="AB428" s="135"/>
      <c r="AC428" s="135"/>
      <c r="AD428" s="135"/>
      <c r="AE428" s="135"/>
      <c r="AF428" s="135"/>
      <c r="AG428" s="135"/>
    </row>
    <row r="429" spans="15:33" ht="15.75" customHeight="1" x14ac:dyDescent="0.3">
      <c r="O429" s="135"/>
      <c r="P429" s="157"/>
      <c r="Q429" s="157"/>
      <c r="R429" s="157"/>
      <c r="S429" s="157"/>
      <c r="T429" s="157"/>
      <c r="U429" s="157"/>
      <c r="V429" s="157"/>
      <c r="W429" s="135"/>
      <c r="X429" s="135"/>
      <c r="Y429" s="135"/>
      <c r="Z429" s="135"/>
      <c r="AA429" s="135"/>
      <c r="AB429" s="135"/>
      <c r="AC429" s="135"/>
      <c r="AD429" s="135"/>
      <c r="AE429" s="135"/>
      <c r="AF429" s="135"/>
      <c r="AG429" s="135"/>
    </row>
    <row r="430" spans="15:33" ht="15.75" customHeight="1" x14ac:dyDescent="0.3">
      <c r="O430" s="135"/>
      <c r="P430" s="157"/>
      <c r="Q430" s="157"/>
      <c r="R430" s="157"/>
      <c r="S430" s="157"/>
      <c r="T430" s="157"/>
      <c r="U430" s="157"/>
      <c r="V430" s="157"/>
      <c r="W430" s="135"/>
      <c r="X430" s="135"/>
      <c r="Y430" s="135"/>
      <c r="Z430" s="135"/>
      <c r="AA430" s="135"/>
      <c r="AB430" s="135"/>
      <c r="AC430" s="135"/>
      <c r="AD430" s="135"/>
      <c r="AE430" s="135"/>
      <c r="AF430" s="135"/>
      <c r="AG430" s="135"/>
    </row>
    <row r="431" spans="15:33" ht="15.75" customHeight="1" x14ac:dyDescent="0.3">
      <c r="O431" s="135"/>
      <c r="P431" s="157"/>
      <c r="Q431" s="157"/>
      <c r="R431" s="157"/>
      <c r="S431" s="157"/>
      <c r="T431" s="157"/>
      <c r="U431" s="157"/>
      <c r="V431" s="157"/>
      <c r="W431" s="135"/>
      <c r="X431" s="135"/>
      <c r="Y431" s="135"/>
      <c r="Z431" s="135"/>
      <c r="AA431" s="135"/>
      <c r="AB431" s="135"/>
      <c r="AC431" s="135"/>
      <c r="AD431" s="135"/>
      <c r="AE431" s="135"/>
      <c r="AF431" s="135"/>
      <c r="AG431" s="135"/>
    </row>
    <row r="432" spans="15:33" ht="15.75" customHeight="1" x14ac:dyDescent="0.3">
      <c r="O432" s="135"/>
      <c r="P432" s="157"/>
      <c r="Q432" s="157"/>
      <c r="R432" s="157"/>
      <c r="S432" s="157"/>
      <c r="T432" s="157"/>
      <c r="U432" s="157"/>
      <c r="V432" s="157"/>
      <c r="W432" s="135"/>
      <c r="X432" s="135"/>
      <c r="Y432" s="135"/>
      <c r="Z432" s="135"/>
      <c r="AA432" s="135"/>
      <c r="AB432" s="135"/>
      <c r="AC432" s="135"/>
      <c r="AD432" s="135"/>
      <c r="AE432" s="135"/>
      <c r="AF432" s="135"/>
      <c r="AG432" s="135"/>
    </row>
    <row r="433" spans="15:33" ht="15.75" customHeight="1" x14ac:dyDescent="0.3">
      <c r="O433" s="135"/>
      <c r="P433" s="157"/>
      <c r="Q433" s="157"/>
      <c r="R433" s="157"/>
      <c r="S433" s="157"/>
      <c r="T433" s="157"/>
      <c r="U433" s="157"/>
      <c r="V433" s="157"/>
      <c r="W433" s="135"/>
      <c r="X433" s="135"/>
      <c r="Y433" s="135"/>
      <c r="Z433" s="135"/>
      <c r="AA433" s="135"/>
      <c r="AB433" s="135"/>
      <c r="AC433" s="135"/>
      <c r="AD433" s="135"/>
      <c r="AE433" s="135"/>
      <c r="AF433" s="135"/>
      <c r="AG433" s="135"/>
    </row>
    <row r="434" spans="15:33" ht="15.75" customHeight="1" x14ac:dyDescent="0.3">
      <c r="O434" s="135"/>
      <c r="P434" s="157"/>
      <c r="Q434" s="157"/>
      <c r="R434" s="157"/>
      <c r="S434" s="157"/>
      <c r="T434" s="157"/>
      <c r="U434" s="157"/>
      <c r="V434" s="157"/>
      <c r="W434" s="135"/>
      <c r="X434" s="135"/>
      <c r="Y434" s="135"/>
      <c r="Z434" s="135"/>
      <c r="AA434" s="135"/>
      <c r="AB434" s="135"/>
      <c r="AC434" s="135"/>
      <c r="AD434" s="135"/>
      <c r="AE434" s="135"/>
      <c r="AF434" s="135"/>
      <c r="AG434" s="135"/>
    </row>
    <row r="435" spans="15:33" ht="15.75" customHeight="1" x14ac:dyDescent="0.3">
      <c r="O435" s="135"/>
      <c r="P435" s="157"/>
      <c r="Q435" s="157"/>
      <c r="R435" s="157"/>
      <c r="S435" s="157"/>
      <c r="T435" s="157"/>
      <c r="U435" s="157"/>
      <c r="V435" s="157"/>
      <c r="W435" s="135"/>
      <c r="X435" s="135"/>
      <c r="Y435" s="135"/>
      <c r="Z435" s="135"/>
      <c r="AA435" s="135"/>
      <c r="AB435" s="135"/>
      <c r="AC435" s="135"/>
      <c r="AD435" s="135"/>
      <c r="AE435" s="135"/>
      <c r="AF435" s="135"/>
      <c r="AG435" s="135"/>
    </row>
    <row r="436" spans="15:33" ht="15.75" customHeight="1" x14ac:dyDescent="0.3">
      <c r="O436" s="135"/>
      <c r="P436" s="157"/>
      <c r="Q436" s="157"/>
      <c r="R436" s="157"/>
      <c r="S436" s="157"/>
      <c r="T436" s="157"/>
      <c r="U436" s="157"/>
      <c r="V436" s="157"/>
      <c r="W436" s="135"/>
      <c r="X436" s="135"/>
      <c r="Y436" s="135"/>
      <c r="Z436" s="135"/>
      <c r="AA436" s="135"/>
      <c r="AB436" s="135"/>
      <c r="AC436" s="135"/>
      <c r="AD436" s="135"/>
      <c r="AE436" s="135"/>
      <c r="AF436" s="135"/>
      <c r="AG436" s="135"/>
    </row>
    <row r="437" spans="15:33" ht="15.75" customHeight="1" x14ac:dyDescent="0.3">
      <c r="O437" s="135"/>
      <c r="P437" s="157"/>
      <c r="Q437" s="157"/>
      <c r="R437" s="157"/>
      <c r="S437" s="157"/>
      <c r="T437" s="157"/>
      <c r="U437" s="157"/>
      <c r="V437" s="157"/>
      <c r="W437" s="135"/>
      <c r="X437" s="135"/>
      <c r="Y437" s="135"/>
      <c r="Z437" s="135"/>
      <c r="AA437" s="135"/>
      <c r="AB437" s="135"/>
      <c r="AC437" s="135"/>
      <c r="AD437" s="135"/>
      <c r="AE437" s="135"/>
      <c r="AF437" s="135"/>
      <c r="AG437" s="135"/>
    </row>
    <row r="438" spans="15:33" ht="15.75" customHeight="1" x14ac:dyDescent="0.3">
      <c r="O438" s="135"/>
      <c r="P438" s="157"/>
      <c r="Q438" s="157"/>
      <c r="R438" s="157"/>
      <c r="S438" s="157"/>
      <c r="T438" s="157"/>
      <c r="U438" s="157"/>
      <c r="V438" s="157"/>
      <c r="W438" s="135"/>
      <c r="X438" s="135"/>
      <c r="Y438" s="135"/>
      <c r="Z438" s="135"/>
      <c r="AA438" s="135"/>
      <c r="AB438" s="135"/>
      <c r="AC438" s="135"/>
      <c r="AD438" s="135"/>
      <c r="AE438" s="135"/>
      <c r="AF438" s="135"/>
      <c r="AG438" s="135"/>
    </row>
    <row r="439" spans="15:33" ht="15.75" customHeight="1" x14ac:dyDescent="0.3">
      <c r="O439" s="135"/>
      <c r="P439" s="157"/>
      <c r="Q439" s="157"/>
      <c r="R439" s="157"/>
      <c r="S439" s="157"/>
      <c r="T439" s="157"/>
      <c r="U439" s="157"/>
      <c r="V439" s="157"/>
      <c r="W439" s="135"/>
      <c r="X439" s="135"/>
      <c r="Y439" s="135"/>
      <c r="Z439" s="135"/>
      <c r="AA439" s="135"/>
      <c r="AB439" s="135"/>
      <c r="AC439" s="135"/>
      <c r="AD439" s="135"/>
      <c r="AE439" s="135"/>
      <c r="AF439" s="135"/>
      <c r="AG439" s="135"/>
    </row>
    <row r="440" spans="15:33" ht="15.75" customHeight="1" x14ac:dyDescent="0.3">
      <c r="O440" s="135"/>
      <c r="P440" s="157"/>
      <c r="Q440" s="157"/>
      <c r="R440" s="157"/>
      <c r="S440" s="157"/>
      <c r="T440" s="157"/>
      <c r="U440" s="157"/>
      <c r="V440" s="157"/>
      <c r="W440" s="135"/>
      <c r="X440" s="135"/>
      <c r="Y440" s="135"/>
      <c r="Z440" s="135"/>
      <c r="AA440" s="135"/>
      <c r="AB440" s="135"/>
      <c r="AC440" s="135"/>
      <c r="AD440" s="135"/>
      <c r="AE440" s="135"/>
      <c r="AF440" s="135"/>
      <c r="AG440" s="135"/>
    </row>
    <row r="441" spans="15:33" ht="15.75" customHeight="1" x14ac:dyDescent="0.3">
      <c r="O441" s="135"/>
      <c r="P441" s="157"/>
      <c r="Q441" s="157"/>
      <c r="R441" s="157"/>
      <c r="S441" s="157"/>
      <c r="T441" s="157"/>
      <c r="U441" s="157"/>
      <c r="V441" s="157"/>
      <c r="W441" s="135"/>
      <c r="X441" s="135"/>
      <c r="Y441" s="135"/>
      <c r="Z441" s="135"/>
      <c r="AA441" s="135"/>
      <c r="AB441" s="135"/>
      <c r="AC441" s="135"/>
      <c r="AD441" s="135"/>
      <c r="AE441" s="135"/>
      <c r="AF441" s="135"/>
      <c r="AG441" s="135"/>
    </row>
    <row r="442" spans="15:33" ht="15.75" customHeight="1" x14ac:dyDescent="0.3">
      <c r="O442" s="135"/>
      <c r="P442" s="157"/>
      <c r="Q442" s="157"/>
      <c r="R442" s="157"/>
      <c r="S442" s="157"/>
      <c r="T442" s="157"/>
      <c r="U442" s="157"/>
      <c r="V442" s="157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</row>
    <row r="443" spans="15:33" ht="15.75" customHeight="1" x14ac:dyDescent="0.3">
      <c r="O443" s="135"/>
      <c r="P443" s="157"/>
      <c r="Q443" s="157"/>
      <c r="R443" s="157"/>
      <c r="S443" s="157"/>
      <c r="T443" s="157"/>
      <c r="U443" s="157"/>
      <c r="V443" s="157"/>
      <c r="W443" s="135"/>
      <c r="X443" s="135"/>
      <c r="Y443" s="135"/>
      <c r="Z443" s="135"/>
      <c r="AA443" s="135"/>
      <c r="AB443" s="135"/>
      <c r="AC443" s="135"/>
      <c r="AD443" s="135"/>
      <c r="AE443" s="135"/>
      <c r="AF443" s="135"/>
      <c r="AG443" s="135"/>
    </row>
    <row r="444" spans="15:33" ht="15.75" customHeight="1" x14ac:dyDescent="0.3">
      <c r="O444" s="135"/>
      <c r="P444" s="157"/>
      <c r="Q444" s="157"/>
      <c r="R444" s="157"/>
      <c r="S444" s="157"/>
      <c r="T444" s="157"/>
      <c r="U444" s="157"/>
      <c r="V444" s="157"/>
      <c r="W444" s="135"/>
      <c r="X444" s="135"/>
      <c r="Y444" s="135"/>
      <c r="Z444" s="135"/>
      <c r="AA444" s="135"/>
      <c r="AB444" s="135"/>
      <c r="AC444" s="135"/>
      <c r="AD444" s="135"/>
      <c r="AE444" s="135"/>
      <c r="AF444" s="135"/>
      <c r="AG444" s="135"/>
    </row>
    <row r="445" spans="15:33" ht="15.75" customHeight="1" x14ac:dyDescent="0.3">
      <c r="O445" s="135"/>
      <c r="P445" s="157"/>
      <c r="Q445" s="157"/>
      <c r="R445" s="157"/>
      <c r="S445" s="157"/>
      <c r="T445" s="157"/>
      <c r="U445" s="157"/>
      <c r="V445" s="157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</row>
    <row r="446" spans="15:33" ht="15.75" customHeight="1" x14ac:dyDescent="0.3">
      <c r="O446" s="135"/>
      <c r="P446" s="157"/>
      <c r="Q446" s="157"/>
      <c r="R446" s="157"/>
      <c r="S446" s="157"/>
      <c r="T446" s="157"/>
      <c r="U446" s="157"/>
      <c r="V446" s="157"/>
      <c r="W446" s="135"/>
      <c r="X446" s="135"/>
      <c r="Y446" s="135"/>
      <c r="Z446" s="135"/>
      <c r="AA446" s="135"/>
      <c r="AB446" s="135"/>
      <c r="AC446" s="135"/>
      <c r="AD446" s="135"/>
      <c r="AE446" s="135"/>
      <c r="AF446" s="135"/>
      <c r="AG446" s="135"/>
    </row>
    <row r="447" spans="15:33" ht="15.75" customHeight="1" x14ac:dyDescent="0.3">
      <c r="O447" s="135"/>
      <c r="P447" s="157"/>
      <c r="Q447" s="157"/>
      <c r="R447" s="157"/>
      <c r="S447" s="157"/>
      <c r="T447" s="157"/>
      <c r="U447" s="157"/>
      <c r="V447" s="157"/>
      <c r="W447" s="135"/>
      <c r="X447" s="135"/>
      <c r="Y447" s="135"/>
      <c r="Z447" s="135"/>
      <c r="AA447" s="135"/>
      <c r="AB447" s="135"/>
      <c r="AC447" s="135"/>
      <c r="AD447" s="135"/>
      <c r="AE447" s="135"/>
      <c r="AF447" s="135"/>
      <c r="AG447" s="135"/>
    </row>
    <row r="448" spans="15:33" ht="15.75" customHeight="1" x14ac:dyDescent="0.3">
      <c r="O448" s="135"/>
      <c r="P448" s="157"/>
      <c r="Q448" s="157"/>
      <c r="R448" s="157"/>
      <c r="S448" s="157"/>
      <c r="T448" s="157"/>
      <c r="U448" s="157"/>
      <c r="V448" s="157"/>
      <c r="W448" s="135"/>
      <c r="X448" s="135"/>
      <c r="Y448" s="135"/>
      <c r="Z448" s="135"/>
      <c r="AA448" s="135"/>
      <c r="AB448" s="135"/>
      <c r="AC448" s="135"/>
      <c r="AD448" s="135"/>
      <c r="AE448" s="135"/>
      <c r="AF448" s="135"/>
      <c r="AG448" s="135"/>
    </row>
    <row r="449" spans="15:33" ht="15.75" customHeight="1" x14ac:dyDescent="0.3">
      <c r="O449" s="135"/>
      <c r="P449" s="157"/>
      <c r="Q449" s="157"/>
      <c r="R449" s="157"/>
      <c r="S449" s="157"/>
      <c r="T449" s="157"/>
      <c r="U449" s="157"/>
      <c r="V449" s="157"/>
      <c r="W449" s="135"/>
      <c r="X449" s="135"/>
      <c r="Y449" s="135"/>
      <c r="Z449" s="135"/>
      <c r="AA449" s="135"/>
      <c r="AB449" s="135"/>
      <c r="AC449" s="135"/>
      <c r="AD449" s="135"/>
      <c r="AE449" s="135"/>
      <c r="AF449" s="135"/>
      <c r="AG449" s="135"/>
    </row>
    <row r="450" spans="15:33" ht="15.75" customHeight="1" x14ac:dyDescent="0.3">
      <c r="O450" s="135"/>
      <c r="P450" s="157"/>
      <c r="Q450" s="157"/>
      <c r="R450" s="157"/>
      <c r="S450" s="157"/>
      <c r="T450" s="157"/>
      <c r="U450" s="157"/>
      <c r="V450" s="157"/>
      <c r="W450" s="135"/>
      <c r="X450" s="135"/>
      <c r="Y450" s="135"/>
      <c r="Z450" s="135"/>
      <c r="AA450" s="135"/>
      <c r="AB450" s="135"/>
      <c r="AC450" s="135"/>
      <c r="AD450" s="135"/>
      <c r="AE450" s="135"/>
      <c r="AF450" s="135"/>
      <c r="AG450" s="135"/>
    </row>
    <row r="451" spans="15:33" ht="15.75" customHeight="1" x14ac:dyDescent="0.3">
      <c r="O451" s="135"/>
      <c r="P451" s="157"/>
      <c r="Q451" s="157"/>
      <c r="R451" s="157"/>
      <c r="S451" s="157"/>
      <c r="T451" s="157"/>
      <c r="U451" s="157"/>
      <c r="V451" s="157"/>
      <c r="W451" s="135"/>
      <c r="X451" s="135"/>
      <c r="Y451" s="135"/>
      <c r="Z451" s="135"/>
      <c r="AA451" s="135"/>
      <c r="AB451" s="135"/>
      <c r="AC451" s="135"/>
      <c r="AD451" s="135"/>
      <c r="AE451" s="135"/>
      <c r="AF451" s="135"/>
      <c r="AG451" s="135"/>
    </row>
    <row r="452" spans="15:33" ht="15.75" customHeight="1" x14ac:dyDescent="0.3">
      <c r="O452" s="135"/>
      <c r="P452" s="157"/>
      <c r="Q452" s="157"/>
      <c r="R452" s="157"/>
      <c r="S452" s="157"/>
      <c r="T452" s="157"/>
      <c r="U452" s="157"/>
      <c r="V452" s="157"/>
      <c r="W452" s="135"/>
      <c r="X452" s="135"/>
      <c r="Y452" s="135"/>
      <c r="Z452" s="135"/>
      <c r="AA452" s="135"/>
      <c r="AB452" s="135"/>
      <c r="AC452" s="135"/>
      <c r="AD452" s="135"/>
      <c r="AE452" s="135"/>
      <c r="AF452" s="135"/>
      <c r="AG452" s="135"/>
    </row>
    <row r="453" spans="15:33" ht="15.75" customHeight="1" x14ac:dyDescent="0.3">
      <c r="O453" s="135"/>
      <c r="P453" s="157"/>
      <c r="Q453" s="157"/>
      <c r="R453" s="157"/>
      <c r="S453" s="157"/>
      <c r="T453" s="157"/>
      <c r="U453" s="157"/>
      <c r="V453" s="157"/>
      <c r="W453" s="135"/>
      <c r="X453" s="135"/>
      <c r="Y453" s="135"/>
      <c r="Z453" s="135"/>
      <c r="AA453" s="135"/>
      <c r="AB453" s="135"/>
      <c r="AC453" s="135"/>
      <c r="AD453" s="135"/>
      <c r="AE453" s="135"/>
      <c r="AF453" s="135"/>
      <c r="AG453" s="135"/>
    </row>
    <row r="454" spans="15:33" ht="15.75" customHeight="1" x14ac:dyDescent="0.3">
      <c r="O454" s="135"/>
      <c r="P454" s="157"/>
      <c r="Q454" s="157"/>
      <c r="R454" s="157"/>
      <c r="S454" s="157"/>
      <c r="T454" s="157"/>
      <c r="U454" s="157"/>
      <c r="V454" s="157"/>
      <c r="W454" s="135"/>
      <c r="X454" s="135"/>
      <c r="Y454" s="135"/>
      <c r="Z454" s="135"/>
      <c r="AA454" s="135"/>
      <c r="AB454" s="135"/>
      <c r="AC454" s="135"/>
      <c r="AD454" s="135"/>
      <c r="AE454" s="135"/>
      <c r="AF454" s="135"/>
      <c r="AG454" s="135"/>
    </row>
    <row r="455" spans="15:33" ht="15.75" customHeight="1" x14ac:dyDescent="0.3">
      <c r="O455" s="135"/>
      <c r="P455" s="157"/>
      <c r="Q455" s="157"/>
      <c r="R455" s="157"/>
      <c r="S455" s="157"/>
      <c r="T455" s="157"/>
      <c r="U455" s="157"/>
      <c r="V455" s="157"/>
      <c r="W455" s="135"/>
      <c r="X455" s="135"/>
      <c r="Y455" s="135"/>
      <c r="Z455" s="135"/>
      <c r="AA455" s="135"/>
      <c r="AB455" s="135"/>
      <c r="AC455" s="135"/>
      <c r="AD455" s="135"/>
      <c r="AE455" s="135"/>
      <c r="AF455" s="135"/>
      <c r="AG455" s="135"/>
    </row>
    <row r="456" spans="15:33" ht="15.75" customHeight="1" x14ac:dyDescent="0.3">
      <c r="O456" s="135"/>
      <c r="P456" s="157"/>
      <c r="Q456" s="157"/>
      <c r="R456" s="157"/>
      <c r="S456" s="157"/>
      <c r="T456" s="157"/>
      <c r="U456" s="157"/>
      <c r="V456" s="157"/>
      <c r="W456" s="135"/>
      <c r="X456" s="135"/>
      <c r="Y456" s="135"/>
      <c r="Z456" s="135"/>
      <c r="AA456" s="135"/>
      <c r="AB456" s="135"/>
      <c r="AC456" s="135"/>
      <c r="AD456" s="135"/>
      <c r="AE456" s="135"/>
      <c r="AF456" s="135"/>
      <c r="AG456" s="135"/>
    </row>
    <row r="457" spans="15:33" ht="15.75" customHeight="1" x14ac:dyDescent="0.3">
      <c r="O457" s="135"/>
      <c r="P457" s="157"/>
      <c r="Q457" s="157"/>
      <c r="R457" s="157"/>
      <c r="S457" s="157"/>
      <c r="T457" s="157"/>
      <c r="U457" s="157"/>
      <c r="V457" s="157"/>
      <c r="W457" s="135"/>
      <c r="X457" s="135"/>
      <c r="Y457" s="135"/>
      <c r="Z457" s="135"/>
      <c r="AA457" s="135"/>
      <c r="AB457" s="135"/>
      <c r="AC457" s="135"/>
      <c r="AD457" s="135"/>
      <c r="AE457" s="135"/>
      <c r="AF457" s="135"/>
      <c r="AG457" s="135"/>
    </row>
    <row r="458" spans="15:33" ht="15.75" customHeight="1" x14ac:dyDescent="0.3">
      <c r="O458" s="135"/>
      <c r="P458" s="157"/>
      <c r="Q458" s="157"/>
      <c r="R458" s="157"/>
      <c r="S458" s="157"/>
      <c r="T458" s="157"/>
      <c r="U458" s="157"/>
      <c r="V458" s="157"/>
      <c r="W458" s="135"/>
      <c r="X458" s="135"/>
      <c r="Y458" s="135"/>
      <c r="Z458" s="135"/>
      <c r="AA458" s="135"/>
      <c r="AB458" s="135"/>
      <c r="AC458" s="135"/>
      <c r="AD458" s="135"/>
      <c r="AE458" s="135"/>
      <c r="AF458" s="135"/>
      <c r="AG458" s="135"/>
    </row>
    <row r="459" spans="15:33" ht="15.75" customHeight="1" x14ac:dyDescent="0.3">
      <c r="O459" s="135"/>
      <c r="P459" s="157"/>
      <c r="Q459" s="157"/>
      <c r="R459" s="157"/>
      <c r="S459" s="157"/>
      <c r="T459" s="157"/>
      <c r="U459" s="157"/>
      <c r="V459" s="157"/>
      <c r="W459" s="135"/>
      <c r="X459" s="135"/>
      <c r="Y459" s="135"/>
      <c r="Z459" s="135"/>
      <c r="AA459" s="135"/>
      <c r="AB459" s="135"/>
      <c r="AC459" s="135"/>
      <c r="AD459" s="135"/>
      <c r="AE459" s="135"/>
      <c r="AF459" s="135"/>
      <c r="AG459" s="135"/>
    </row>
    <row r="460" spans="15:33" ht="15.75" customHeight="1" x14ac:dyDescent="0.3">
      <c r="O460" s="135"/>
      <c r="P460" s="157"/>
      <c r="Q460" s="157"/>
      <c r="R460" s="157"/>
      <c r="S460" s="157"/>
      <c r="T460" s="157"/>
      <c r="U460" s="157"/>
      <c r="V460" s="157"/>
      <c r="W460" s="135"/>
      <c r="X460" s="135"/>
      <c r="Y460" s="135"/>
      <c r="Z460" s="135"/>
      <c r="AA460" s="135"/>
      <c r="AB460" s="135"/>
      <c r="AC460" s="135"/>
      <c r="AD460" s="135"/>
      <c r="AE460" s="135"/>
      <c r="AF460" s="135"/>
      <c r="AG460" s="135"/>
    </row>
    <row r="461" spans="15:33" ht="15.75" customHeight="1" x14ac:dyDescent="0.3">
      <c r="O461" s="135"/>
      <c r="P461" s="157"/>
      <c r="Q461" s="157"/>
      <c r="R461" s="157"/>
      <c r="S461" s="157"/>
      <c r="T461" s="157"/>
      <c r="U461" s="157"/>
      <c r="V461" s="157"/>
      <c r="W461" s="135"/>
      <c r="X461" s="135"/>
      <c r="Y461" s="135"/>
      <c r="Z461" s="135"/>
      <c r="AA461" s="135"/>
      <c r="AB461" s="135"/>
      <c r="AC461" s="135"/>
      <c r="AD461" s="135"/>
      <c r="AE461" s="135"/>
      <c r="AF461" s="135"/>
      <c r="AG461" s="135"/>
    </row>
    <row r="462" spans="15:33" ht="15.75" customHeight="1" x14ac:dyDescent="0.3">
      <c r="O462" s="135"/>
      <c r="P462" s="157"/>
      <c r="Q462" s="157"/>
      <c r="R462" s="157"/>
      <c r="S462" s="157"/>
      <c r="T462" s="157"/>
      <c r="U462" s="157"/>
      <c r="V462" s="157"/>
      <c r="W462" s="135"/>
      <c r="X462" s="135"/>
      <c r="Y462" s="135"/>
      <c r="Z462" s="135"/>
      <c r="AA462" s="135"/>
      <c r="AB462" s="135"/>
      <c r="AC462" s="135"/>
      <c r="AD462" s="135"/>
      <c r="AE462" s="135"/>
      <c r="AF462" s="135"/>
      <c r="AG462" s="135"/>
    </row>
    <row r="463" spans="15:33" ht="15.75" customHeight="1" x14ac:dyDescent="0.3">
      <c r="O463" s="135"/>
      <c r="P463" s="157"/>
      <c r="Q463" s="157"/>
      <c r="R463" s="157"/>
      <c r="S463" s="157"/>
      <c r="T463" s="157"/>
      <c r="U463" s="157"/>
      <c r="V463" s="157"/>
      <c r="W463" s="135"/>
      <c r="X463" s="135"/>
      <c r="Y463" s="135"/>
      <c r="Z463" s="135"/>
      <c r="AA463" s="135"/>
      <c r="AB463" s="135"/>
      <c r="AC463" s="135"/>
      <c r="AD463" s="135"/>
      <c r="AE463" s="135"/>
      <c r="AF463" s="135"/>
      <c r="AG463" s="135"/>
    </row>
    <row r="464" spans="15:33" ht="15.75" customHeight="1" x14ac:dyDescent="0.3">
      <c r="O464" s="135"/>
      <c r="P464" s="157"/>
      <c r="Q464" s="157"/>
      <c r="R464" s="157"/>
      <c r="S464" s="157"/>
      <c r="T464" s="157"/>
      <c r="U464" s="157"/>
      <c r="V464" s="157"/>
      <c r="W464" s="135"/>
      <c r="X464" s="135"/>
      <c r="Y464" s="135"/>
      <c r="Z464" s="135"/>
      <c r="AA464" s="135"/>
      <c r="AB464" s="135"/>
      <c r="AC464" s="135"/>
      <c r="AD464" s="135"/>
      <c r="AE464" s="135"/>
      <c r="AF464" s="135"/>
      <c r="AG464" s="135"/>
    </row>
    <row r="465" spans="15:33" ht="15.75" customHeight="1" x14ac:dyDescent="0.3">
      <c r="O465" s="135"/>
      <c r="P465" s="157"/>
      <c r="Q465" s="157"/>
      <c r="R465" s="157"/>
      <c r="S465" s="157"/>
      <c r="T465" s="157"/>
      <c r="U465" s="157"/>
      <c r="V465" s="157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</row>
    <row r="466" spans="15:33" ht="15.75" customHeight="1" x14ac:dyDescent="0.3">
      <c r="O466" s="135"/>
      <c r="P466" s="157"/>
      <c r="Q466" s="157"/>
      <c r="R466" s="157"/>
      <c r="S466" s="157"/>
      <c r="T466" s="157"/>
      <c r="U466" s="157"/>
      <c r="V466" s="157"/>
      <c r="W466" s="135"/>
      <c r="X466" s="135"/>
      <c r="Y466" s="135"/>
      <c r="Z466" s="135"/>
      <c r="AA466" s="135"/>
      <c r="AB466" s="135"/>
      <c r="AC466" s="135"/>
      <c r="AD466" s="135"/>
      <c r="AE466" s="135"/>
      <c r="AF466" s="135"/>
      <c r="AG466" s="135"/>
    </row>
    <row r="467" spans="15:33" ht="15.75" customHeight="1" x14ac:dyDescent="0.3">
      <c r="O467" s="135"/>
      <c r="P467" s="157"/>
      <c r="Q467" s="157"/>
      <c r="R467" s="157"/>
      <c r="S467" s="157"/>
      <c r="T467" s="157"/>
      <c r="U467" s="157"/>
      <c r="V467" s="157"/>
      <c r="W467" s="135"/>
      <c r="X467" s="135"/>
      <c r="Y467" s="135"/>
      <c r="Z467" s="135"/>
      <c r="AA467" s="135"/>
      <c r="AB467" s="135"/>
      <c r="AC467" s="135"/>
      <c r="AD467" s="135"/>
      <c r="AE467" s="135"/>
      <c r="AF467" s="135"/>
      <c r="AG467" s="135"/>
    </row>
    <row r="468" spans="15:33" ht="15.75" customHeight="1" x14ac:dyDescent="0.3">
      <c r="O468" s="135"/>
      <c r="P468" s="157"/>
      <c r="Q468" s="157"/>
      <c r="R468" s="157"/>
      <c r="S468" s="157"/>
      <c r="T468" s="157"/>
      <c r="U468" s="157"/>
      <c r="V468" s="157"/>
      <c r="W468" s="135"/>
      <c r="X468" s="135"/>
      <c r="Y468" s="135"/>
      <c r="Z468" s="135"/>
      <c r="AA468" s="135"/>
      <c r="AB468" s="135"/>
      <c r="AC468" s="135"/>
      <c r="AD468" s="135"/>
      <c r="AE468" s="135"/>
      <c r="AF468" s="135"/>
      <c r="AG468" s="135"/>
    </row>
    <row r="469" spans="15:33" ht="15.75" customHeight="1" x14ac:dyDescent="0.3">
      <c r="O469" s="135"/>
      <c r="P469" s="157"/>
      <c r="Q469" s="157"/>
      <c r="R469" s="157"/>
      <c r="S469" s="157"/>
      <c r="T469" s="157"/>
      <c r="U469" s="157"/>
      <c r="V469" s="157"/>
      <c r="W469" s="135"/>
      <c r="X469" s="135"/>
      <c r="Y469" s="135"/>
      <c r="Z469" s="135"/>
      <c r="AA469" s="135"/>
      <c r="AB469" s="135"/>
      <c r="AC469" s="135"/>
      <c r="AD469" s="135"/>
      <c r="AE469" s="135"/>
      <c r="AF469" s="135"/>
      <c r="AG469" s="135"/>
    </row>
    <row r="470" spans="15:33" ht="15.75" customHeight="1" x14ac:dyDescent="0.3">
      <c r="O470" s="135"/>
      <c r="P470" s="157"/>
      <c r="Q470" s="157"/>
      <c r="R470" s="157"/>
      <c r="S470" s="157"/>
      <c r="T470" s="157"/>
      <c r="U470" s="157"/>
      <c r="V470" s="157"/>
      <c r="W470" s="135"/>
      <c r="X470" s="135"/>
      <c r="Y470" s="135"/>
      <c r="Z470" s="135"/>
      <c r="AA470" s="135"/>
      <c r="AB470" s="135"/>
      <c r="AC470" s="135"/>
      <c r="AD470" s="135"/>
      <c r="AE470" s="135"/>
      <c r="AF470" s="135"/>
      <c r="AG470" s="135"/>
    </row>
    <row r="471" spans="15:33" ht="15.75" customHeight="1" x14ac:dyDescent="0.3">
      <c r="O471" s="135"/>
      <c r="P471" s="157"/>
      <c r="Q471" s="157"/>
      <c r="R471" s="157"/>
      <c r="S471" s="157"/>
      <c r="T471" s="157"/>
      <c r="U471" s="157"/>
      <c r="V471" s="157"/>
      <c r="W471" s="135"/>
      <c r="X471" s="135"/>
      <c r="Y471" s="135"/>
      <c r="Z471" s="135"/>
      <c r="AA471" s="135"/>
      <c r="AB471" s="135"/>
      <c r="AC471" s="135"/>
      <c r="AD471" s="135"/>
      <c r="AE471" s="135"/>
      <c r="AF471" s="135"/>
      <c r="AG471" s="135"/>
    </row>
    <row r="472" spans="15:33" ht="15.75" customHeight="1" x14ac:dyDescent="0.3">
      <c r="O472" s="135"/>
      <c r="P472" s="157"/>
      <c r="Q472" s="157"/>
      <c r="R472" s="157"/>
      <c r="S472" s="157"/>
      <c r="T472" s="157"/>
      <c r="U472" s="157"/>
      <c r="V472" s="157"/>
      <c r="W472" s="135"/>
      <c r="X472" s="135"/>
      <c r="Y472" s="135"/>
      <c r="Z472" s="135"/>
      <c r="AA472" s="135"/>
      <c r="AB472" s="135"/>
      <c r="AC472" s="135"/>
      <c r="AD472" s="135"/>
      <c r="AE472" s="135"/>
      <c r="AF472" s="135"/>
      <c r="AG472" s="135"/>
    </row>
    <row r="473" spans="15:33" ht="15.75" customHeight="1" x14ac:dyDescent="0.3">
      <c r="O473" s="135"/>
      <c r="P473" s="157"/>
      <c r="Q473" s="157"/>
      <c r="R473" s="157"/>
      <c r="S473" s="157"/>
      <c r="T473" s="157"/>
      <c r="U473" s="157"/>
      <c r="V473" s="157"/>
      <c r="W473" s="135"/>
      <c r="X473" s="135"/>
      <c r="Y473" s="135"/>
      <c r="Z473" s="135"/>
      <c r="AA473" s="135"/>
      <c r="AB473" s="135"/>
      <c r="AC473" s="135"/>
      <c r="AD473" s="135"/>
      <c r="AE473" s="135"/>
      <c r="AF473" s="135"/>
      <c r="AG473" s="135"/>
    </row>
    <row r="474" spans="15:33" ht="15.75" customHeight="1" x14ac:dyDescent="0.3">
      <c r="O474" s="135"/>
      <c r="P474" s="157"/>
      <c r="Q474" s="157"/>
      <c r="R474" s="157"/>
      <c r="S474" s="157"/>
      <c r="T474" s="157"/>
      <c r="U474" s="157"/>
      <c r="V474" s="157"/>
      <c r="W474" s="135"/>
      <c r="X474" s="135"/>
      <c r="Y474" s="135"/>
      <c r="Z474" s="135"/>
      <c r="AA474" s="135"/>
      <c r="AB474" s="135"/>
      <c r="AC474" s="135"/>
      <c r="AD474" s="135"/>
      <c r="AE474" s="135"/>
      <c r="AF474" s="135"/>
      <c r="AG474" s="135"/>
    </row>
    <row r="475" spans="15:33" ht="15.75" customHeight="1" x14ac:dyDescent="0.3">
      <c r="O475" s="135"/>
      <c r="P475" s="157"/>
      <c r="Q475" s="157"/>
      <c r="R475" s="157"/>
      <c r="S475" s="157"/>
      <c r="T475" s="157"/>
      <c r="U475" s="157"/>
      <c r="V475" s="157"/>
      <c r="W475" s="135"/>
      <c r="X475" s="135"/>
      <c r="Y475" s="135"/>
      <c r="Z475" s="135"/>
      <c r="AA475" s="135"/>
      <c r="AB475" s="135"/>
      <c r="AC475" s="135"/>
      <c r="AD475" s="135"/>
      <c r="AE475" s="135"/>
      <c r="AF475" s="135"/>
      <c r="AG475" s="135"/>
    </row>
    <row r="476" spans="15:33" ht="15.75" customHeight="1" x14ac:dyDescent="0.3">
      <c r="O476" s="135"/>
      <c r="P476" s="157"/>
      <c r="Q476" s="157"/>
      <c r="R476" s="157"/>
      <c r="S476" s="157"/>
      <c r="T476" s="157"/>
      <c r="U476" s="157"/>
      <c r="V476" s="157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5"/>
    </row>
    <row r="477" spans="15:33" ht="15.75" customHeight="1" x14ac:dyDescent="0.3">
      <c r="O477" s="135"/>
      <c r="P477" s="157"/>
      <c r="Q477" s="157"/>
      <c r="R477" s="157"/>
      <c r="S477" s="157"/>
      <c r="T477" s="157"/>
      <c r="U477" s="157"/>
      <c r="V477" s="157"/>
      <c r="W477" s="135"/>
      <c r="X477" s="135"/>
      <c r="Y477" s="135"/>
      <c r="Z477" s="135"/>
      <c r="AA477" s="135"/>
      <c r="AB477" s="135"/>
      <c r="AC477" s="135"/>
      <c r="AD477" s="135"/>
      <c r="AE477" s="135"/>
      <c r="AF477" s="135"/>
      <c r="AG477" s="135"/>
    </row>
    <row r="478" spans="15:33" ht="15.75" customHeight="1" x14ac:dyDescent="0.3">
      <c r="O478" s="135"/>
      <c r="P478" s="157"/>
      <c r="Q478" s="157"/>
      <c r="R478" s="157"/>
      <c r="S478" s="157"/>
      <c r="T478" s="157"/>
      <c r="U478" s="157"/>
      <c r="V478" s="157"/>
      <c r="W478" s="135"/>
      <c r="X478" s="135"/>
      <c r="Y478" s="135"/>
      <c r="Z478" s="135"/>
      <c r="AA478" s="135"/>
      <c r="AB478" s="135"/>
      <c r="AC478" s="135"/>
      <c r="AD478" s="135"/>
      <c r="AE478" s="135"/>
      <c r="AF478" s="135"/>
      <c r="AG478" s="135"/>
    </row>
    <row r="479" spans="15:33" ht="15.75" customHeight="1" x14ac:dyDescent="0.3">
      <c r="O479" s="135"/>
      <c r="P479" s="157"/>
      <c r="Q479" s="157"/>
      <c r="R479" s="157"/>
      <c r="S479" s="157"/>
      <c r="T479" s="157"/>
      <c r="U479" s="157"/>
      <c r="V479" s="157"/>
      <c r="W479" s="135"/>
      <c r="X479" s="135"/>
      <c r="Y479" s="135"/>
      <c r="Z479" s="135"/>
      <c r="AA479" s="135"/>
      <c r="AB479" s="135"/>
      <c r="AC479" s="135"/>
      <c r="AD479" s="135"/>
      <c r="AE479" s="135"/>
      <c r="AF479" s="135"/>
      <c r="AG479" s="135"/>
    </row>
    <row r="480" spans="15:33" ht="15.75" customHeight="1" x14ac:dyDescent="0.3">
      <c r="O480" s="135"/>
      <c r="P480" s="157"/>
      <c r="Q480" s="157"/>
      <c r="R480" s="157"/>
      <c r="S480" s="157"/>
      <c r="T480" s="157"/>
      <c r="U480" s="157"/>
      <c r="V480" s="157"/>
      <c r="W480" s="135"/>
      <c r="X480" s="135"/>
      <c r="Y480" s="135"/>
      <c r="Z480" s="135"/>
      <c r="AA480" s="135"/>
      <c r="AB480" s="135"/>
      <c r="AC480" s="135"/>
      <c r="AD480" s="135"/>
      <c r="AE480" s="135"/>
      <c r="AF480" s="135"/>
      <c r="AG480" s="135"/>
    </row>
    <row r="481" spans="15:33" ht="15.75" customHeight="1" x14ac:dyDescent="0.3">
      <c r="O481" s="135"/>
      <c r="P481" s="157"/>
      <c r="Q481" s="157"/>
      <c r="R481" s="157"/>
      <c r="S481" s="157"/>
      <c r="T481" s="157"/>
      <c r="U481" s="157"/>
      <c r="V481" s="157"/>
      <c r="W481" s="135"/>
      <c r="X481" s="135"/>
      <c r="Y481" s="135"/>
      <c r="Z481" s="135"/>
      <c r="AA481" s="135"/>
      <c r="AB481" s="135"/>
      <c r="AC481" s="135"/>
      <c r="AD481" s="135"/>
      <c r="AE481" s="135"/>
      <c r="AF481" s="135"/>
      <c r="AG481" s="135"/>
    </row>
    <row r="482" spans="15:33" ht="15.75" customHeight="1" x14ac:dyDescent="0.3">
      <c r="O482" s="135"/>
      <c r="P482" s="157"/>
      <c r="Q482" s="157"/>
      <c r="R482" s="157"/>
      <c r="S482" s="157"/>
      <c r="T482" s="157"/>
      <c r="U482" s="157"/>
      <c r="V482" s="157"/>
      <c r="W482" s="135"/>
      <c r="X482" s="135"/>
      <c r="Y482" s="135"/>
      <c r="Z482" s="135"/>
      <c r="AA482" s="135"/>
      <c r="AB482" s="135"/>
      <c r="AC482" s="135"/>
      <c r="AD482" s="135"/>
      <c r="AE482" s="135"/>
      <c r="AF482" s="135"/>
      <c r="AG482" s="135"/>
    </row>
    <row r="483" spans="15:33" ht="15.75" customHeight="1" x14ac:dyDescent="0.3">
      <c r="O483" s="135"/>
      <c r="P483" s="157"/>
      <c r="Q483" s="157"/>
      <c r="R483" s="157"/>
      <c r="S483" s="157"/>
      <c r="T483" s="157"/>
      <c r="U483" s="157"/>
      <c r="V483" s="157"/>
      <c r="W483" s="135"/>
      <c r="X483" s="135"/>
      <c r="Y483" s="135"/>
      <c r="Z483" s="135"/>
      <c r="AA483" s="135"/>
      <c r="AB483" s="135"/>
      <c r="AC483" s="135"/>
      <c r="AD483" s="135"/>
      <c r="AE483" s="135"/>
      <c r="AF483" s="135"/>
      <c r="AG483" s="135"/>
    </row>
    <row r="484" spans="15:33" ht="15.75" customHeight="1" x14ac:dyDescent="0.3">
      <c r="O484" s="135"/>
      <c r="P484" s="157"/>
      <c r="Q484" s="157"/>
      <c r="R484" s="157"/>
      <c r="S484" s="157"/>
      <c r="T484" s="157"/>
      <c r="U484" s="157"/>
      <c r="V484" s="157"/>
      <c r="W484" s="135"/>
      <c r="X484" s="135"/>
      <c r="Y484" s="135"/>
      <c r="Z484" s="135"/>
      <c r="AA484" s="135"/>
      <c r="AB484" s="135"/>
      <c r="AC484" s="135"/>
      <c r="AD484" s="135"/>
      <c r="AE484" s="135"/>
      <c r="AF484" s="135"/>
      <c r="AG484" s="135"/>
    </row>
    <row r="485" spans="15:33" ht="15.75" customHeight="1" x14ac:dyDescent="0.3">
      <c r="O485" s="135"/>
      <c r="P485" s="157"/>
      <c r="Q485" s="157"/>
      <c r="R485" s="157"/>
      <c r="S485" s="157"/>
      <c r="T485" s="157"/>
      <c r="U485" s="157"/>
      <c r="V485" s="157"/>
      <c r="W485" s="135"/>
      <c r="X485" s="135"/>
      <c r="Y485" s="135"/>
      <c r="Z485" s="135"/>
      <c r="AA485" s="135"/>
      <c r="AB485" s="135"/>
      <c r="AC485" s="135"/>
      <c r="AD485" s="135"/>
      <c r="AE485" s="135"/>
      <c r="AF485" s="135"/>
      <c r="AG485" s="135"/>
    </row>
    <row r="486" spans="15:33" ht="15.75" customHeight="1" x14ac:dyDescent="0.3">
      <c r="O486" s="135"/>
      <c r="P486" s="157"/>
      <c r="Q486" s="157"/>
      <c r="R486" s="157"/>
      <c r="S486" s="157"/>
      <c r="T486" s="157"/>
      <c r="U486" s="157"/>
      <c r="V486" s="157"/>
      <c r="W486" s="135"/>
      <c r="X486" s="135"/>
      <c r="Y486" s="135"/>
      <c r="Z486" s="135"/>
      <c r="AA486" s="135"/>
      <c r="AB486" s="135"/>
      <c r="AC486" s="135"/>
      <c r="AD486" s="135"/>
      <c r="AE486" s="135"/>
      <c r="AF486" s="135"/>
      <c r="AG486" s="135"/>
    </row>
    <row r="487" spans="15:33" ht="15.75" customHeight="1" x14ac:dyDescent="0.3">
      <c r="O487" s="135"/>
      <c r="P487" s="157"/>
      <c r="Q487" s="157"/>
      <c r="R487" s="157"/>
      <c r="S487" s="157"/>
      <c r="T487" s="157"/>
      <c r="U487" s="157"/>
      <c r="V487" s="157"/>
      <c r="W487" s="135"/>
      <c r="X487" s="135"/>
      <c r="Y487" s="135"/>
      <c r="Z487" s="135"/>
      <c r="AA487" s="135"/>
      <c r="AB487" s="135"/>
      <c r="AC487" s="135"/>
      <c r="AD487" s="135"/>
      <c r="AE487" s="135"/>
      <c r="AF487" s="135"/>
      <c r="AG487" s="135"/>
    </row>
    <row r="488" spans="15:33" ht="15.75" customHeight="1" x14ac:dyDescent="0.3">
      <c r="O488" s="135"/>
      <c r="P488" s="157"/>
      <c r="Q488" s="157"/>
      <c r="R488" s="157"/>
      <c r="S488" s="157"/>
      <c r="T488" s="157"/>
      <c r="U488" s="157"/>
      <c r="V488" s="157"/>
      <c r="W488" s="135"/>
      <c r="X488" s="135"/>
      <c r="Y488" s="135"/>
      <c r="Z488" s="135"/>
      <c r="AA488" s="135"/>
      <c r="AB488" s="135"/>
      <c r="AC488" s="135"/>
      <c r="AD488" s="135"/>
      <c r="AE488" s="135"/>
      <c r="AF488" s="135"/>
      <c r="AG488" s="135"/>
    </row>
    <row r="489" spans="15:33" ht="15.75" customHeight="1" x14ac:dyDescent="0.3">
      <c r="O489" s="135"/>
      <c r="P489" s="157"/>
      <c r="Q489" s="157"/>
      <c r="R489" s="157"/>
      <c r="S489" s="157"/>
      <c r="T489" s="157"/>
      <c r="U489" s="157"/>
      <c r="V489" s="157"/>
      <c r="W489" s="135"/>
      <c r="X489" s="135"/>
      <c r="Y489" s="135"/>
      <c r="Z489" s="135"/>
      <c r="AA489" s="135"/>
      <c r="AB489" s="135"/>
      <c r="AC489" s="135"/>
      <c r="AD489" s="135"/>
      <c r="AE489" s="135"/>
      <c r="AF489" s="135"/>
      <c r="AG489" s="135"/>
    </row>
    <row r="490" spans="15:33" ht="15.75" customHeight="1" x14ac:dyDescent="0.3">
      <c r="O490" s="135"/>
      <c r="P490" s="157"/>
      <c r="Q490" s="157"/>
      <c r="R490" s="157"/>
      <c r="S490" s="157"/>
      <c r="T490" s="157"/>
      <c r="U490" s="157"/>
      <c r="V490" s="157"/>
      <c r="W490" s="135"/>
      <c r="X490" s="135"/>
      <c r="Y490" s="135"/>
      <c r="Z490" s="135"/>
      <c r="AA490" s="135"/>
      <c r="AB490" s="135"/>
      <c r="AC490" s="135"/>
      <c r="AD490" s="135"/>
      <c r="AE490" s="135"/>
      <c r="AF490" s="135"/>
      <c r="AG490" s="135"/>
    </row>
    <row r="491" spans="15:33" ht="15.75" customHeight="1" x14ac:dyDescent="0.3">
      <c r="O491" s="135"/>
      <c r="P491" s="157"/>
      <c r="Q491" s="157"/>
      <c r="R491" s="157"/>
      <c r="S491" s="157"/>
      <c r="T491" s="157"/>
      <c r="U491" s="157"/>
      <c r="V491" s="157"/>
      <c r="W491" s="135"/>
      <c r="X491" s="135"/>
      <c r="Y491" s="135"/>
      <c r="Z491" s="135"/>
      <c r="AA491" s="135"/>
      <c r="AB491" s="135"/>
      <c r="AC491" s="135"/>
      <c r="AD491" s="135"/>
      <c r="AE491" s="135"/>
      <c r="AF491" s="135"/>
      <c r="AG491" s="135"/>
    </row>
    <row r="492" spans="15:33" ht="15.75" customHeight="1" x14ac:dyDescent="0.3">
      <c r="O492" s="135"/>
      <c r="P492" s="157"/>
      <c r="Q492" s="157"/>
      <c r="R492" s="157"/>
      <c r="S492" s="157"/>
      <c r="T492" s="157"/>
      <c r="U492" s="157"/>
      <c r="V492" s="157"/>
      <c r="W492" s="135"/>
      <c r="X492" s="135"/>
      <c r="Y492" s="135"/>
      <c r="Z492" s="135"/>
      <c r="AA492" s="135"/>
      <c r="AB492" s="135"/>
      <c r="AC492" s="135"/>
      <c r="AD492" s="135"/>
      <c r="AE492" s="135"/>
      <c r="AF492" s="135"/>
      <c r="AG492" s="135"/>
    </row>
    <row r="493" spans="15:33" ht="15.75" customHeight="1" x14ac:dyDescent="0.3">
      <c r="O493" s="135"/>
      <c r="P493" s="157"/>
      <c r="Q493" s="157"/>
      <c r="R493" s="157"/>
      <c r="S493" s="157"/>
      <c r="T493" s="157"/>
      <c r="U493" s="157"/>
      <c r="V493" s="157"/>
      <c r="W493" s="135"/>
      <c r="X493" s="135"/>
      <c r="Y493" s="135"/>
      <c r="Z493" s="135"/>
      <c r="AA493" s="135"/>
      <c r="AB493" s="135"/>
      <c r="AC493" s="135"/>
      <c r="AD493" s="135"/>
      <c r="AE493" s="135"/>
      <c r="AF493" s="135"/>
      <c r="AG493" s="135"/>
    </row>
    <row r="494" spans="15:33" ht="15.75" customHeight="1" x14ac:dyDescent="0.3">
      <c r="O494" s="135"/>
      <c r="P494" s="157"/>
      <c r="Q494" s="157"/>
      <c r="R494" s="157"/>
      <c r="S494" s="157"/>
      <c r="T494" s="157"/>
      <c r="U494" s="157"/>
      <c r="V494" s="157"/>
      <c r="W494" s="135"/>
      <c r="X494" s="135"/>
      <c r="Y494" s="135"/>
      <c r="Z494" s="135"/>
      <c r="AA494" s="135"/>
      <c r="AB494" s="135"/>
      <c r="AC494" s="135"/>
      <c r="AD494" s="135"/>
      <c r="AE494" s="135"/>
      <c r="AF494" s="135"/>
      <c r="AG494" s="135"/>
    </row>
    <row r="495" spans="15:33" ht="15.75" customHeight="1" x14ac:dyDescent="0.3">
      <c r="O495" s="135"/>
      <c r="P495" s="157"/>
      <c r="Q495" s="157"/>
      <c r="R495" s="157"/>
      <c r="S495" s="157"/>
      <c r="T495" s="157"/>
      <c r="U495" s="157"/>
      <c r="V495" s="157"/>
      <c r="W495" s="135"/>
      <c r="X495" s="135"/>
      <c r="Y495" s="135"/>
      <c r="Z495" s="135"/>
      <c r="AA495" s="135"/>
      <c r="AB495" s="135"/>
      <c r="AC495" s="135"/>
      <c r="AD495" s="135"/>
      <c r="AE495" s="135"/>
      <c r="AF495" s="135"/>
      <c r="AG495" s="135"/>
    </row>
    <row r="496" spans="15:33" ht="15.75" customHeight="1" x14ac:dyDescent="0.3">
      <c r="O496" s="135"/>
      <c r="P496" s="157"/>
      <c r="Q496" s="157"/>
      <c r="R496" s="157"/>
      <c r="S496" s="157"/>
      <c r="T496" s="157"/>
      <c r="U496" s="157"/>
      <c r="V496" s="157"/>
      <c r="W496" s="135"/>
      <c r="X496" s="135"/>
      <c r="Y496" s="135"/>
      <c r="Z496" s="135"/>
      <c r="AA496" s="135"/>
      <c r="AB496" s="135"/>
      <c r="AC496" s="135"/>
      <c r="AD496" s="135"/>
      <c r="AE496" s="135"/>
      <c r="AF496" s="135"/>
      <c r="AG496" s="135"/>
    </row>
    <row r="497" spans="15:33" ht="15.75" customHeight="1" x14ac:dyDescent="0.3">
      <c r="O497" s="135"/>
      <c r="P497" s="157"/>
      <c r="Q497" s="157"/>
      <c r="R497" s="157"/>
      <c r="S497" s="157"/>
      <c r="T497" s="157"/>
      <c r="U497" s="157"/>
      <c r="V497" s="157"/>
      <c r="W497" s="135"/>
      <c r="X497" s="135"/>
      <c r="Y497" s="135"/>
      <c r="Z497" s="135"/>
      <c r="AA497" s="135"/>
      <c r="AB497" s="135"/>
      <c r="AC497" s="135"/>
      <c r="AD497" s="135"/>
      <c r="AE497" s="135"/>
      <c r="AF497" s="135"/>
      <c r="AG497" s="135"/>
    </row>
    <row r="498" spans="15:33" ht="15.75" customHeight="1" x14ac:dyDescent="0.3">
      <c r="O498" s="135"/>
      <c r="P498" s="157"/>
      <c r="Q498" s="157"/>
      <c r="R498" s="157"/>
      <c r="S498" s="157"/>
      <c r="T498" s="157"/>
      <c r="U498" s="157"/>
      <c r="V498" s="157"/>
      <c r="W498" s="135"/>
      <c r="X498" s="135"/>
      <c r="Y498" s="135"/>
      <c r="Z498" s="135"/>
      <c r="AA498" s="135"/>
      <c r="AB498" s="135"/>
      <c r="AC498" s="135"/>
      <c r="AD498" s="135"/>
      <c r="AE498" s="135"/>
      <c r="AF498" s="135"/>
      <c r="AG498" s="135"/>
    </row>
    <row r="499" spans="15:33" ht="15.75" customHeight="1" x14ac:dyDescent="0.3">
      <c r="O499" s="135"/>
      <c r="P499" s="157"/>
      <c r="Q499" s="157"/>
      <c r="R499" s="157"/>
      <c r="S499" s="157"/>
      <c r="T499" s="157"/>
      <c r="U499" s="157"/>
      <c r="V499" s="157"/>
      <c r="W499" s="135"/>
      <c r="X499" s="135"/>
      <c r="Y499" s="135"/>
      <c r="Z499" s="135"/>
      <c r="AA499" s="135"/>
      <c r="AB499" s="135"/>
      <c r="AC499" s="135"/>
      <c r="AD499" s="135"/>
      <c r="AE499" s="135"/>
      <c r="AF499" s="135"/>
      <c r="AG499" s="135"/>
    </row>
    <row r="500" spans="15:33" ht="15.75" customHeight="1" x14ac:dyDescent="0.3">
      <c r="O500" s="135"/>
      <c r="P500" s="157"/>
      <c r="Q500" s="157"/>
      <c r="R500" s="157"/>
      <c r="S500" s="157"/>
      <c r="T500" s="157"/>
      <c r="U500" s="157"/>
      <c r="V500" s="157"/>
      <c r="W500" s="135"/>
      <c r="X500" s="135"/>
      <c r="Y500" s="135"/>
      <c r="Z500" s="135"/>
      <c r="AA500" s="135"/>
      <c r="AB500" s="135"/>
      <c r="AC500" s="135"/>
      <c r="AD500" s="135"/>
      <c r="AE500" s="135"/>
      <c r="AF500" s="135"/>
      <c r="AG500" s="135"/>
    </row>
    <row r="501" spans="15:33" ht="15.75" customHeight="1" x14ac:dyDescent="0.3">
      <c r="O501" s="135"/>
      <c r="P501" s="157"/>
      <c r="Q501" s="157"/>
      <c r="R501" s="157"/>
      <c r="S501" s="157"/>
      <c r="T501" s="157"/>
      <c r="U501" s="157"/>
      <c r="V501" s="157"/>
      <c r="W501" s="135"/>
      <c r="X501" s="135"/>
      <c r="Y501" s="135"/>
      <c r="Z501" s="135"/>
      <c r="AA501" s="135"/>
      <c r="AB501" s="135"/>
      <c r="AC501" s="135"/>
      <c r="AD501" s="135"/>
      <c r="AE501" s="135"/>
      <c r="AF501" s="135"/>
      <c r="AG501" s="135"/>
    </row>
    <row r="502" spans="15:33" ht="15.75" customHeight="1" x14ac:dyDescent="0.3">
      <c r="O502" s="135"/>
      <c r="P502" s="157"/>
      <c r="Q502" s="157"/>
      <c r="R502" s="157"/>
      <c r="S502" s="157"/>
      <c r="T502" s="157"/>
      <c r="U502" s="157"/>
      <c r="V502" s="157"/>
      <c r="W502" s="135"/>
      <c r="X502" s="135"/>
      <c r="Y502" s="135"/>
      <c r="Z502" s="135"/>
      <c r="AA502" s="135"/>
      <c r="AB502" s="135"/>
      <c r="AC502" s="135"/>
      <c r="AD502" s="135"/>
      <c r="AE502" s="135"/>
      <c r="AF502" s="135"/>
      <c r="AG502" s="135"/>
    </row>
    <row r="503" spans="15:33" ht="15.75" customHeight="1" x14ac:dyDescent="0.3">
      <c r="O503" s="135"/>
      <c r="P503" s="157"/>
      <c r="Q503" s="157"/>
      <c r="R503" s="157"/>
      <c r="S503" s="157"/>
      <c r="T503" s="157"/>
      <c r="U503" s="157"/>
      <c r="V503" s="157"/>
      <c r="W503" s="135"/>
      <c r="X503" s="135"/>
      <c r="Y503" s="135"/>
      <c r="Z503" s="135"/>
      <c r="AA503" s="135"/>
      <c r="AB503" s="135"/>
      <c r="AC503" s="135"/>
      <c r="AD503" s="135"/>
      <c r="AE503" s="135"/>
      <c r="AF503" s="135"/>
      <c r="AG503" s="135"/>
    </row>
    <row r="504" spans="15:33" ht="15.75" customHeight="1" x14ac:dyDescent="0.3">
      <c r="O504" s="135"/>
      <c r="P504" s="157"/>
      <c r="Q504" s="157"/>
      <c r="R504" s="157"/>
      <c r="S504" s="157"/>
      <c r="T504" s="157"/>
      <c r="U504" s="157"/>
      <c r="V504" s="157"/>
      <c r="W504" s="135"/>
      <c r="X504" s="135"/>
      <c r="Y504" s="135"/>
      <c r="Z504" s="135"/>
      <c r="AA504" s="135"/>
      <c r="AB504" s="135"/>
      <c r="AC504" s="135"/>
      <c r="AD504" s="135"/>
      <c r="AE504" s="135"/>
      <c r="AF504" s="135"/>
      <c r="AG504" s="135"/>
    </row>
    <row r="505" spans="15:33" ht="15.75" customHeight="1" x14ac:dyDescent="0.3">
      <c r="O505" s="135"/>
      <c r="P505" s="157"/>
      <c r="Q505" s="157"/>
      <c r="R505" s="157"/>
      <c r="S505" s="157"/>
      <c r="T505" s="157"/>
      <c r="U505" s="157"/>
      <c r="V505" s="157"/>
      <c r="W505" s="135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135"/>
    </row>
    <row r="506" spans="15:33" ht="15.75" customHeight="1" x14ac:dyDescent="0.3">
      <c r="O506" s="135"/>
      <c r="P506" s="157"/>
      <c r="Q506" s="157"/>
      <c r="R506" s="157"/>
      <c r="S506" s="157"/>
      <c r="T506" s="157"/>
      <c r="U506" s="157"/>
      <c r="V506" s="157"/>
      <c r="W506" s="135"/>
      <c r="X506" s="135"/>
      <c r="Y506" s="135"/>
      <c r="Z506" s="135"/>
      <c r="AA506" s="135"/>
      <c r="AB506" s="135"/>
      <c r="AC506" s="135"/>
      <c r="AD506" s="135"/>
      <c r="AE506" s="135"/>
      <c r="AF506" s="135"/>
      <c r="AG506" s="135"/>
    </row>
    <row r="507" spans="15:33" ht="15.75" customHeight="1" x14ac:dyDescent="0.3">
      <c r="O507" s="135"/>
      <c r="P507" s="157"/>
      <c r="Q507" s="157"/>
      <c r="R507" s="157"/>
      <c r="S507" s="157"/>
      <c r="T507" s="157"/>
      <c r="U507" s="157"/>
      <c r="V507" s="157"/>
      <c r="W507" s="135"/>
      <c r="X507" s="135"/>
      <c r="Y507" s="135"/>
      <c r="Z507" s="135"/>
      <c r="AA507" s="135"/>
      <c r="AB507" s="135"/>
      <c r="AC507" s="135"/>
      <c r="AD507" s="135"/>
      <c r="AE507" s="135"/>
      <c r="AF507" s="135"/>
      <c r="AG507" s="135"/>
    </row>
    <row r="508" spans="15:33" ht="15.75" customHeight="1" x14ac:dyDescent="0.3">
      <c r="O508" s="135"/>
      <c r="P508" s="157"/>
      <c r="Q508" s="157"/>
      <c r="R508" s="157"/>
      <c r="S508" s="157"/>
      <c r="T508" s="157"/>
      <c r="U508" s="157"/>
      <c r="V508" s="157"/>
      <c r="W508" s="135"/>
      <c r="X508" s="135"/>
      <c r="Y508" s="135"/>
      <c r="Z508" s="135"/>
      <c r="AA508" s="135"/>
      <c r="AB508" s="135"/>
      <c r="AC508" s="135"/>
      <c r="AD508" s="135"/>
      <c r="AE508" s="135"/>
      <c r="AF508" s="135"/>
      <c r="AG508" s="135"/>
    </row>
    <row r="509" spans="15:33" ht="15.75" customHeight="1" x14ac:dyDescent="0.3">
      <c r="O509" s="135"/>
      <c r="P509" s="157"/>
      <c r="Q509" s="157"/>
      <c r="R509" s="157"/>
      <c r="S509" s="157"/>
      <c r="T509" s="157"/>
      <c r="U509" s="157"/>
      <c r="V509" s="157"/>
      <c r="W509" s="135"/>
      <c r="X509" s="135"/>
      <c r="Y509" s="135"/>
      <c r="Z509" s="135"/>
      <c r="AA509" s="135"/>
      <c r="AB509" s="135"/>
      <c r="AC509" s="135"/>
      <c r="AD509" s="135"/>
      <c r="AE509" s="135"/>
      <c r="AF509" s="135"/>
      <c r="AG509" s="135"/>
    </row>
    <row r="510" spans="15:33" ht="15.75" customHeight="1" x14ac:dyDescent="0.3">
      <c r="O510" s="135"/>
      <c r="P510" s="157"/>
      <c r="Q510" s="157"/>
      <c r="R510" s="157"/>
      <c r="S510" s="157"/>
      <c r="T510" s="157"/>
      <c r="U510" s="157"/>
      <c r="V510" s="157"/>
      <c r="W510" s="135"/>
      <c r="X510" s="135"/>
      <c r="Y510" s="135"/>
      <c r="Z510" s="135"/>
      <c r="AA510" s="135"/>
      <c r="AB510" s="135"/>
      <c r="AC510" s="135"/>
      <c r="AD510" s="135"/>
      <c r="AE510" s="135"/>
      <c r="AF510" s="135"/>
      <c r="AG510" s="135"/>
    </row>
    <row r="511" spans="15:33" ht="15.75" customHeight="1" x14ac:dyDescent="0.3">
      <c r="O511" s="135"/>
      <c r="P511" s="157"/>
      <c r="Q511" s="157"/>
      <c r="R511" s="157"/>
      <c r="S511" s="157"/>
      <c r="T511" s="157"/>
      <c r="U511" s="157"/>
      <c r="V511" s="157"/>
      <c r="W511" s="135"/>
      <c r="X511" s="135"/>
      <c r="Y511" s="135"/>
      <c r="Z511" s="135"/>
      <c r="AA511" s="135"/>
      <c r="AB511" s="135"/>
      <c r="AC511" s="135"/>
      <c r="AD511" s="135"/>
      <c r="AE511" s="135"/>
      <c r="AF511" s="135"/>
      <c r="AG511" s="135"/>
    </row>
    <row r="512" spans="15:33" ht="15.75" customHeight="1" x14ac:dyDescent="0.3">
      <c r="O512" s="135"/>
      <c r="P512" s="157"/>
      <c r="Q512" s="157"/>
      <c r="R512" s="157"/>
      <c r="S512" s="157"/>
      <c r="T512" s="157"/>
      <c r="U512" s="157"/>
      <c r="V512" s="157"/>
      <c r="W512" s="135"/>
      <c r="X512" s="135"/>
      <c r="Y512" s="135"/>
      <c r="Z512" s="135"/>
      <c r="AA512" s="135"/>
      <c r="AB512" s="135"/>
      <c r="AC512" s="135"/>
      <c r="AD512" s="135"/>
      <c r="AE512" s="135"/>
      <c r="AF512" s="135"/>
      <c r="AG512" s="135"/>
    </row>
    <row r="513" spans="15:33" ht="15.75" customHeight="1" x14ac:dyDescent="0.3">
      <c r="O513" s="135"/>
      <c r="P513" s="157"/>
      <c r="Q513" s="157"/>
      <c r="R513" s="157"/>
      <c r="S513" s="157"/>
      <c r="T513" s="157"/>
      <c r="U513" s="157"/>
      <c r="V513" s="157"/>
      <c r="W513" s="135"/>
      <c r="X513" s="135"/>
      <c r="Y513" s="135"/>
      <c r="Z513" s="135"/>
      <c r="AA513" s="135"/>
      <c r="AB513" s="135"/>
      <c r="AC513" s="135"/>
      <c r="AD513" s="135"/>
      <c r="AE513" s="135"/>
      <c r="AF513" s="135"/>
      <c r="AG513" s="135"/>
    </row>
    <row r="514" spans="15:33" ht="15.75" customHeight="1" x14ac:dyDescent="0.3">
      <c r="O514" s="135"/>
      <c r="P514" s="157"/>
      <c r="Q514" s="157"/>
      <c r="R514" s="157"/>
      <c r="S514" s="157"/>
      <c r="T514" s="157"/>
      <c r="U514" s="157"/>
      <c r="V514" s="157"/>
      <c r="W514" s="135"/>
      <c r="X514" s="135"/>
      <c r="Y514" s="135"/>
      <c r="Z514" s="135"/>
      <c r="AA514" s="135"/>
      <c r="AB514" s="135"/>
      <c r="AC514" s="135"/>
      <c r="AD514" s="135"/>
      <c r="AE514" s="135"/>
      <c r="AF514" s="135"/>
      <c r="AG514" s="135"/>
    </row>
    <row r="515" spans="15:33" ht="15.75" customHeight="1" x14ac:dyDescent="0.3">
      <c r="O515" s="135"/>
      <c r="P515" s="157"/>
      <c r="Q515" s="157"/>
      <c r="R515" s="157"/>
      <c r="S515" s="157"/>
      <c r="T515" s="157"/>
      <c r="U515" s="157"/>
      <c r="V515" s="157"/>
      <c r="W515" s="135"/>
      <c r="X515" s="135"/>
      <c r="Y515" s="135"/>
      <c r="Z515" s="135"/>
      <c r="AA515" s="135"/>
      <c r="AB515" s="135"/>
      <c r="AC515" s="135"/>
      <c r="AD515" s="135"/>
      <c r="AE515" s="135"/>
      <c r="AF515" s="135"/>
      <c r="AG515" s="135"/>
    </row>
    <row r="516" spans="15:33" ht="15.75" customHeight="1" x14ac:dyDescent="0.3">
      <c r="O516" s="135"/>
      <c r="P516" s="157"/>
      <c r="Q516" s="157"/>
      <c r="R516" s="157"/>
      <c r="S516" s="157"/>
      <c r="T516" s="157"/>
      <c r="U516" s="157"/>
      <c r="V516" s="157"/>
      <c r="W516" s="135"/>
      <c r="X516" s="135"/>
      <c r="Y516" s="135"/>
      <c r="Z516" s="135"/>
      <c r="AA516" s="135"/>
      <c r="AB516" s="135"/>
      <c r="AC516" s="135"/>
      <c r="AD516" s="135"/>
      <c r="AE516" s="135"/>
      <c r="AF516" s="135"/>
      <c r="AG516" s="135"/>
    </row>
    <row r="517" spans="15:33" ht="15.75" customHeight="1" x14ac:dyDescent="0.3">
      <c r="O517" s="135"/>
      <c r="P517" s="157"/>
      <c r="Q517" s="157"/>
      <c r="R517" s="157"/>
      <c r="S517" s="157"/>
      <c r="T517" s="157"/>
      <c r="U517" s="157"/>
      <c r="V517" s="157"/>
      <c r="W517" s="135"/>
      <c r="X517" s="135"/>
      <c r="Y517" s="135"/>
      <c r="Z517" s="135"/>
      <c r="AA517" s="135"/>
      <c r="AB517" s="135"/>
      <c r="AC517" s="135"/>
      <c r="AD517" s="135"/>
      <c r="AE517" s="135"/>
      <c r="AF517" s="135"/>
      <c r="AG517" s="135"/>
    </row>
    <row r="518" spans="15:33" ht="15.75" customHeight="1" x14ac:dyDescent="0.3">
      <c r="O518" s="135"/>
      <c r="P518" s="157"/>
      <c r="Q518" s="157"/>
      <c r="R518" s="157"/>
      <c r="S518" s="157"/>
      <c r="T518" s="157"/>
      <c r="U518" s="157"/>
      <c r="V518" s="157"/>
      <c r="W518" s="135"/>
      <c r="X518" s="135"/>
      <c r="Y518" s="135"/>
      <c r="Z518" s="135"/>
      <c r="AA518" s="135"/>
      <c r="AB518" s="135"/>
      <c r="AC518" s="135"/>
      <c r="AD518" s="135"/>
      <c r="AE518" s="135"/>
      <c r="AF518" s="135"/>
      <c r="AG518" s="135"/>
    </row>
    <row r="519" spans="15:33" ht="15.75" customHeight="1" x14ac:dyDescent="0.3">
      <c r="O519" s="135"/>
      <c r="P519" s="157"/>
      <c r="Q519" s="157"/>
      <c r="R519" s="157"/>
      <c r="S519" s="157"/>
      <c r="T519" s="157"/>
      <c r="U519" s="157"/>
      <c r="V519" s="157"/>
      <c r="W519" s="135"/>
      <c r="X519" s="135"/>
      <c r="Y519" s="135"/>
      <c r="Z519" s="135"/>
      <c r="AA519" s="135"/>
      <c r="AB519" s="135"/>
      <c r="AC519" s="135"/>
      <c r="AD519" s="135"/>
      <c r="AE519" s="135"/>
      <c r="AF519" s="135"/>
      <c r="AG519" s="135"/>
    </row>
    <row r="520" spans="15:33" ht="15.75" customHeight="1" x14ac:dyDescent="0.3">
      <c r="O520" s="135"/>
      <c r="P520" s="157"/>
      <c r="Q520" s="157"/>
      <c r="R520" s="157"/>
      <c r="S520" s="157"/>
      <c r="T520" s="157"/>
      <c r="U520" s="157"/>
      <c r="V520" s="157"/>
      <c r="W520" s="135"/>
      <c r="X520" s="135"/>
      <c r="Y520" s="135"/>
      <c r="Z520" s="135"/>
      <c r="AA520" s="135"/>
      <c r="AB520" s="135"/>
      <c r="AC520" s="135"/>
      <c r="AD520" s="135"/>
      <c r="AE520" s="135"/>
      <c r="AF520" s="135"/>
      <c r="AG520" s="135"/>
    </row>
    <row r="521" spans="15:33" ht="15.75" customHeight="1" x14ac:dyDescent="0.3">
      <c r="O521" s="135"/>
      <c r="P521" s="157"/>
      <c r="Q521" s="157"/>
      <c r="R521" s="157"/>
      <c r="S521" s="157"/>
      <c r="T521" s="157"/>
      <c r="U521" s="157"/>
      <c r="V521" s="157"/>
      <c r="W521" s="135"/>
      <c r="X521" s="135"/>
      <c r="Y521" s="135"/>
      <c r="Z521" s="135"/>
      <c r="AA521" s="135"/>
      <c r="AB521" s="135"/>
      <c r="AC521" s="135"/>
      <c r="AD521" s="135"/>
      <c r="AE521" s="135"/>
      <c r="AF521" s="135"/>
      <c r="AG521" s="135"/>
    </row>
    <row r="522" spans="15:33" ht="15.75" customHeight="1" x14ac:dyDescent="0.3">
      <c r="O522" s="135"/>
      <c r="P522" s="157"/>
      <c r="Q522" s="157"/>
      <c r="R522" s="157"/>
      <c r="S522" s="157"/>
      <c r="T522" s="157"/>
      <c r="U522" s="157"/>
      <c r="V522" s="157"/>
      <c r="W522" s="135"/>
      <c r="X522" s="135"/>
      <c r="Y522" s="135"/>
      <c r="Z522" s="135"/>
      <c r="AA522" s="135"/>
      <c r="AB522" s="135"/>
      <c r="AC522" s="135"/>
      <c r="AD522" s="135"/>
      <c r="AE522" s="135"/>
      <c r="AF522" s="135"/>
      <c r="AG522" s="135"/>
    </row>
    <row r="523" spans="15:33" ht="15.75" customHeight="1" x14ac:dyDescent="0.3">
      <c r="O523" s="135"/>
      <c r="P523" s="157"/>
      <c r="Q523" s="157"/>
      <c r="R523" s="157"/>
      <c r="S523" s="157"/>
      <c r="T523" s="157"/>
      <c r="U523" s="157"/>
      <c r="V523" s="157"/>
      <c r="W523" s="135"/>
      <c r="X523" s="135"/>
      <c r="Y523" s="135"/>
      <c r="Z523" s="135"/>
      <c r="AA523" s="135"/>
      <c r="AB523" s="135"/>
      <c r="AC523" s="135"/>
      <c r="AD523" s="135"/>
      <c r="AE523" s="135"/>
      <c r="AF523" s="135"/>
      <c r="AG523" s="135"/>
    </row>
    <row r="524" spans="15:33" ht="15.75" customHeight="1" x14ac:dyDescent="0.3">
      <c r="O524" s="135"/>
      <c r="P524" s="157"/>
      <c r="Q524" s="157"/>
      <c r="R524" s="157"/>
      <c r="S524" s="157"/>
      <c r="T524" s="157"/>
      <c r="U524" s="157"/>
      <c r="V524" s="157"/>
      <c r="W524" s="135"/>
      <c r="X524" s="135"/>
      <c r="Y524" s="135"/>
      <c r="Z524" s="135"/>
      <c r="AA524" s="135"/>
      <c r="AB524" s="135"/>
      <c r="AC524" s="135"/>
      <c r="AD524" s="135"/>
      <c r="AE524" s="135"/>
      <c r="AF524" s="135"/>
      <c r="AG524" s="135"/>
    </row>
    <row r="525" spans="15:33" ht="15.75" customHeight="1" x14ac:dyDescent="0.3">
      <c r="O525" s="135"/>
      <c r="P525" s="157"/>
      <c r="Q525" s="157"/>
      <c r="R525" s="157"/>
      <c r="S525" s="157"/>
      <c r="T525" s="157"/>
      <c r="U525" s="157"/>
      <c r="V525" s="157"/>
      <c r="W525" s="135"/>
      <c r="X525" s="135"/>
      <c r="Y525" s="135"/>
      <c r="Z525" s="135"/>
      <c r="AA525" s="135"/>
      <c r="AB525" s="135"/>
      <c r="AC525" s="135"/>
      <c r="AD525" s="135"/>
      <c r="AE525" s="135"/>
      <c r="AF525" s="135"/>
      <c r="AG525" s="135"/>
    </row>
    <row r="526" spans="15:33" ht="15.75" customHeight="1" x14ac:dyDescent="0.3">
      <c r="O526" s="135"/>
      <c r="P526" s="157"/>
      <c r="Q526" s="157"/>
      <c r="R526" s="157"/>
      <c r="S526" s="157"/>
      <c r="T526" s="157"/>
      <c r="U526" s="157"/>
      <c r="V526" s="157"/>
      <c r="W526" s="135"/>
      <c r="X526" s="135"/>
      <c r="Y526" s="135"/>
      <c r="Z526" s="135"/>
      <c r="AA526" s="135"/>
      <c r="AB526" s="135"/>
      <c r="AC526" s="135"/>
      <c r="AD526" s="135"/>
      <c r="AE526" s="135"/>
      <c r="AF526" s="135"/>
      <c r="AG526" s="135"/>
    </row>
    <row r="527" spans="15:33" ht="15.75" customHeight="1" x14ac:dyDescent="0.3">
      <c r="O527" s="135"/>
      <c r="P527" s="157"/>
      <c r="Q527" s="157"/>
      <c r="R527" s="157"/>
      <c r="S527" s="157"/>
      <c r="T527" s="157"/>
      <c r="U527" s="157"/>
      <c r="V527" s="157"/>
      <c r="W527" s="135"/>
      <c r="X527" s="135"/>
      <c r="Y527" s="135"/>
      <c r="Z527" s="135"/>
      <c r="AA527" s="135"/>
      <c r="AB527" s="135"/>
      <c r="AC527" s="135"/>
      <c r="AD527" s="135"/>
      <c r="AE527" s="135"/>
      <c r="AF527" s="135"/>
      <c r="AG527" s="135"/>
    </row>
    <row r="528" spans="15:33" ht="15.75" customHeight="1" x14ac:dyDescent="0.3">
      <c r="O528" s="135"/>
      <c r="P528" s="157"/>
      <c r="Q528" s="157"/>
      <c r="R528" s="157"/>
      <c r="S528" s="157"/>
      <c r="T528" s="157"/>
      <c r="U528" s="157"/>
      <c r="V528" s="157"/>
      <c r="W528" s="135"/>
      <c r="X528" s="135"/>
      <c r="Y528" s="135"/>
      <c r="Z528" s="135"/>
      <c r="AA528" s="135"/>
      <c r="AB528" s="135"/>
      <c r="AC528" s="135"/>
      <c r="AD528" s="135"/>
      <c r="AE528" s="135"/>
      <c r="AF528" s="135"/>
      <c r="AG528" s="135"/>
    </row>
    <row r="529" spans="15:33" ht="15.75" customHeight="1" x14ac:dyDescent="0.3">
      <c r="O529" s="135"/>
      <c r="P529" s="157"/>
      <c r="Q529" s="157"/>
      <c r="R529" s="157"/>
      <c r="S529" s="157"/>
      <c r="T529" s="157"/>
      <c r="U529" s="157"/>
      <c r="V529" s="157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5"/>
    </row>
    <row r="530" spans="15:33" ht="15.75" customHeight="1" x14ac:dyDescent="0.3">
      <c r="O530" s="135"/>
      <c r="P530" s="157"/>
      <c r="Q530" s="157"/>
      <c r="R530" s="157"/>
      <c r="S530" s="157"/>
      <c r="T530" s="157"/>
      <c r="U530" s="157"/>
      <c r="V530" s="157"/>
      <c r="W530" s="135"/>
      <c r="X530" s="135"/>
      <c r="Y530" s="135"/>
      <c r="Z530" s="135"/>
      <c r="AA530" s="135"/>
      <c r="AB530" s="135"/>
      <c r="AC530" s="135"/>
      <c r="AD530" s="135"/>
      <c r="AE530" s="135"/>
      <c r="AF530" s="135"/>
      <c r="AG530" s="135"/>
    </row>
    <row r="531" spans="15:33" ht="15.75" customHeight="1" x14ac:dyDescent="0.3">
      <c r="O531" s="135"/>
      <c r="P531" s="157"/>
      <c r="Q531" s="157"/>
      <c r="R531" s="157"/>
      <c r="S531" s="157"/>
      <c r="T531" s="157"/>
      <c r="U531" s="157"/>
      <c r="V531" s="157"/>
      <c r="W531" s="135"/>
      <c r="X531" s="135"/>
      <c r="Y531" s="135"/>
      <c r="Z531" s="135"/>
      <c r="AA531" s="135"/>
      <c r="AB531" s="135"/>
      <c r="AC531" s="135"/>
      <c r="AD531" s="135"/>
      <c r="AE531" s="135"/>
      <c r="AF531" s="135"/>
      <c r="AG531" s="135"/>
    </row>
    <row r="532" spans="15:33" ht="15.75" customHeight="1" x14ac:dyDescent="0.3">
      <c r="O532" s="135"/>
      <c r="P532" s="157"/>
      <c r="Q532" s="157"/>
      <c r="R532" s="157"/>
      <c r="S532" s="157"/>
      <c r="T532" s="157"/>
      <c r="U532" s="157"/>
      <c r="V532" s="157"/>
      <c r="W532" s="135"/>
      <c r="X532" s="135"/>
      <c r="Y532" s="135"/>
      <c r="Z532" s="135"/>
      <c r="AA532" s="135"/>
      <c r="AB532" s="135"/>
      <c r="AC532" s="135"/>
      <c r="AD532" s="135"/>
      <c r="AE532" s="135"/>
      <c r="AF532" s="135"/>
      <c r="AG532" s="135"/>
    </row>
    <row r="533" spans="15:33" ht="15.75" customHeight="1" x14ac:dyDescent="0.3">
      <c r="O533" s="135"/>
      <c r="P533" s="157"/>
      <c r="Q533" s="157"/>
      <c r="R533" s="157"/>
      <c r="S533" s="157"/>
      <c r="T533" s="157"/>
      <c r="U533" s="157"/>
      <c r="V533" s="157"/>
      <c r="W533" s="135"/>
      <c r="X533" s="135"/>
      <c r="Y533" s="135"/>
      <c r="Z533" s="135"/>
      <c r="AA533" s="135"/>
      <c r="AB533" s="135"/>
      <c r="AC533" s="135"/>
      <c r="AD533" s="135"/>
      <c r="AE533" s="135"/>
      <c r="AF533" s="135"/>
      <c r="AG533" s="135"/>
    </row>
    <row r="534" spans="15:33" ht="15.75" customHeight="1" x14ac:dyDescent="0.3">
      <c r="O534" s="135"/>
      <c r="P534" s="157"/>
      <c r="Q534" s="157"/>
      <c r="R534" s="157"/>
      <c r="S534" s="157"/>
      <c r="T534" s="157"/>
      <c r="U534" s="157"/>
      <c r="V534" s="157"/>
      <c r="W534" s="135"/>
      <c r="X534" s="135"/>
      <c r="Y534" s="135"/>
      <c r="Z534" s="135"/>
      <c r="AA534" s="135"/>
      <c r="AB534" s="135"/>
      <c r="AC534" s="135"/>
      <c r="AD534" s="135"/>
      <c r="AE534" s="135"/>
      <c r="AF534" s="135"/>
      <c r="AG534" s="135"/>
    </row>
    <row r="535" spans="15:33" ht="15.75" customHeight="1" x14ac:dyDescent="0.3">
      <c r="O535" s="135"/>
      <c r="P535" s="157"/>
      <c r="Q535" s="157"/>
      <c r="R535" s="157"/>
      <c r="S535" s="157"/>
      <c r="T535" s="157"/>
      <c r="U535" s="157"/>
      <c r="V535" s="157"/>
      <c r="W535" s="135"/>
      <c r="X535" s="135"/>
      <c r="Y535" s="135"/>
      <c r="Z535" s="135"/>
      <c r="AA535" s="135"/>
      <c r="AB535" s="135"/>
      <c r="AC535" s="135"/>
      <c r="AD535" s="135"/>
      <c r="AE535" s="135"/>
      <c r="AF535" s="135"/>
      <c r="AG535" s="135"/>
    </row>
    <row r="536" spans="15:33" ht="15.75" customHeight="1" x14ac:dyDescent="0.3">
      <c r="O536" s="135"/>
      <c r="P536" s="157"/>
      <c r="Q536" s="157"/>
      <c r="R536" s="157"/>
      <c r="S536" s="157"/>
      <c r="T536" s="157"/>
      <c r="U536" s="157"/>
      <c r="V536" s="157"/>
      <c r="W536" s="135"/>
      <c r="X536" s="135"/>
      <c r="Y536" s="135"/>
      <c r="Z536" s="135"/>
      <c r="AA536" s="135"/>
      <c r="AB536" s="135"/>
      <c r="AC536" s="135"/>
      <c r="AD536" s="135"/>
      <c r="AE536" s="135"/>
      <c r="AF536" s="135"/>
      <c r="AG536" s="135"/>
    </row>
    <row r="537" spans="15:33" ht="15.75" customHeight="1" x14ac:dyDescent="0.3">
      <c r="O537" s="135"/>
      <c r="P537" s="157"/>
      <c r="Q537" s="157"/>
      <c r="R537" s="157"/>
      <c r="S537" s="157"/>
      <c r="T537" s="157"/>
      <c r="U537" s="157"/>
      <c r="V537" s="157"/>
      <c r="W537" s="135"/>
      <c r="X537" s="135"/>
      <c r="Y537" s="135"/>
      <c r="Z537" s="135"/>
      <c r="AA537" s="135"/>
      <c r="AB537" s="135"/>
      <c r="AC537" s="135"/>
      <c r="AD537" s="135"/>
      <c r="AE537" s="135"/>
      <c r="AF537" s="135"/>
      <c r="AG537" s="135"/>
    </row>
    <row r="538" spans="15:33" ht="15.75" customHeight="1" x14ac:dyDescent="0.3">
      <c r="O538" s="135"/>
      <c r="P538" s="157"/>
      <c r="Q538" s="157"/>
      <c r="R538" s="157"/>
      <c r="S538" s="157"/>
      <c r="T538" s="157"/>
      <c r="U538" s="157"/>
      <c r="V538" s="157"/>
      <c r="W538" s="135"/>
      <c r="X538" s="135"/>
      <c r="Y538" s="135"/>
      <c r="Z538" s="135"/>
      <c r="AA538" s="135"/>
      <c r="AB538" s="135"/>
      <c r="AC538" s="135"/>
      <c r="AD538" s="135"/>
      <c r="AE538" s="135"/>
      <c r="AF538" s="135"/>
      <c r="AG538" s="135"/>
    </row>
    <row r="539" spans="15:33" ht="15.75" customHeight="1" x14ac:dyDescent="0.3">
      <c r="O539" s="135"/>
      <c r="P539" s="157"/>
      <c r="Q539" s="157"/>
      <c r="R539" s="157"/>
      <c r="S539" s="157"/>
      <c r="T539" s="157"/>
      <c r="U539" s="157"/>
      <c r="V539" s="157"/>
      <c r="W539" s="135"/>
      <c r="X539" s="135"/>
      <c r="Y539" s="135"/>
      <c r="Z539" s="135"/>
      <c r="AA539" s="135"/>
      <c r="AB539" s="135"/>
      <c r="AC539" s="135"/>
      <c r="AD539" s="135"/>
      <c r="AE539" s="135"/>
      <c r="AF539" s="135"/>
      <c r="AG539" s="135"/>
    </row>
    <row r="540" spans="15:33" ht="15.75" customHeight="1" x14ac:dyDescent="0.3">
      <c r="O540" s="135"/>
      <c r="P540" s="157"/>
      <c r="Q540" s="157"/>
      <c r="R540" s="157"/>
      <c r="S540" s="157"/>
      <c r="T540" s="157"/>
      <c r="U540" s="157"/>
      <c r="V540" s="157"/>
      <c r="W540" s="135"/>
      <c r="X540" s="135"/>
      <c r="Y540" s="135"/>
      <c r="Z540" s="135"/>
      <c r="AA540" s="135"/>
      <c r="AB540" s="135"/>
      <c r="AC540" s="135"/>
      <c r="AD540" s="135"/>
      <c r="AE540" s="135"/>
      <c r="AF540" s="135"/>
      <c r="AG540" s="135"/>
    </row>
    <row r="541" spans="15:33" ht="15.75" customHeight="1" x14ac:dyDescent="0.3">
      <c r="O541" s="135"/>
      <c r="P541" s="157"/>
      <c r="Q541" s="157"/>
      <c r="R541" s="157"/>
      <c r="S541" s="157"/>
      <c r="T541" s="157"/>
      <c r="U541" s="157"/>
      <c r="V541" s="157"/>
      <c r="W541" s="135"/>
      <c r="X541" s="135"/>
      <c r="Y541" s="135"/>
      <c r="Z541" s="135"/>
      <c r="AA541" s="135"/>
      <c r="AB541" s="135"/>
      <c r="AC541" s="135"/>
      <c r="AD541" s="135"/>
      <c r="AE541" s="135"/>
      <c r="AF541" s="135"/>
      <c r="AG541" s="135"/>
    </row>
    <row r="542" spans="15:33" ht="15.75" customHeight="1" x14ac:dyDescent="0.3">
      <c r="O542" s="135"/>
      <c r="P542" s="157"/>
      <c r="Q542" s="157"/>
      <c r="R542" s="157"/>
      <c r="S542" s="157"/>
      <c r="T542" s="157"/>
      <c r="U542" s="157"/>
      <c r="V542" s="157"/>
      <c r="W542" s="135"/>
      <c r="X542" s="135"/>
      <c r="Y542" s="135"/>
      <c r="Z542" s="135"/>
      <c r="AA542" s="135"/>
      <c r="AB542" s="135"/>
      <c r="AC542" s="135"/>
      <c r="AD542" s="135"/>
      <c r="AE542" s="135"/>
      <c r="AF542" s="135"/>
      <c r="AG542" s="135"/>
    </row>
    <row r="543" spans="15:33" ht="15.75" customHeight="1" x14ac:dyDescent="0.3">
      <c r="O543" s="135"/>
      <c r="P543" s="157"/>
      <c r="Q543" s="157"/>
      <c r="R543" s="157"/>
      <c r="S543" s="157"/>
      <c r="T543" s="157"/>
      <c r="U543" s="157"/>
      <c r="V543" s="157"/>
      <c r="W543" s="135"/>
      <c r="X543" s="135"/>
      <c r="Y543" s="135"/>
      <c r="Z543" s="135"/>
      <c r="AA543" s="135"/>
      <c r="AB543" s="135"/>
      <c r="AC543" s="135"/>
      <c r="AD543" s="135"/>
      <c r="AE543" s="135"/>
      <c r="AF543" s="135"/>
      <c r="AG543" s="135"/>
    </row>
    <row r="544" spans="15:33" ht="15.75" customHeight="1" x14ac:dyDescent="0.3">
      <c r="O544" s="135"/>
      <c r="P544" s="157"/>
      <c r="Q544" s="157"/>
      <c r="R544" s="157"/>
      <c r="S544" s="157"/>
      <c r="T544" s="157"/>
      <c r="U544" s="157"/>
      <c r="V544" s="157"/>
      <c r="W544" s="135"/>
      <c r="X544" s="135"/>
      <c r="Y544" s="135"/>
      <c r="Z544" s="135"/>
      <c r="AA544" s="135"/>
      <c r="AB544" s="135"/>
      <c r="AC544" s="135"/>
      <c r="AD544" s="135"/>
      <c r="AE544" s="135"/>
      <c r="AF544" s="135"/>
      <c r="AG544" s="135"/>
    </row>
    <row r="545" spans="15:33" ht="15.75" customHeight="1" x14ac:dyDescent="0.3">
      <c r="O545" s="135"/>
      <c r="P545" s="157"/>
      <c r="Q545" s="157"/>
      <c r="R545" s="157"/>
      <c r="S545" s="157"/>
      <c r="T545" s="157"/>
      <c r="U545" s="157"/>
      <c r="V545" s="157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</row>
    <row r="546" spans="15:33" ht="15.75" customHeight="1" x14ac:dyDescent="0.3">
      <c r="O546" s="135"/>
      <c r="P546" s="157"/>
      <c r="Q546" s="157"/>
      <c r="R546" s="157"/>
      <c r="S546" s="157"/>
      <c r="T546" s="157"/>
      <c r="U546" s="157"/>
      <c r="V546" s="157"/>
      <c r="W546" s="135"/>
      <c r="X546" s="135"/>
      <c r="Y546" s="135"/>
      <c r="Z546" s="135"/>
      <c r="AA546" s="135"/>
      <c r="AB546" s="135"/>
      <c r="AC546" s="135"/>
      <c r="AD546" s="135"/>
      <c r="AE546" s="135"/>
      <c r="AF546" s="135"/>
      <c r="AG546" s="135"/>
    </row>
    <row r="547" spans="15:33" ht="15.75" customHeight="1" x14ac:dyDescent="0.3">
      <c r="O547" s="135"/>
      <c r="P547" s="157"/>
      <c r="Q547" s="157"/>
      <c r="R547" s="157"/>
      <c r="S547" s="157"/>
      <c r="T547" s="157"/>
      <c r="U547" s="157"/>
      <c r="V547" s="157"/>
      <c r="W547" s="135"/>
      <c r="X547" s="135"/>
      <c r="Y547" s="135"/>
      <c r="Z547" s="135"/>
      <c r="AA547" s="135"/>
      <c r="AB547" s="135"/>
      <c r="AC547" s="135"/>
      <c r="AD547" s="135"/>
      <c r="AE547" s="135"/>
      <c r="AF547" s="135"/>
      <c r="AG547" s="135"/>
    </row>
    <row r="548" spans="15:33" ht="15.75" customHeight="1" x14ac:dyDescent="0.3">
      <c r="O548" s="135"/>
      <c r="P548" s="157"/>
      <c r="Q548" s="157"/>
      <c r="R548" s="157"/>
      <c r="S548" s="157"/>
      <c r="T548" s="157"/>
      <c r="U548" s="157"/>
      <c r="V548" s="157"/>
      <c r="W548" s="135"/>
      <c r="X548" s="135"/>
      <c r="Y548" s="135"/>
      <c r="Z548" s="135"/>
      <c r="AA548" s="135"/>
      <c r="AB548" s="135"/>
      <c r="AC548" s="135"/>
      <c r="AD548" s="135"/>
      <c r="AE548" s="135"/>
      <c r="AF548" s="135"/>
      <c r="AG548" s="135"/>
    </row>
    <row r="549" spans="15:33" ht="15.75" customHeight="1" x14ac:dyDescent="0.3">
      <c r="O549" s="135"/>
      <c r="P549" s="157"/>
      <c r="Q549" s="157"/>
      <c r="R549" s="157"/>
      <c r="S549" s="157"/>
      <c r="T549" s="157"/>
      <c r="U549" s="157"/>
      <c r="V549" s="157"/>
      <c r="W549" s="135"/>
      <c r="X549" s="135"/>
      <c r="Y549" s="135"/>
      <c r="Z549" s="135"/>
      <c r="AA549" s="135"/>
      <c r="AB549" s="135"/>
      <c r="AC549" s="135"/>
      <c r="AD549" s="135"/>
      <c r="AE549" s="135"/>
      <c r="AF549" s="135"/>
      <c r="AG549" s="135"/>
    </row>
    <row r="550" spans="15:33" ht="15.75" customHeight="1" x14ac:dyDescent="0.3">
      <c r="O550" s="135"/>
      <c r="P550" s="157"/>
      <c r="Q550" s="157"/>
      <c r="R550" s="157"/>
      <c r="S550" s="157"/>
      <c r="T550" s="157"/>
      <c r="U550" s="157"/>
      <c r="V550" s="157"/>
      <c r="W550" s="135"/>
      <c r="X550" s="135"/>
      <c r="Y550" s="135"/>
      <c r="Z550" s="135"/>
      <c r="AA550" s="135"/>
      <c r="AB550" s="135"/>
      <c r="AC550" s="135"/>
      <c r="AD550" s="135"/>
      <c r="AE550" s="135"/>
      <c r="AF550" s="135"/>
      <c r="AG550" s="135"/>
    </row>
    <row r="551" spans="15:33" ht="15.75" customHeight="1" x14ac:dyDescent="0.3">
      <c r="O551" s="135"/>
      <c r="P551" s="157"/>
      <c r="Q551" s="157"/>
      <c r="R551" s="157"/>
      <c r="S551" s="157"/>
      <c r="T551" s="157"/>
      <c r="U551" s="157"/>
      <c r="V551" s="157"/>
      <c r="W551" s="135"/>
      <c r="X551" s="135"/>
      <c r="Y551" s="135"/>
      <c r="Z551" s="135"/>
      <c r="AA551" s="135"/>
      <c r="AB551" s="135"/>
      <c r="AC551" s="135"/>
      <c r="AD551" s="135"/>
      <c r="AE551" s="135"/>
      <c r="AF551" s="135"/>
      <c r="AG551" s="135"/>
    </row>
    <row r="552" spans="15:33" ht="15.75" customHeight="1" x14ac:dyDescent="0.3">
      <c r="O552" s="135"/>
      <c r="P552" s="157"/>
      <c r="Q552" s="157"/>
      <c r="R552" s="157"/>
      <c r="S552" s="157"/>
      <c r="T552" s="157"/>
      <c r="U552" s="157"/>
      <c r="V552" s="157"/>
      <c r="W552" s="135"/>
      <c r="X552" s="135"/>
      <c r="Y552" s="135"/>
      <c r="Z552" s="135"/>
      <c r="AA552" s="135"/>
      <c r="AB552" s="135"/>
      <c r="AC552" s="135"/>
      <c r="AD552" s="135"/>
      <c r="AE552" s="135"/>
      <c r="AF552" s="135"/>
      <c r="AG552" s="135"/>
    </row>
    <row r="553" spans="15:33" ht="15.75" customHeight="1" x14ac:dyDescent="0.3">
      <c r="O553" s="135"/>
      <c r="P553" s="157"/>
      <c r="Q553" s="157"/>
      <c r="R553" s="157"/>
      <c r="S553" s="157"/>
      <c r="T553" s="157"/>
      <c r="U553" s="157"/>
      <c r="V553" s="157"/>
      <c r="W553" s="135"/>
      <c r="X553" s="135"/>
      <c r="Y553" s="135"/>
      <c r="Z553" s="135"/>
      <c r="AA553" s="135"/>
      <c r="AB553" s="135"/>
      <c r="AC553" s="135"/>
      <c r="AD553" s="135"/>
      <c r="AE553" s="135"/>
      <c r="AF553" s="135"/>
      <c r="AG553" s="135"/>
    </row>
    <row r="554" spans="15:33" ht="15.75" customHeight="1" x14ac:dyDescent="0.3">
      <c r="O554" s="135"/>
      <c r="P554" s="157"/>
      <c r="Q554" s="157"/>
      <c r="R554" s="157"/>
      <c r="S554" s="157"/>
      <c r="T554" s="157"/>
      <c r="U554" s="157"/>
      <c r="V554" s="157"/>
      <c r="W554" s="135"/>
      <c r="X554" s="135"/>
      <c r="Y554" s="135"/>
      <c r="Z554" s="135"/>
      <c r="AA554" s="135"/>
      <c r="AB554" s="135"/>
      <c r="AC554" s="135"/>
      <c r="AD554" s="135"/>
      <c r="AE554" s="135"/>
      <c r="AF554" s="135"/>
      <c r="AG554" s="135"/>
    </row>
    <row r="555" spans="15:33" ht="15.75" customHeight="1" x14ac:dyDescent="0.3">
      <c r="O555" s="135"/>
      <c r="P555" s="157"/>
      <c r="Q555" s="157"/>
      <c r="R555" s="157"/>
      <c r="S555" s="157"/>
      <c r="T555" s="157"/>
      <c r="U555" s="157"/>
      <c r="V555" s="157"/>
      <c r="W555" s="135"/>
      <c r="X555" s="135"/>
      <c r="Y555" s="135"/>
      <c r="Z555" s="135"/>
      <c r="AA555" s="135"/>
      <c r="AB555" s="135"/>
      <c r="AC555" s="135"/>
      <c r="AD555" s="135"/>
      <c r="AE555" s="135"/>
      <c r="AF555" s="135"/>
      <c r="AG555" s="135"/>
    </row>
    <row r="556" spans="15:33" ht="15.75" customHeight="1" x14ac:dyDescent="0.3">
      <c r="O556" s="135"/>
      <c r="P556" s="157"/>
      <c r="Q556" s="157"/>
      <c r="R556" s="157"/>
      <c r="S556" s="157"/>
      <c r="T556" s="157"/>
      <c r="U556" s="157"/>
      <c r="V556" s="157"/>
      <c r="W556" s="135"/>
      <c r="X556" s="135"/>
      <c r="Y556" s="135"/>
      <c r="Z556" s="135"/>
      <c r="AA556" s="135"/>
      <c r="AB556" s="135"/>
      <c r="AC556" s="135"/>
      <c r="AD556" s="135"/>
      <c r="AE556" s="135"/>
      <c r="AF556" s="135"/>
      <c r="AG556" s="135"/>
    </row>
    <row r="557" spans="15:33" ht="15.75" customHeight="1" x14ac:dyDescent="0.3">
      <c r="O557" s="135"/>
      <c r="P557" s="157"/>
      <c r="Q557" s="157"/>
      <c r="R557" s="157"/>
      <c r="S557" s="157"/>
      <c r="T557" s="157"/>
      <c r="U557" s="157"/>
      <c r="V557" s="157"/>
      <c r="W557" s="135"/>
      <c r="X557" s="135"/>
      <c r="Y557" s="135"/>
      <c r="Z557" s="135"/>
      <c r="AA557" s="135"/>
      <c r="AB557" s="135"/>
      <c r="AC557" s="135"/>
      <c r="AD557" s="135"/>
      <c r="AE557" s="135"/>
      <c r="AF557" s="135"/>
      <c r="AG557" s="135"/>
    </row>
    <row r="558" spans="15:33" ht="15.75" customHeight="1" x14ac:dyDescent="0.3">
      <c r="O558" s="135"/>
      <c r="P558" s="157"/>
      <c r="Q558" s="157"/>
      <c r="R558" s="157"/>
      <c r="S558" s="157"/>
      <c r="T558" s="157"/>
      <c r="U558" s="157"/>
      <c r="V558" s="157"/>
      <c r="W558" s="135"/>
      <c r="X558" s="135"/>
      <c r="Y558" s="135"/>
      <c r="Z558" s="135"/>
      <c r="AA558" s="135"/>
      <c r="AB558" s="135"/>
      <c r="AC558" s="135"/>
      <c r="AD558" s="135"/>
      <c r="AE558" s="135"/>
      <c r="AF558" s="135"/>
      <c r="AG558" s="135"/>
    </row>
    <row r="559" spans="15:33" ht="15.75" customHeight="1" x14ac:dyDescent="0.3">
      <c r="O559" s="135"/>
      <c r="P559" s="157"/>
      <c r="Q559" s="157"/>
      <c r="R559" s="157"/>
      <c r="S559" s="157"/>
      <c r="T559" s="157"/>
      <c r="U559" s="157"/>
      <c r="V559" s="157"/>
      <c r="W559" s="135"/>
      <c r="X559" s="135"/>
      <c r="Y559" s="135"/>
      <c r="Z559" s="135"/>
      <c r="AA559" s="135"/>
      <c r="AB559" s="135"/>
      <c r="AC559" s="135"/>
      <c r="AD559" s="135"/>
      <c r="AE559" s="135"/>
      <c r="AF559" s="135"/>
      <c r="AG559" s="135"/>
    </row>
    <row r="560" spans="15:33" ht="15.75" customHeight="1" x14ac:dyDescent="0.3">
      <c r="O560" s="135"/>
      <c r="P560" s="157"/>
      <c r="Q560" s="157"/>
      <c r="R560" s="157"/>
      <c r="S560" s="157"/>
      <c r="T560" s="157"/>
      <c r="U560" s="157"/>
      <c r="V560" s="157"/>
      <c r="W560" s="135"/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135"/>
    </row>
    <row r="561" spans="15:33" ht="15.75" customHeight="1" x14ac:dyDescent="0.3">
      <c r="O561" s="135"/>
      <c r="P561" s="157"/>
      <c r="Q561" s="157"/>
      <c r="R561" s="157"/>
      <c r="S561" s="157"/>
      <c r="T561" s="157"/>
      <c r="U561" s="157"/>
      <c r="V561" s="157"/>
      <c r="W561" s="135"/>
      <c r="X561" s="135"/>
      <c r="Y561" s="135"/>
      <c r="Z561" s="135"/>
      <c r="AA561" s="135"/>
      <c r="AB561" s="135"/>
      <c r="AC561" s="135"/>
      <c r="AD561" s="135"/>
      <c r="AE561" s="135"/>
      <c r="AF561" s="135"/>
      <c r="AG561" s="135"/>
    </row>
    <row r="562" spans="15:33" ht="15.75" customHeight="1" x14ac:dyDescent="0.3">
      <c r="O562" s="135"/>
      <c r="P562" s="157"/>
      <c r="Q562" s="157"/>
      <c r="R562" s="157"/>
      <c r="S562" s="157"/>
      <c r="T562" s="157"/>
      <c r="U562" s="157"/>
      <c r="V562" s="157"/>
      <c r="W562" s="135"/>
      <c r="X562" s="135"/>
      <c r="Y562" s="135"/>
      <c r="Z562" s="135"/>
      <c r="AA562" s="135"/>
      <c r="AB562" s="135"/>
      <c r="AC562" s="135"/>
      <c r="AD562" s="135"/>
      <c r="AE562" s="135"/>
      <c r="AF562" s="135"/>
      <c r="AG562" s="135"/>
    </row>
    <row r="563" spans="15:33" ht="15.75" customHeight="1" x14ac:dyDescent="0.3">
      <c r="O563" s="135"/>
      <c r="P563" s="157"/>
      <c r="Q563" s="157"/>
      <c r="R563" s="157"/>
      <c r="S563" s="157"/>
      <c r="T563" s="157"/>
      <c r="U563" s="157"/>
      <c r="V563" s="157"/>
      <c r="W563" s="135"/>
      <c r="X563" s="135"/>
      <c r="Y563" s="135"/>
      <c r="Z563" s="135"/>
      <c r="AA563" s="135"/>
      <c r="AB563" s="135"/>
      <c r="AC563" s="135"/>
      <c r="AD563" s="135"/>
      <c r="AE563" s="135"/>
      <c r="AF563" s="135"/>
      <c r="AG563" s="135"/>
    </row>
    <row r="564" spans="15:33" ht="15.75" customHeight="1" x14ac:dyDescent="0.3">
      <c r="O564" s="135"/>
      <c r="P564" s="157"/>
      <c r="Q564" s="157"/>
      <c r="R564" s="157"/>
      <c r="S564" s="157"/>
      <c r="T564" s="157"/>
      <c r="U564" s="157"/>
      <c r="V564" s="157"/>
      <c r="W564" s="135"/>
      <c r="X564" s="135"/>
      <c r="Y564" s="135"/>
      <c r="Z564" s="135"/>
      <c r="AA564" s="135"/>
      <c r="AB564" s="135"/>
      <c r="AC564" s="135"/>
      <c r="AD564" s="135"/>
      <c r="AE564" s="135"/>
      <c r="AF564" s="135"/>
      <c r="AG564" s="135"/>
    </row>
    <row r="565" spans="15:33" ht="15.75" customHeight="1" x14ac:dyDescent="0.3">
      <c r="O565" s="135"/>
      <c r="P565" s="157"/>
      <c r="Q565" s="157"/>
      <c r="R565" s="157"/>
      <c r="S565" s="157"/>
      <c r="T565" s="157"/>
      <c r="U565" s="157"/>
      <c r="V565" s="157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135"/>
    </row>
    <row r="566" spans="15:33" ht="15.75" customHeight="1" x14ac:dyDescent="0.3">
      <c r="O566" s="135"/>
      <c r="P566" s="157"/>
      <c r="Q566" s="157"/>
      <c r="R566" s="157"/>
      <c r="S566" s="157"/>
      <c r="T566" s="157"/>
      <c r="U566" s="157"/>
      <c r="V566" s="157"/>
      <c r="W566" s="135"/>
      <c r="X566" s="135"/>
      <c r="Y566" s="135"/>
      <c r="Z566" s="135"/>
      <c r="AA566" s="135"/>
      <c r="AB566" s="135"/>
      <c r="AC566" s="135"/>
      <c r="AD566" s="135"/>
      <c r="AE566" s="135"/>
      <c r="AF566" s="135"/>
      <c r="AG566" s="135"/>
    </row>
    <row r="567" spans="15:33" ht="15.75" customHeight="1" x14ac:dyDescent="0.3">
      <c r="O567" s="135"/>
      <c r="P567" s="157"/>
      <c r="Q567" s="157"/>
      <c r="R567" s="157"/>
      <c r="S567" s="157"/>
      <c r="T567" s="157"/>
      <c r="U567" s="157"/>
      <c r="V567" s="157"/>
      <c r="W567" s="135"/>
      <c r="X567" s="135"/>
      <c r="Y567" s="135"/>
      <c r="Z567" s="135"/>
      <c r="AA567" s="135"/>
      <c r="AB567" s="135"/>
      <c r="AC567" s="135"/>
      <c r="AD567" s="135"/>
      <c r="AE567" s="135"/>
      <c r="AF567" s="135"/>
      <c r="AG567" s="135"/>
    </row>
    <row r="568" spans="15:33" ht="15.75" customHeight="1" x14ac:dyDescent="0.3">
      <c r="O568" s="135"/>
      <c r="P568" s="157"/>
      <c r="Q568" s="157"/>
      <c r="R568" s="157"/>
      <c r="S568" s="157"/>
      <c r="T568" s="157"/>
      <c r="U568" s="157"/>
      <c r="V568" s="157"/>
      <c r="W568" s="135"/>
      <c r="X568" s="135"/>
      <c r="Y568" s="135"/>
      <c r="Z568" s="135"/>
      <c r="AA568" s="135"/>
      <c r="AB568" s="135"/>
      <c r="AC568" s="135"/>
      <c r="AD568" s="135"/>
      <c r="AE568" s="135"/>
      <c r="AF568" s="135"/>
      <c r="AG568" s="135"/>
    </row>
    <row r="569" spans="15:33" ht="15.75" customHeight="1" x14ac:dyDescent="0.3">
      <c r="O569" s="135"/>
      <c r="P569" s="157"/>
      <c r="Q569" s="157"/>
      <c r="R569" s="157"/>
      <c r="S569" s="157"/>
      <c r="T569" s="157"/>
      <c r="U569" s="157"/>
      <c r="V569" s="157"/>
      <c r="W569" s="135"/>
      <c r="X569" s="135"/>
      <c r="Y569" s="135"/>
      <c r="Z569" s="135"/>
      <c r="AA569" s="135"/>
      <c r="AB569" s="135"/>
      <c r="AC569" s="135"/>
      <c r="AD569" s="135"/>
      <c r="AE569" s="135"/>
      <c r="AF569" s="135"/>
      <c r="AG569" s="135"/>
    </row>
    <row r="570" spans="15:33" ht="15.75" customHeight="1" x14ac:dyDescent="0.3">
      <c r="O570" s="135"/>
      <c r="P570" s="157"/>
      <c r="Q570" s="157"/>
      <c r="R570" s="157"/>
      <c r="S570" s="157"/>
      <c r="T570" s="157"/>
      <c r="U570" s="157"/>
      <c r="V570" s="157"/>
      <c r="W570" s="135"/>
      <c r="X570" s="135"/>
      <c r="Y570" s="135"/>
      <c r="Z570" s="135"/>
      <c r="AA570" s="135"/>
      <c r="AB570" s="135"/>
      <c r="AC570" s="135"/>
      <c r="AD570" s="135"/>
      <c r="AE570" s="135"/>
      <c r="AF570" s="135"/>
      <c r="AG570" s="135"/>
    </row>
    <row r="571" spans="15:33" ht="15.75" customHeight="1" x14ac:dyDescent="0.3">
      <c r="O571" s="135"/>
      <c r="P571" s="157"/>
      <c r="Q571" s="157"/>
      <c r="R571" s="157"/>
      <c r="S571" s="157"/>
      <c r="T571" s="157"/>
      <c r="U571" s="157"/>
      <c r="V571" s="157"/>
      <c r="W571" s="135"/>
      <c r="X571" s="135"/>
      <c r="Y571" s="135"/>
      <c r="Z571" s="135"/>
      <c r="AA571" s="135"/>
      <c r="AB571" s="135"/>
      <c r="AC571" s="135"/>
      <c r="AD571" s="135"/>
      <c r="AE571" s="135"/>
      <c r="AF571" s="135"/>
      <c r="AG571" s="135"/>
    </row>
    <row r="572" spans="15:33" ht="15.75" customHeight="1" x14ac:dyDescent="0.3">
      <c r="O572" s="135"/>
      <c r="P572" s="157"/>
      <c r="Q572" s="157"/>
      <c r="R572" s="157"/>
      <c r="S572" s="157"/>
      <c r="T572" s="157"/>
      <c r="U572" s="157"/>
      <c r="V572" s="157"/>
      <c r="W572" s="135"/>
      <c r="X572" s="135"/>
      <c r="Y572" s="135"/>
      <c r="Z572" s="135"/>
      <c r="AA572" s="135"/>
      <c r="AB572" s="135"/>
      <c r="AC572" s="135"/>
      <c r="AD572" s="135"/>
      <c r="AE572" s="135"/>
      <c r="AF572" s="135"/>
      <c r="AG572" s="135"/>
    </row>
    <row r="573" spans="15:33" ht="15.75" customHeight="1" x14ac:dyDescent="0.3">
      <c r="O573" s="135"/>
      <c r="P573" s="157"/>
      <c r="Q573" s="157"/>
      <c r="R573" s="157"/>
      <c r="S573" s="157"/>
      <c r="T573" s="157"/>
      <c r="U573" s="157"/>
      <c r="V573" s="157"/>
      <c r="W573" s="135"/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135"/>
    </row>
    <row r="574" spans="15:33" ht="15.75" customHeight="1" x14ac:dyDescent="0.3">
      <c r="O574" s="135"/>
      <c r="P574" s="157"/>
      <c r="Q574" s="157"/>
      <c r="R574" s="157"/>
      <c r="S574" s="157"/>
      <c r="T574" s="157"/>
      <c r="U574" s="157"/>
      <c r="V574" s="157"/>
      <c r="W574" s="135"/>
      <c r="X574" s="135"/>
      <c r="Y574" s="135"/>
      <c r="Z574" s="135"/>
      <c r="AA574" s="135"/>
      <c r="AB574" s="135"/>
      <c r="AC574" s="135"/>
      <c r="AD574" s="135"/>
      <c r="AE574" s="135"/>
      <c r="AF574" s="135"/>
      <c r="AG574" s="135"/>
    </row>
    <row r="575" spans="15:33" ht="15.75" customHeight="1" x14ac:dyDescent="0.3">
      <c r="O575" s="135"/>
      <c r="P575" s="157"/>
      <c r="Q575" s="157"/>
      <c r="R575" s="157"/>
      <c r="S575" s="157"/>
      <c r="T575" s="157"/>
      <c r="U575" s="157"/>
      <c r="V575" s="157"/>
      <c r="W575" s="135"/>
      <c r="X575" s="135"/>
      <c r="Y575" s="135"/>
      <c r="Z575" s="135"/>
      <c r="AA575" s="135"/>
      <c r="AB575" s="135"/>
      <c r="AC575" s="135"/>
      <c r="AD575" s="135"/>
      <c r="AE575" s="135"/>
      <c r="AF575" s="135"/>
      <c r="AG575" s="135"/>
    </row>
    <row r="576" spans="15:33" ht="15.75" customHeight="1" x14ac:dyDescent="0.3">
      <c r="O576" s="135"/>
      <c r="P576" s="157"/>
      <c r="Q576" s="157"/>
      <c r="R576" s="157"/>
      <c r="S576" s="157"/>
      <c r="T576" s="157"/>
      <c r="U576" s="157"/>
      <c r="V576" s="157"/>
      <c r="W576" s="135"/>
      <c r="X576" s="135"/>
      <c r="Y576" s="135"/>
      <c r="Z576" s="135"/>
      <c r="AA576" s="135"/>
      <c r="AB576" s="135"/>
      <c r="AC576" s="135"/>
      <c r="AD576" s="135"/>
      <c r="AE576" s="135"/>
      <c r="AF576" s="135"/>
      <c r="AG576" s="135"/>
    </row>
    <row r="577" spans="15:33" ht="15.75" customHeight="1" x14ac:dyDescent="0.3">
      <c r="O577" s="135"/>
      <c r="P577" s="157"/>
      <c r="Q577" s="157"/>
      <c r="R577" s="157"/>
      <c r="S577" s="157"/>
      <c r="T577" s="157"/>
      <c r="U577" s="157"/>
      <c r="V577" s="157"/>
      <c r="W577" s="135"/>
      <c r="X577" s="135"/>
      <c r="Y577" s="135"/>
      <c r="Z577" s="135"/>
      <c r="AA577" s="135"/>
      <c r="AB577" s="135"/>
      <c r="AC577" s="135"/>
      <c r="AD577" s="135"/>
      <c r="AE577" s="135"/>
      <c r="AF577" s="135"/>
      <c r="AG577" s="135"/>
    </row>
    <row r="578" spans="15:33" ht="15.75" customHeight="1" x14ac:dyDescent="0.3">
      <c r="O578" s="135"/>
      <c r="P578" s="157"/>
      <c r="Q578" s="157"/>
      <c r="R578" s="157"/>
      <c r="S578" s="157"/>
      <c r="T578" s="157"/>
      <c r="U578" s="157"/>
      <c r="V578" s="157"/>
      <c r="W578" s="135"/>
      <c r="X578" s="135"/>
      <c r="Y578" s="135"/>
      <c r="Z578" s="135"/>
      <c r="AA578" s="135"/>
      <c r="AB578" s="135"/>
      <c r="AC578" s="135"/>
      <c r="AD578" s="135"/>
      <c r="AE578" s="135"/>
      <c r="AF578" s="135"/>
      <c r="AG578" s="135"/>
    </row>
    <row r="579" spans="15:33" ht="15.75" customHeight="1" x14ac:dyDescent="0.3">
      <c r="O579" s="135"/>
      <c r="P579" s="157"/>
      <c r="Q579" s="157"/>
      <c r="R579" s="157"/>
      <c r="S579" s="157"/>
      <c r="T579" s="157"/>
      <c r="U579" s="157"/>
      <c r="V579" s="157"/>
      <c r="W579" s="135"/>
      <c r="X579" s="135"/>
      <c r="Y579" s="135"/>
      <c r="Z579" s="135"/>
      <c r="AA579" s="135"/>
      <c r="AB579" s="135"/>
      <c r="AC579" s="135"/>
      <c r="AD579" s="135"/>
      <c r="AE579" s="135"/>
      <c r="AF579" s="135"/>
      <c r="AG579" s="135"/>
    </row>
    <row r="580" spans="15:33" ht="15.75" customHeight="1" x14ac:dyDescent="0.3">
      <c r="O580" s="135"/>
      <c r="P580" s="157"/>
      <c r="Q580" s="157"/>
      <c r="R580" s="157"/>
      <c r="S580" s="157"/>
      <c r="T580" s="157"/>
      <c r="U580" s="157"/>
      <c r="V580" s="157"/>
      <c r="W580" s="135"/>
      <c r="X580" s="135"/>
      <c r="Y580" s="135"/>
      <c r="Z580" s="135"/>
      <c r="AA580" s="135"/>
      <c r="AB580" s="135"/>
      <c r="AC580" s="135"/>
      <c r="AD580" s="135"/>
      <c r="AE580" s="135"/>
      <c r="AF580" s="135"/>
      <c r="AG580" s="135"/>
    </row>
    <row r="581" spans="15:33" ht="15.75" customHeight="1" x14ac:dyDescent="0.3">
      <c r="O581" s="135"/>
      <c r="P581" s="157"/>
      <c r="Q581" s="157"/>
      <c r="R581" s="157"/>
      <c r="S581" s="157"/>
      <c r="T581" s="157"/>
      <c r="U581" s="157"/>
      <c r="V581" s="157"/>
      <c r="W581" s="135"/>
      <c r="X581" s="135"/>
      <c r="Y581" s="135"/>
      <c r="Z581" s="135"/>
      <c r="AA581" s="135"/>
      <c r="AB581" s="135"/>
      <c r="AC581" s="135"/>
      <c r="AD581" s="135"/>
      <c r="AE581" s="135"/>
      <c r="AF581" s="135"/>
      <c r="AG581" s="135"/>
    </row>
    <row r="582" spans="15:33" ht="15.75" customHeight="1" x14ac:dyDescent="0.3">
      <c r="O582" s="135"/>
      <c r="P582" s="157"/>
      <c r="Q582" s="157"/>
      <c r="R582" s="157"/>
      <c r="S582" s="157"/>
      <c r="T582" s="157"/>
      <c r="U582" s="157"/>
      <c r="V582" s="157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5"/>
    </row>
    <row r="583" spans="15:33" ht="15.75" customHeight="1" x14ac:dyDescent="0.3">
      <c r="O583" s="135"/>
      <c r="P583" s="157"/>
      <c r="Q583" s="157"/>
      <c r="R583" s="157"/>
      <c r="S583" s="157"/>
      <c r="T583" s="157"/>
      <c r="U583" s="157"/>
      <c r="V583" s="157"/>
      <c r="W583" s="135"/>
      <c r="X583" s="135"/>
      <c r="Y583" s="135"/>
      <c r="Z583" s="135"/>
      <c r="AA583" s="135"/>
      <c r="AB583" s="135"/>
      <c r="AC583" s="135"/>
      <c r="AD583" s="135"/>
      <c r="AE583" s="135"/>
      <c r="AF583" s="135"/>
      <c r="AG583" s="135"/>
    </row>
    <row r="584" spans="15:33" ht="15.75" customHeight="1" x14ac:dyDescent="0.3">
      <c r="O584" s="135"/>
      <c r="P584" s="157"/>
      <c r="Q584" s="157"/>
      <c r="R584" s="157"/>
      <c r="S584" s="157"/>
      <c r="T584" s="157"/>
      <c r="U584" s="157"/>
      <c r="V584" s="157"/>
      <c r="W584" s="135"/>
      <c r="X584" s="135"/>
      <c r="Y584" s="135"/>
      <c r="Z584" s="135"/>
      <c r="AA584" s="135"/>
      <c r="AB584" s="135"/>
      <c r="AC584" s="135"/>
      <c r="AD584" s="135"/>
      <c r="AE584" s="135"/>
      <c r="AF584" s="135"/>
      <c r="AG584" s="135"/>
    </row>
    <row r="585" spans="15:33" ht="15.75" customHeight="1" x14ac:dyDescent="0.3">
      <c r="O585" s="135"/>
      <c r="P585" s="157"/>
      <c r="Q585" s="157"/>
      <c r="R585" s="157"/>
      <c r="S585" s="157"/>
      <c r="T585" s="157"/>
      <c r="U585" s="157"/>
      <c r="V585" s="157"/>
      <c r="W585" s="135"/>
      <c r="X585" s="135"/>
      <c r="Y585" s="135"/>
      <c r="Z585" s="135"/>
      <c r="AA585" s="135"/>
      <c r="AB585" s="135"/>
      <c r="AC585" s="135"/>
      <c r="AD585" s="135"/>
      <c r="AE585" s="135"/>
      <c r="AF585" s="135"/>
      <c r="AG585" s="135"/>
    </row>
    <row r="586" spans="15:33" ht="15.75" customHeight="1" x14ac:dyDescent="0.3">
      <c r="O586" s="135"/>
      <c r="P586" s="157"/>
      <c r="Q586" s="157"/>
      <c r="R586" s="157"/>
      <c r="S586" s="157"/>
      <c r="T586" s="157"/>
      <c r="U586" s="157"/>
      <c r="V586" s="157"/>
      <c r="W586" s="135"/>
      <c r="X586" s="135"/>
      <c r="Y586" s="135"/>
      <c r="Z586" s="135"/>
      <c r="AA586" s="135"/>
      <c r="AB586" s="135"/>
      <c r="AC586" s="135"/>
      <c r="AD586" s="135"/>
      <c r="AE586" s="135"/>
      <c r="AF586" s="135"/>
      <c r="AG586" s="135"/>
    </row>
    <row r="587" spans="15:33" ht="15.75" customHeight="1" x14ac:dyDescent="0.3">
      <c r="O587" s="135"/>
      <c r="P587" s="157"/>
      <c r="Q587" s="157"/>
      <c r="R587" s="157"/>
      <c r="S587" s="157"/>
      <c r="T587" s="157"/>
      <c r="U587" s="157"/>
      <c r="V587" s="157"/>
      <c r="W587" s="135"/>
      <c r="X587" s="135"/>
      <c r="Y587" s="135"/>
      <c r="Z587" s="135"/>
      <c r="AA587" s="135"/>
      <c r="AB587" s="135"/>
      <c r="AC587" s="135"/>
      <c r="AD587" s="135"/>
      <c r="AE587" s="135"/>
      <c r="AF587" s="135"/>
      <c r="AG587" s="135"/>
    </row>
    <row r="588" spans="15:33" ht="15.75" customHeight="1" x14ac:dyDescent="0.3">
      <c r="O588" s="135"/>
      <c r="P588" s="157"/>
      <c r="Q588" s="157"/>
      <c r="R588" s="157"/>
      <c r="S588" s="157"/>
      <c r="T588" s="157"/>
      <c r="U588" s="157"/>
      <c r="V588" s="157"/>
      <c r="W588" s="135"/>
      <c r="X588" s="135"/>
      <c r="Y588" s="135"/>
      <c r="Z588" s="135"/>
      <c r="AA588" s="135"/>
      <c r="AB588" s="135"/>
      <c r="AC588" s="135"/>
      <c r="AD588" s="135"/>
      <c r="AE588" s="135"/>
      <c r="AF588" s="135"/>
      <c r="AG588" s="135"/>
    </row>
    <row r="589" spans="15:33" ht="15.75" customHeight="1" x14ac:dyDescent="0.3">
      <c r="O589" s="135"/>
      <c r="P589" s="157"/>
      <c r="Q589" s="157"/>
      <c r="R589" s="157"/>
      <c r="S589" s="157"/>
      <c r="T589" s="157"/>
      <c r="U589" s="157"/>
      <c r="V589" s="157"/>
      <c r="W589" s="135"/>
      <c r="X589" s="135"/>
      <c r="Y589" s="135"/>
      <c r="Z589" s="135"/>
      <c r="AA589" s="135"/>
      <c r="AB589" s="135"/>
      <c r="AC589" s="135"/>
      <c r="AD589" s="135"/>
      <c r="AE589" s="135"/>
      <c r="AF589" s="135"/>
      <c r="AG589" s="135"/>
    </row>
    <row r="590" spans="15:33" ht="15.75" customHeight="1" x14ac:dyDescent="0.3">
      <c r="O590" s="135"/>
      <c r="P590" s="157"/>
      <c r="Q590" s="157"/>
      <c r="R590" s="157"/>
      <c r="S590" s="157"/>
      <c r="T590" s="157"/>
      <c r="U590" s="157"/>
      <c r="V590" s="157"/>
      <c r="W590" s="135"/>
      <c r="X590" s="135"/>
      <c r="Y590" s="135"/>
      <c r="Z590" s="135"/>
      <c r="AA590" s="135"/>
      <c r="AB590" s="135"/>
      <c r="AC590" s="135"/>
      <c r="AD590" s="135"/>
      <c r="AE590" s="135"/>
      <c r="AF590" s="135"/>
      <c r="AG590" s="135"/>
    </row>
    <row r="591" spans="15:33" ht="15.75" customHeight="1" x14ac:dyDescent="0.3">
      <c r="O591" s="135"/>
      <c r="P591" s="157"/>
      <c r="Q591" s="157"/>
      <c r="R591" s="157"/>
      <c r="S591" s="157"/>
      <c r="T591" s="157"/>
      <c r="U591" s="157"/>
      <c r="V591" s="157"/>
      <c r="W591" s="135"/>
      <c r="X591" s="135"/>
      <c r="Y591" s="135"/>
      <c r="Z591" s="135"/>
      <c r="AA591" s="135"/>
      <c r="AB591" s="135"/>
      <c r="AC591" s="135"/>
      <c r="AD591" s="135"/>
      <c r="AE591" s="135"/>
      <c r="AF591" s="135"/>
      <c r="AG591" s="135"/>
    </row>
    <row r="592" spans="15:33" ht="15.75" customHeight="1" x14ac:dyDescent="0.3">
      <c r="O592" s="135"/>
      <c r="P592" s="157"/>
      <c r="Q592" s="157"/>
      <c r="R592" s="157"/>
      <c r="S592" s="157"/>
      <c r="T592" s="157"/>
      <c r="U592" s="157"/>
      <c r="V592" s="157"/>
      <c r="W592" s="135"/>
      <c r="X592" s="135"/>
      <c r="Y592" s="135"/>
      <c r="Z592" s="135"/>
      <c r="AA592" s="135"/>
      <c r="AB592" s="135"/>
      <c r="AC592" s="135"/>
      <c r="AD592" s="135"/>
      <c r="AE592" s="135"/>
      <c r="AF592" s="135"/>
      <c r="AG592" s="135"/>
    </row>
    <row r="593" spans="15:33" ht="15.75" customHeight="1" x14ac:dyDescent="0.3">
      <c r="O593" s="135"/>
      <c r="P593" s="157"/>
      <c r="Q593" s="157"/>
      <c r="R593" s="157"/>
      <c r="S593" s="157"/>
      <c r="T593" s="157"/>
      <c r="U593" s="157"/>
      <c r="V593" s="157"/>
      <c r="W593" s="135"/>
      <c r="X593" s="135"/>
      <c r="Y593" s="135"/>
      <c r="Z593" s="135"/>
      <c r="AA593" s="135"/>
      <c r="AB593" s="135"/>
      <c r="AC593" s="135"/>
      <c r="AD593" s="135"/>
      <c r="AE593" s="135"/>
      <c r="AF593" s="135"/>
      <c r="AG593" s="135"/>
    </row>
    <row r="594" spans="15:33" ht="15.75" customHeight="1" x14ac:dyDescent="0.3">
      <c r="O594" s="135"/>
      <c r="P594" s="157"/>
      <c r="Q594" s="157"/>
      <c r="R594" s="157"/>
      <c r="S594" s="157"/>
      <c r="T594" s="157"/>
      <c r="U594" s="157"/>
      <c r="V594" s="157"/>
      <c r="W594" s="135"/>
      <c r="X594" s="135"/>
      <c r="Y594" s="135"/>
      <c r="Z594" s="135"/>
      <c r="AA594" s="135"/>
      <c r="AB594" s="135"/>
      <c r="AC594" s="135"/>
      <c r="AD594" s="135"/>
      <c r="AE594" s="135"/>
      <c r="AF594" s="135"/>
      <c r="AG594" s="135"/>
    </row>
    <row r="595" spans="15:33" ht="15.75" customHeight="1" x14ac:dyDescent="0.3">
      <c r="O595" s="135"/>
      <c r="P595" s="157"/>
      <c r="Q595" s="157"/>
      <c r="R595" s="157"/>
      <c r="S595" s="157"/>
      <c r="T595" s="157"/>
      <c r="U595" s="157"/>
      <c r="V595" s="157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35"/>
      <c r="AG595" s="135"/>
    </row>
    <row r="596" spans="15:33" ht="15.75" customHeight="1" x14ac:dyDescent="0.3">
      <c r="O596" s="135"/>
      <c r="P596" s="157"/>
      <c r="Q596" s="157"/>
      <c r="R596" s="157"/>
      <c r="S596" s="157"/>
      <c r="T596" s="157"/>
      <c r="U596" s="157"/>
      <c r="V596" s="157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35"/>
      <c r="AG596" s="135"/>
    </row>
    <row r="597" spans="15:33" ht="15.75" customHeight="1" x14ac:dyDescent="0.3">
      <c r="O597" s="135"/>
      <c r="P597" s="157"/>
      <c r="Q597" s="157"/>
      <c r="R597" s="157"/>
      <c r="S597" s="157"/>
      <c r="T597" s="157"/>
      <c r="U597" s="157"/>
      <c r="V597" s="157"/>
      <c r="W597" s="135"/>
      <c r="X597" s="135"/>
      <c r="Y597" s="135"/>
      <c r="Z597" s="135"/>
      <c r="AA597" s="135"/>
      <c r="AB597" s="135"/>
      <c r="AC597" s="135"/>
      <c r="AD597" s="135"/>
      <c r="AE597" s="135"/>
      <c r="AF597" s="135"/>
      <c r="AG597" s="135"/>
    </row>
    <row r="598" spans="15:33" ht="15.75" customHeight="1" x14ac:dyDescent="0.3">
      <c r="O598" s="135"/>
      <c r="P598" s="157"/>
      <c r="Q598" s="157"/>
      <c r="R598" s="157"/>
      <c r="S598" s="157"/>
      <c r="T598" s="157"/>
      <c r="U598" s="157"/>
      <c r="V598" s="157"/>
      <c r="W598" s="135"/>
      <c r="X598" s="135"/>
      <c r="Y598" s="135"/>
      <c r="Z598" s="135"/>
      <c r="AA598" s="135"/>
      <c r="AB598" s="135"/>
      <c r="AC598" s="135"/>
      <c r="AD598" s="135"/>
      <c r="AE598" s="135"/>
      <c r="AF598" s="135"/>
      <c r="AG598" s="135"/>
    </row>
    <row r="599" spans="15:33" ht="15.75" customHeight="1" x14ac:dyDescent="0.3">
      <c r="O599" s="135"/>
      <c r="P599" s="157"/>
      <c r="Q599" s="157"/>
      <c r="R599" s="157"/>
      <c r="S599" s="157"/>
      <c r="T599" s="157"/>
      <c r="U599" s="157"/>
      <c r="V599" s="157"/>
      <c r="W599" s="135"/>
      <c r="X599" s="135"/>
      <c r="Y599" s="135"/>
      <c r="Z599" s="135"/>
      <c r="AA599" s="135"/>
      <c r="AB599" s="135"/>
      <c r="AC599" s="135"/>
      <c r="AD599" s="135"/>
      <c r="AE599" s="135"/>
      <c r="AF599" s="135"/>
      <c r="AG599" s="135"/>
    </row>
    <row r="600" spans="15:33" ht="15.75" customHeight="1" x14ac:dyDescent="0.3">
      <c r="O600" s="135"/>
      <c r="P600" s="157"/>
      <c r="Q600" s="157"/>
      <c r="R600" s="157"/>
      <c r="S600" s="157"/>
      <c r="T600" s="157"/>
      <c r="U600" s="157"/>
      <c r="V600" s="157"/>
      <c r="W600" s="135"/>
      <c r="X600" s="135"/>
      <c r="Y600" s="135"/>
      <c r="Z600" s="135"/>
      <c r="AA600" s="135"/>
      <c r="AB600" s="135"/>
      <c r="AC600" s="135"/>
      <c r="AD600" s="135"/>
      <c r="AE600" s="135"/>
      <c r="AF600" s="135"/>
      <c r="AG600" s="135"/>
    </row>
    <row r="601" spans="15:33" ht="15.75" customHeight="1" x14ac:dyDescent="0.3">
      <c r="O601" s="135"/>
      <c r="P601" s="157"/>
      <c r="Q601" s="157"/>
      <c r="R601" s="157"/>
      <c r="S601" s="157"/>
      <c r="T601" s="157"/>
      <c r="U601" s="157"/>
      <c r="V601" s="157"/>
      <c r="W601" s="135"/>
      <c r="X601" s="135"/>
      <c r="Y601" s="135"/>
      <c r="Z601" s="135"/>
      <c r="AA601" s="135"/>
      <c r="AB601" s="135"/>
      <c r="AC601" s="135"/>
      <c r="AD601" s="135"/>
      <c r="AE601" s="135"/>
      <c r="AF601" s="135"/>
      <c r="AG601" s="135"/>
    </row>
    <row r="602" spans="15:33" ht="15.75" customHeight="1" x14ac:dyDescent="0.3">
      <c r="O602" s="135"/>
      <c r="P602" s="157"/>
      <c r="Q602" s="157"/>
      <c r="R602" s="157"/>
      <c r="S602" s="157"/>
      <c r="T602" s="157"/>
      <c r="U602" s="157"/>
      <c r="V602" s="157"/>
      <c r="W602" s="135"/>
      <c r="X602" s="135"/>
      <c r="Y602" s="135"/>
      <c r="Z602" s="135"/>
      <c r="AA602" s="135"/>
      <c r="AB602" s="135"/>
      <c r="AC602" s="135"/>
      <c r="AD602" s="135"/>
      <c r="AE602" s="135"/>
      <c r="AF602" s="135"/>
      <c r="AG602" s="135"/>
    </row>
    <row r="603" spans="15:33" ht="15.75" customHeight="1" x14ac:dyDescent="0.3">
      <c r="O603" s="135"/>
      <c r="P603" s="157"/>
      <c r="Q603" s="157"/>
      <c r="R603" s="157"/>
      <c r="S603" s="157"/>
      <c r="T603" s="157"/>
      <c r="U603" s="157"/>
      <c r="V603" s="157"/>
      <c r="W603" s="135"/>
      <c r="X603" s="135"/>
      <c r="Y603" s="135"/>
      <c r="Z603" s="135"/>
      <c r="AA603" s="135"/>
      <c r="AB603" s="135"/>
      <c r="AC603" s="135"/>
      <c r="AD603" s="135"/>
      <c r="AE603" s="135"/>
      <c r="AF603" s="135"/>
      <c r="AG603" s="135"/>
    </row>
    <row r="604" spans="15:33" ht="15.75" customHeight="1" x14ac:dyDescent="0.3">
      <c r="O604" s="135"/>
      <c r="P604" s="157"/>
      <c r="Q604" s="157"/>
      <c r="R604" s="157"/>
      <c r="S604" s="157"/>
      <c r="T604" s="157"/>
      <c r="U604" s="157"/>
      <c r="V604" s="157"/>
      <c r="W604" s="135"/>
      <c r="X604" s="135"/>
      <c r="Y604" s="135"/>
      <c r="Z604" s="135"/>
      <c r="AA604" s="135"/>
      <c r="AB604" s="135"/>
      <c r="AC604" s="135"/>
      <c r="AD604" s="135"/>
      <c r="AE604" s="135"/>
      <c r="AF604" s="135"/>
      <c r="AG604" s="135"/>
    </row>
    <row r="605" spans="15:33" ht="15.75" customHeight="1" x14ac:dyDescent="0.3">
      <c r="O605" s="135"/>
      <c r="P605" s="157"/>
      <c r="Q605" s="157"/>
      <c r="R605" s="157"/>
      <c r="S605" s="157"/>
      <c r="T605" s="157"/>
      <c r="U605" s="157"/>
      <c r="V605" s="157"/>
      <c r="W605" s="135"/>
      <c r="X605" s="135"/>
      <c r="Y605" s="135"/>
      <c r="Z605" s="135"/>
      <c r="AA605" s="135"/>
      <c r="AB605" s="135"/>
      <c r="AC605" s="135"/>
      <c r="AD605" s="135"/>
      <c r="AE605" s="135"/>
      <c r="AF605" s="135"/>
      <c r="AG605" s="135"/>
    </row>
    <row r="606" spans="15:33" ht="15.75" customHeight="1" x14ac:dyDescent="0.3">
      <c r="O606" s="135"/>
      <c r="P606" s="157"/>
      <c r="Q606" s="157"/>
      <c r="R606" s="157"/>
      <c r="S606" s="157"/>
      <c r="T606" s="157"/>
      <c r="U606" s="157"/>
      <c r="V606" s="157"/>
      <c r="W606" s="135"/>
      <c r="X606" s="135"/>
      <c r="Y606" s="135"/>
      <c r="Z606" s="135"/>
      <c r="AA606" s="135"/>
      <c r="AB606" s="135"/>
      <c r="AC606" s="135"/>
      <c r="AD606" s="135"/>
      <c r="AE606" s="135"/>
      <c r="AF606" s="135"/>
      <c r="AG606" s="135"/>
    </row>
    <row r="607" spans="15:33" ht="15.75" customHeight="1" x14ac:dyDescent="0.3">
      <c r="O607" s="135"/>
      <c r="P607" s="157"/>
      <c r="Q607" s="157"/>
      <c r="R607" s="157"/>
      <c r="S607" s="157"/>
      <c r="T607" s="157"/>
      <c r="U607" s="157"/>
      <c r="V607" s="157"/>
      <c r="W607" s="135"/>
      <c r="X607" s="135"/>
      <c r="Y607" s="135"/>
      <c r="Z607" s="135"/>
      <c r="AA607" s="135"/>
      <c r="AB607" s="135"/>
      <c r="AC607" s="135"/>
      <c r="AD607" s="135"/>
      <c r="AE607" s="135"/>
      <c r="AF607" s="135"/>
      <c r="AG607" s="135"/>
    </row>
    <row r="608" spans="15:33" ht="15.75" customHeight="1" x14ac:dyDescent="0.3">
      <c r="O608" s="135"/>
      <c r="P608" s="157"/>
      <c r="Q608" s="157"/>
      <c r="R608" s="157"/>
      <c r="S608" s="157"/>
      <c r="T608" s="157"/>
      <c r="U608" s="157"/>
      <c r="V608" s="157"/>
      <c r="W608" s="135"/>
      <c r="X608" s="135"/>
      <c r="Y608" s="135"/>
      <c r="Z608" s="135"/>
      <c r="AA608" s="135"/>
      <c r="AB608" s="135"/>
      <c r="AC608" s="135"/>
      <c r="AD608" s="135"/>
      <c r="AE608" s="135"/>
      <c r="AF608" s="135"/>
      <c r="AG608" s="135"/>
    </row>
    <row r="609" spans="15:33" ht="15.75" customHeight="1" x14ac:dyDescent="0.3">
      <c r="O609" s="135"/>
      <c r="P609" s="157"/>
      <c r="Q609" s="157"/>
      <c r="R609" s="157"/>
      <c r="S609" s="157"/>
      <c r="T609" s="157"/>
      <c r="U609" s="157"/>
      <c r="V609" s="157"/>
      <c r="W609" s="135"/>
      <c r="X609" s="135"/>
      <c r="Y609" s="135"/>
      <c r="Z609" s="135"/>
      <c r="AA609" s="135"/>
      <c r="AB609" s="135"/>
      <c r="AC609" s="135"/>
      <c r="AD609" s="135"/>
      <c r="AE609" s="135"/>
      <c r="AF609" s="135"/>
      <c r="AG609" s="135"/>
    </row>
    <row r="610" spans="15:33" ht="15.75" customHeight="1" x14ac:dyDescent="0.3">
      <c r="O610" s="135"/>
      <c r="P610" s="157"/>
      <c r="Q610" s="157"/>
      <c r="R610" s="157"/>
      <c r="S610" s="157"/>
      <c r="T610" s="157"/>
      <c r="U610" s="157"/>
      <c r="V610" s="157"/>
      <c r="W610" s="135"/>
      <c r="X610" s="135"/>
      <c r="Y610" s="135"/>
      <c r="Z610" s="135"/>
      <c r="AA610" s="135"/>
      <c r="AB610" s="135"/>
      <c r="AC610" s="135"/>
      <c r="AD610" s="135"/>
      <c r="AE610" s="135"/>
      <c r="AF610" s="135"/>
      <c r="AG610" s="135"/>
    </row>
    <row r="611" spans="15:33" ht="15.75" customHeight="1" x14ac:dyDescent="0.3">
      <c r="O611" s="135"/>
      <c r="P611" s="157"/>
      <c r="Q611" s="157"/>
      <c r="R611" s="157"/>
      <c r="S611" s="157"/>
      <c r="T611" s="157"/>
      <c r="U611" s="157"/>
      <c r="V611" s="157"/>
      <c r="W611" s="135"/>
      <c r="X611" s="135"/>
      <c r="Y611" s="135"/>
      <c r="Z611" s="135"/>
      <c r="AA611" s="135"/>
      <c r="AB611" s="135"/>
      <c r="AC611" s="135"/>
      <c r="AD611" s="135"/>
      <c r="AE611" s="135"/>
      <c r="AF611" s="135"/>
      <c r="AG611" s="135"/>
    </row>
    <row r="612" spans="15:33" ht="15.75" customHeight="1" x14ac:dyDescent="0.3">
      <c r="O612" s="135"/>
      <c r="P612" s="157"/>
      <c r="Q612" s="157"/>
      <c r="R612" s="157"/>
      <c r="S612" s="157"/>
      <c r="T612" s="157"/>
      <c r="U612" s="157"/>
      <c r="V612" s="157"/>
      <c r="W612" s="135"/>
      <c r="X612" s="135"/>
      <c r="Y612" s="135"/>
      <c r="Z612" s="135"/>
      <c r="AA612" s="135"/>
      <c r="AB612" s="135"/>
      <c r="AC612" s="135"/>
      <c r="AD612" s="135"/>
      <c r="AE612" s="135"/>
      <c r="AF612" s="135"/>
      <c r="AG612" s="135"/>
    </row>
    <row r="613" spans="15:33" ht="15.75" customHeight="1" x14ac:dyDescent="0.3">
      <c r="O613" s="135"/>
      <c r="P613" s="157"/>
      <c r="Q613" s="157"/>
      <c r="R613" s="157"/>
      <c r="S613" s="157"/>
      <c r="T613" s="157"/>
      <c r="U613" s="157"/>
      <c r="V613" s="157"/>
      <c r="W613" s="135"/>
      <c r="X613" s="135"/>
      <c r="Y613" s="135"/>
      <c r="Z613" s="135"/>
      <c r="AA613" s="135"/>
      <c r="AB613" s="135"/>
      <c r="AC613" s="135"/>
      <c r="AD613" s="135"/>
      <c r="AE613" s="135"/>
      <c r="AF613" s="135"/>
      <c r="AG613" s="135"/>
    </row>
    <row r="614" spans="15:33" ht="15.75" customHeight="1" x14ac:dyDescent="0.3">
      <c r="O614" s="135"/>
      <c r="P614" s="157"/>
      <c r="Q614" s="157"/>
      <c r="R614" s="157"/>
      <c r="S614" s="157"/>
      <c r="T614" s="157"/>
      <c r="U614" s="157"/>
      <c r="V614" s="157"/>
      <c r="W614" s="135"/>
      <c r="X614" s="135"/>
      <c r="Y614" s="135"/>
      <c r="Z614" s="135"/>
      <c r="AA614" s="135"/>
      <c r="AB614" s="135"/>
      <c r="AC614" s="135"/>
      <c r="AD614" s="135"/>
      <c r="AE614" s="135"/>
      <c r="AF614" s="135"/>
      <c r="AG614" s="135"/>
    </row>
    <row r="615" spans="15:33" ht="15.75" customHeight="1" x14ac:dyDescent="0.3">
      <c r="O615" s="135"/>
      <c r="P615" s="157"/>
      <c r="Q615" s="157"/>
      <c r="R615" s="157"/>
      <c r="S615" s="157"/>
      <c r="T615" s="157"/>
      <c r="U615" s="157"/>
      <c r="V615" s="157"/>
      <c r="W615" s="135"/>
      <c r="X615" s="135"/>
      <c r="Y615" s="135"/>
      <c r="Z615" s="135"/>
      <c r="AA615" s="135"/>
      <c r="AB615" s="135"/>
      <c r="AC615" s="135"/>
      <c r="AD615" s="135"/>
      <c r="AE615" s="135"/>
      <c r="AF615" s="135"/>
      <c r="AG615" s="135"/>
    </row>
    <row r="616" spans="15:33" ht="15.75" customHeight="1" x14ac:dyDescent="0.3">
      <c r="O616" s="135"/>
      <c r="P616" s="157"/>
      <c r="Q616" s="157"/>
      <c r="R616" s="157"/>
      <c r="S616" s="157"/>
      <c r="T616" s="157"/>
      <c r="U616" s="157"/>
      <c r="V616" s="157"/>
      <c r="W616" s="135"/>
      <c r="X616" s="135"/>
      <c r="Y616" s="135"/>
      <c r="Z616" s="135"/>
      <c r="AA616" s="135"/>
      <c r="AB616" s="135"/>
      <c r="AC616" s="135"/>
      <c r="AD616" s="135"/>
      <c r="AE616" s="135"/>
      <c r="AF616" s="135"/>
      <c r="AG616" s="135"/>
    </row>
    <row r="617" spans="15:33" ht="15.75" customHeight="1" x14ac:dyDescent="0.3">
      <c r="O617" s="135"/>
      <c r="P617" s="157"/>
      <c r="Q617" s="157"/>
      <c r="R617" s="157"/>
      <c r="S617" s="157"/>
      <c r="T617" s="157"/>
      <c r="U617" s="157"/>
      <c r="V617" s="157"/>
      <c r="W617" s="135"/>
      <c r="X617" s="135"/>
      <c r="Y617" s="135"/>
      <c r="Z617" s="135"/>
      <c r="AA617" s="135"/>
      <c r="AB617" s="135"/>
      <c r="AC617" s="135"/>
      <c r="AD617" s="135"/>
      <c r="AE617" s="135"/>
      <c r="AF617" s="135"/>
      <c r="AG617" s="135"/>
    </row>
    <row r="618" spans="15:33" ht="15.75" customHeight="1" x14ac:dyDescent="0.3">
      <c r="O618" s="135"/>
      <c r="P618" s="157"/>
      <c r="Q618" s="157"/>
      <c r="R618" s="157"/>
      <c r="S618" s="157"/>
      <c r="T618" s="157"/>
      <c r="U618" s="157"/>
      <c r="V618" s="157"/>
      <c r="W618" s="135"/>
      <c r="X618" s="135"/>
      <c r="Y618" s="135"/>
      <c r="Z618" s="135"/>
      <c r="AA618" s="135"/>
      <c r="AB618" s="135"/>
      <c r="AC618" s="135"/>
      <c r="AD618" s="135"/>
      <c r="AE618" s="135"/>
      <c r="AF618" s="135"/>
      <c r="AG618" s="135"/>
    </row>
    <row r="619" spans="15:33" ht="15.75" customHeight="1" x14ac:dyDescent="0.3">
      <c r="O619" s="135"/>
      <c r="P619" s="157"/>
      <c r="Q619" s="157"/>
      <c r="R619" s="157"/>
      <c r="S619" s="157"/>
      <c r="T619" s="157"/>
      <c r="U619" s="157"/>
      <c r="V619" s="157"/>
      <c r="W619" s="135"/>
      <c r="X619" s="135"/>
      <c r="Y619" s="135"/>
      <c r="Z619" s="135"/>
      <c r="AA619" s="135"/>
      <c r="AB619" s="135"/>
      <c r="AC619" s="135"/>
      <c r="AD619" s="135"/>
      <c r="AE619" s="135"/>
      <c r="AF619" s="135"/>
      <c r="AG619" s="135"/>
    </row>
    <row r="620" spans="15:33" ht="15.75" customHeight="1" x14ac:dyDescent="0.3">
      <c r="O620" s="135"/>
      <c r="P620" s="157"/>
      <c r="Q620" s="157"/>
      <c r="R620" s="157"/>
      <c r="S620" s="157"/>
      <c r="T620" s="157"/>
      <c r="U620" s="157"/>
      <c r="V620" s="157"/>
      <c r="W620" s="135"/>
      <c r="X620" s="135"/>
      <c r="Y620" s="135"/>
      <c r="Z620" s="135"/>
      <c r="AA620" s="135"/>
      <c r="AB620" s="135"/>
      <c r="AC620" s="135"/>
      <c r="AD620" s="135"/>
      <c r="AE620" s="135"/>
      <c r="AF620" s="135"/>
      <c r="AG620" s="135"/>
    </row>
    <row r="621" spans="15:33" ht="15.75" customHeight="1" x14ac:dyDescent="0.3">
      <c r="O621" s="135"/>
      <c r="P621" s="157"/>
      <c r="Q621" s="157"/>
      <c r="R621" s="157"/>
      <c r="S621" s="157"/>
      <c r="T621" s="157"/>
      <c r="U621" s="157"/>
      <c r="V621" s="157"/>
      <c r="W621" s="135"/>
      <c r="X621" s="135"/>
      <c r="Y621" s="135"/>
      <c r="Z621" s="135"/>
      <c r="AA621" s="135"/>
      <c r="AB621" s="135"/>
      <c r="AC621" s="135"/>
      <c r="AD621" s="135"/>
      <c r="AE621" s="135"/>
      <c r="AF621" s="135"/>
      <c r="AG621" s="135"/>
    </row>
    <row r="622" spans="15:33" ht="15.75" customHeight="1" x14ac:dyDescent="0.3">
      <c r="O622" s="135"/>
      <c r="P622" s="157"/>
      <c r="Q622" s="157"/>
      <c r="R622" s="157"/>
      <c r="S622" s="157"/>
      <c r="T622" s="157"/>
      <c r="U622" s="157"/>
      <c r="V622" s="157"/>
      <c r="W622" s="135"/>
      <c r="X622" s="135"/>
      <c r="Y622" s="135"/>
      <c r="Z622" s="135"/>
      <c r="AA622" s="135"/>
      <c r="AB622" s="135"/>
      <c r="AC622" s="135"/>
      <c r="AD622" s="135"/>
      <c r="AE622" s="135"/>
      <c r="AF622" s="135"/>
      <c r="AG622" s="135"/>
    </row>
    <row r="623" spans="15:33" ht="15.75" customHeight="1" x14ac:dyDescent="0.3">
      <c r="O623" s="135"/>
      <c r="P623" s="157"/>
      <c r="Q623" s="157"/>
      <c r="R623" s="157"/>
      <c r="S623" s="157"/>
      <c r="T623" s="157"/>
      <c r="U623" s="157"/>
      <c r="V623" s="157"/>
      <c r="W623" s="135"/>
      <c r="X623" s="135"/>
      <c r="Y623" s="135"/>
      <c r="Z623" s="135"/>
      <c r="AA623" s="135"/>
      <c r="AB623" s="135"/>
      <c r="AC623" s="135"/>
      <c r="AD623" s="135"/>
      <c r="AE623" s="135"/>
      <c r="AF623" s="135"/>
      <c r="AG623" s="135"/>
    </row>
    <row r="624" spans="15:33" ht="15.75" customHeight="1" x14ac:dyDescent="0.3">
      <c r="O624" s="135"/>
      <c r="P624" s="157"/>
      <c r="Q624" s="157"/>
      <c r="R624" s="157"/>
      <c r="S624" s="157"/>
      <c r="T624" s="157"/>
      <c r="U624" s="157"/>
      <c r="V624" s="157"/>
      <c r="W624" s="135"/>
      <c r="X624" s="135"/>
      <c r="Y624" s="135"/>
      <c r="Z624" s="135"/>
      <c r="AA624" s="135"/>
      <c r="AB624" s="135"/>
      <c r="AC624" s="135"/>
      <c r="AD624" s="135"/>
      <c r="AE624" s="135"/>
      <c r="AF624" s="135"/>
      <c r="AG624" s="135"/>
    </row>
    <row r="625" spans="15:33" ht="15.75" customHeight="1" x14ac:dyDescent="0.3">
      <c r="O625" s="135"/>
      <c r="P625" s="157"/>
      <c r="Q625" s="157"/>
      <c r="R625" s="157"/>
      <c r="S625" s="157"/>
      <c r="T625" s="157"/>
      <c r="U625" s="157"/>
      <c r="V625" s="157"/>
      <c r="W625" s="135"/>
      <c r="X625" s="135"/>
      <c r="Y625" s="135"/>
      <c r="Z625" s="135"/>
      <c r="AA625" s="135"/>
      <c r="AB625" s="135"/>
      <c r="AC625" s="135"/>
      <c r="AD625" s="135"/>
      <c r="AE625" s="135"/>
      <c r="AF625" s="135"/>
      <c r="AG625" s="135"/>
    </row>
    <row r="626" spans="15:33" ht="15.75" customHeight="1" x14ac:dyDescent="0.3">
      <c r="O626" s="135"/>
      <c r="P626" s="157"/>
      <c r="Q626" s="157"/>
      <c r="R626" s="157"/>
      <c r="S626" s="157"/>
      <c r="T626" s="157"/>
      <c r="U626" s="157"/>
      <c r="V626" s="157"/>
      <c r="W626" s="135"/>
      <c r="X626" s="135"/>
      <c r="Y626" s="135"/>
      <c r="Z626" s="135"/>
      <c r="AA626" s="135"/>
      <c r="AB626" s="135"/>
      <c r="AC626" s="135"/>
      <c r="AD626" s="135"/>
      <c r="AE626" s="135"/>
      <c r="AF626" s="135"/>
      <c r="AG626" s="135"/>
    </row>
    <row r="627" spans="15:33" ht="15.75" customHeight="1" x14ac:dyDescent="0.3">
      <c r="O627" s="135"/>
      <c r="P627" s="157"/>
      <c r="Q627" s="157"/>
      <c r="R627" s="157"/>
      <c r="S627" s="157"/>
      <c r="T627" s="157"/>
      <c r="U627" s="157"/>
      <c r="V627" s="157"/>
      <c r="W627" s="135"/>
      <c r="X627" s="135"/>
      <c r="Y627" s="135"/>
      <c r="Z627" s="135"/>
      <c r="AA627" s="135"/>
      <c r="AB627" s="135"/>
      <c r="AC627" s="135"/>
      <c r="AD627" s="135"/>
      <c r="AE627" s="135"/>
      <c r="AF627" s="135"/>
      <c r="AG627" s="135"/>
    </row>
    <row r="628" spans="15:33" ht="15.75" customHeight="1" x14ac:dyDescent="0.3">
      <c r="O628" s="135"/>
      <c r="P628" s="157"/>
      <c r="Q628" s="157"/>
      <c r="R628" s="157"/>
      <c r="S628" s="157"/>
      <c r="T628" s="157"/>
      <c r="U628" s="157"/>
      <c r="V628" s="157"/>
      <c r="W628" s="135"/>
      <c r="X628" s="135"/>
      <c r="Y628" s="135"/>
      <c r="Z628" s="135"/>
      <c r="AA628" s="135"/>
      <c r="AB628" s="135"/>
      <c r="AC628" s="135"/>
      <c r="AD628" s="135"/>
      <c r="AE628" s="135"/>
      <c r="AF628" s="135"/>
      <c r="AG628" s="135"/>
    </row>
    <row r="629" spans="15:33" ht="15.75" customHeight="1" x14ac:dyDescent="0.3">
      <c r="O629" s="135"/>
      <c r="P629" s="157"/>
      <c r="Q629" s="157"/>
      <c r="R629" s="157"/>
      <c r="S629" s="157"/>
      <c r="T629" s="157"/>
      <c r="U629" s="157"/>
      <c r="V629" s="157"/>
      <c r="W629" s="135"/>
      <c r="X629" s="135"/>
      <c r="Y629" s="135"/>
      <c r="Z629" s="135"/>
      <c r="AA629" s="135"/>
      <c r="AB629" s="135"/>
      <c r="AC629" s="135"/>
      <c r="AD629" s="135"/>
      <c r="AE629" s="135"/>
      <c r="AF629" s="135"/>
      <c r="AG629" s="135"/>
    </row>
    <row r="630" spans="15:33" ht="15.75" customHeight="1" x14ac:dyDescent="0.3">
      <c r="O630" s="135"/>
      <c r="P630" s="157"/>
      <c r="Q630" s="157"/>
      <c r="R630" s="157"/>
      <c r="S630" s="157"/>
      <c r="T630" s="157"/>
      <c r="U630" s="157"/>
      <c r="V630" s="157"/>
      <c r="W630" s="135"/>
      <c r="X630" s="135"/>
      <c r="Y630" s="135"/>
      <c r="Z630" s="135"/>
      <c r="AA630" s="135"/>
      <c r="AB630" s="135"/>
      <c r="AC630" s="135"/>
      <c r="AD630" s="135"/>
      <c r="AE630" s="135"/>
      <c r="AF630" s="135"/>
      <c r="AG630" s="135"/>
    </row>
    <row r="631" spans="15:33" ht="15.75" customHeight="1" x14ac:dyDescent="0.3">
      <c r="O631" s="135"/>
      <c r="P631" s="157"/>
      <c r="Q631" s="157"/>
      <c r="R631" s="157"/>
      <c r="S631" s="157"/>
      <c r="T631" s="157"/>
      <c r="U631" s="157"/>
      <c r="V631" s="157"/>
      <c r="W631" s="135"/>
      <c r="X631" s="135"/>
      <c r="Y631" s="135"/>
      <c r="Z631" s="135"/>
      <c r="AA631" s="135"/>
      <c r="AB631" s="135"/>
      <c r="AC631" s="135"/>
      <c r="AD631" s="135"/>
      <c r="AE631" s="135"/>
      <c r="AF631" s="135"/>
      <c r="AG631" s="135"/>
    </row>
    <row r="632" spans="15:33" ht="15.75" customHeight="1" x14ac:dyDescent="0.3">
      <c r="O632" s="135"/>
      <c r="P632" s="157"/>
      <c r="Q632" s="157"/>
      <c r="R632" s="157"/>
      <c r="S632" s="157"/>
      <c r="T632" s="157"/>
      <c r="U632" s="157"/>
      <c r="V632" s="157"/>
      <c r="W632" s="135"/>
      <c r="X632" s="135"/>
      <c r="Y632" s="135"/>
      <c r="Z632" s="135"/>
      <c r="AA632" s="135"/>
      <c r="AB632" s="135"/>
      <c r="AC632" s="135"/>
      <c r="AD632" s="135"/>
      <c r="AE632" s="135"/>
      <c r="AF632" s="135"/>
      <c r="AG632" s="135"/>
    </row>
    <row r="633" spans="15:33" ht="15.75" customHeight="1" x14ac:dyDescent="0.3">
      <c r="O633" s="135"/>
      <c r="P633" s="157"/>
      <c r="Q633" s="157"/>
      <c r="R633" s="157"/>
      <c r="S633" s="157"/>
      <c r="T633" s="157"/>
      <c r="U633" s="157"/>
      <c r="V633" s="157"/>
      <c r="W633" s="135"/>
      <c r="X633" s="135"/>
      <c r="Y633" s="135"/>
      <c r="Z633" s="135"/>
      <c r="AA633" s="135"/>
      <c r="AB633" s="135"/>
      <c r="AC633" s="135"/>
      <c r="AD633" s="135"/>
      <c r="AE633" s="135"/>
      <c r="AF633" s="135"/>
      <c r="AG633" s="135"/>
    </row>
    <row r="634" spans="15:33" ht="15.75" customHeight="1" x14ac:dyDescent="0.3">
      <c r="O634" s="135"/>
      <c r="P634" s="157"/>
      <c r="Q634" s="157"/>
      <c r="R634" s="157"/>
      <c r="S634" s="157"/>
      <c r="T634" s="157"/>
      <c r="U634" s="157"/>
      <c r="V634" s="157"/>
      <c r="W634" s="135"/>
      <c r="X634" s="135"/>
      <c r="Y634" s="135"/>
      <c r="Z634" s="135"/>
      <c r="AA634" s="135"/>
      <c r="AB634" s="135"/>
      <c r="AC634" s="135"/>
      <c r="AD634" s="135"/>
      <c r="AE634" s="135"/>
      <c r="AF634" s="135"/>
      <c r="AG634" s="135"/>
    </row>
    <row r="635" spans="15:33" ht="15.75" customHeight="1" x14ac:dyDescent="0.3">
      <c r="O635" s="135"/>
      <c r="P635" s="157"/>
      <c r="Q635" s="157"/>
      <c r="R635" s="157"/>
      <c r="S635" s="157"/>
      <c r="T635" s="157"/>
      <c r="U635" s="157"/>
      <c r="V635" s="157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5"/>
    </row>
    <row r="636" spans="15:33" ht="15.75" customHeight="1" x14ac:dyDescent="0.3">
      <c r="O636" s="135"/>
      <c r="P636" s="157"/>
      <c r="Q636" s="157"/>
      <c r="R636" s="157"/>
      <c r="S636" s="157"/>
      <c r="T636" s="157"/>
      <c r="U636" s="157"/>
      <c r="V636" s="157"/>
      <c r="W636" s="135"/>
      <c r="X636" s="135"/>
      <c r="Y636" s="135"/>
      <c r="Z636" s="135"/>
      <c r="AA636" s="135"/>
      <c r="AB636" s="135"/>
      <c r="AC636" s="135"/>
      <c r="AD636" s="135"/>
      <c r="AE636" s="135"/>
      <c r="AF636" s="135"/>
      <c r="AG636" s="135"/>
    </row>
    <row r="637" spans="15:33" ht="15.75" customHeight="1" x14ac:dyDescent="0.3">
      <c r="O637" s="135"/>
      <c r="P637" s="157"/>
      <c r="Q637" s="157"/>
      <c r="R637" s="157"/>
      <c r="S637" s="157"/>
      <c r="T637" s="157"/>
      <c r="U637" s="157"/>
      <c r="V637" s="157"/>
      <c r="W637" s="135"/>
      <c r="X637" s="135"/>
      <c r="Y637" s="135"/>
      <c r="Z637" s="135"/>
      <c r="AA637" s="135"/>
      <c r="AB637" s="135"/>
      <c r="AC637" s="135"/>
      <c r="AD637" s="135"/>
      <c r="AE637" s="135"/>
      <c r="AF637" s="135"/>
      <c r="AG637" s="135"/>
    </row>
    <row r="638" spans="15:33" ht="15.75" customHeight="1" x14ac:dyDescent="0.3">
      <c r="O638" s="135"/>
      <c r="P638" s="157"/>
      <c r="Q638" s="157"/>
      <c r="R638" s="157"/>
      <c r="S638" s="157"/>
      <c r="T638" s="157"/>
      <c r="U638" s="157"/>
      <c r="V638" s="157"/>
      <c r="W638" s="135"/>
      <c r="X638" s="135"/>
      <c r="Y638" s="135"/>
      <c r="Z638" s="135"/>
      <c r="AA638" s="135"/>
      <c r="AB638" s="135"/>
      <c r="AC638" s="135"/>
      <c r="AD638" s="135"/>
      <c r="AE638" s="135"/>
      <c r="AF638" s="135"/>
      <c r="AG638" s="135"/>
    </row>
    <row r="639" spans="15:33" ht="15.75" customHeight="1" x14ac:dyDescent="0.3">
      <c r="O639" s="135"/>
      <c r="P639" s="157"/>
      <c r="Q639" s="157"/>
      <c r="R639" s="157"/>
      <c r="S639" s="157"/>
      <c r="T639" s="157"/>
      <c r="U639" s="157"/>
      <c r="V639" s="157"/>
      <c r="W639" s="135"/>
      <c r="X639" s="135"/>
      <c r="Y639" s="135"/>
      <c r="Z639" s="135"/>
      <c r="AA639" s="135"/>
      <c r="AB639" s="135"/>
      <c r="AC639" s="135"/>
      <c r="AD639" s="135"/>
      <c r="AE639" s="135"/>
      <c r="AF639" s="135"/>
      <c r="AG639" s="135"/>
    </row>
    <row r="640" spans="15:33" ht="15.75" customHeight="1" x14ac:dyDescent="0.3">
      <c r="O640" s="135"/>
      <c r="P640" s="157"/>
      <c r="Q640" s="157"/>
      <c r="R640" s="157"/>
      <c r="S640" s="157"/>
      <c r="T640" s="157"/>
      <c r="U640" s="157"/>
      <c r="V640" s="157"/>
      <c r="W640" s="135"/>
      <c r="X640" s="135"/>
      <c r="Y640" s="135"/>
      <c r="Z640" s="135"/>
      <c r="AA640" s="135"/>
      <c r="AB640" s="135"/>
      <c r="AC640" s="135"/>
      <c r="AD640" s="135"/>
      <c r="AE640" s="135"/>
      <c r="AF640" s="135"/>
      <c r="AG640" s="135"/>
    </row>
    <row r="641" spans="15:33" ht="15.75" customHeight="1" x14ac:dyDescent="0.3">
      <c r="O641" s="135"/>
      <c r="P641" s="157"/>
      <c r="Q641" s="157"/>
      <c r="R641" s="157"/>
      <c r="S641" s="157"/>
      <c r="T641" s="157"/>
      <c r="U641" s="157"/>
      <c r="V641" s="157"/>
      <c r="W641" s="135"/>
      <c r="X641" s="135"/>
      <c r="Y641" s="135"/>
      <c r="Z641" s="135"/>
      <c r="AA641" s="135"/>
      <c r="AB641" s="135"/>
      <c r="AC641" s="135"/>
      <c r="AD641" s="135"/>
      <c r="AE641" s="135"/>
      <c r="AF641" s="135"/>
      <c r="AG641" s="135"/>
    </row>
    <row r="642" spans="15:33" ht="15.75" customHeight="1" x14ac:dyDescent="0.3">
      <c r="O642" s="135"/>
      <c r="P642" s="157"/>
      <c r="Q642" s="157"/>
      <c r="R642" s="157"/>
      <c r="S642" s="157"/>
      <c r="T642" s="157"/>
      <c r="U642" s="157"/>
      <c r="V642" s="157"/>
      <c r="W642" s="135"/>
      <c r="X642" s="135"/>
      <c r="Y642" s="135"/>
      <c r="Z642" s="135"/>
      <c r="AA642" s="135"/>
      <c r="AB642" s="135"/>
      <c r="AC642" s="135"/>
      <c r="AD642" s="135"/>
      <c r="AE642" s="135"/>
      <c r="AF642" s="135"/>
      <c r="AG642" s="135"/>
    </row>
    <row r="643" spans="15:33" ht="15.75" customHeight="1" x14ac:dyDescent="0.3">
      <c r="O643" s="135"/>
      <c r="P643" s="157"/>
      <c r="Q643" s="157"/>
      <c r="R643" s="157"/>
      <c r="S643" s="157"/>
      <c r="T643" s="157"/>
      <c r="U643" s="157"/>
      <c r="V643" s="157"/>
      <c r="W643" s="135"/>
      <c r="X643" s="135"/>
      <c r="Y643" s="135"/>
      <c r="Z643" s="135"/>
      <c r="AA643" s="135"/>
      <c r="AB643" s="135"/>
      <c r="AC643" s="135"/>
      <c r="AD643" s="135"/>
      <c r="AE643" s="135"/>
      <c r="AF643" s="135"/>
      <c r="AG643" s="135"/>
    </row>
    <row r="644" spans="15:33" ht="15.75" customHeight="1" x14ac:dyDescent="0.3">
      <c r="O644" s="135"/>
      <c r="P644" s="157"/>
      <c r="Q644" s="157"/>
      <c r="R644" s="157"/>
      <c r="S644" s="157"/>
      <c r="T644" s="157"/>
      <c r="U644" s="157"/>
      <c r="V644" s="157"/>
      <c r="W644" s="135"/>
      <c r="X644" s="135"/>
      <c r="Y644" s="135"/>
      <c r="Z644" s="135"/>
      <c r="AA644" s="135"/>
      <c r="AB644" s="135"/>
      <c r="AC644" s="135"/>
      <c r="AD644" s="135"/>
      <c r="AE644" s="135"/>
      <c r="AF644" s="135"/>
      <c r="AG644" s="135"/>
    </row>
    <row r="645" spans="15:33" ht="15.75" customHeight="1" x14ac:dyDescent="0.3">
      <c r="O645" s="135"/>
      <c r="P645" s="157"/>
      <c r="Q645" s="157"/>
      <c r="R645" s="157"/>
      <c r="S645" s="157"/>
      <c r="T645" s="157"/>
      <c r="U645" s="157"/>
      <c r="V645" s="157"/>
      <c r="W645" s="135"/>
      <c r="X645" s="135"/>
      <c r="Y645" s="135"/>
      <c r="Z645" s="135"/>
      <c r="AA645" s="135"/>
      <c r="AB645" s="135"/>
      <c r="AC645" s="135"/>
      <c r="AD645" s="135"/>
      <c r="AE645" s="135"/>
      <c r="AF645" s="135"/>
      <c r="AG645" s="135"/>
    </row>
    <row r="646" spans="15:33" ht="15.75" customHeight="1" x14ac:dyDescent="0.3">
      <c r="O646" s="135"/>
      <c r="P646" s="157"/>
      <c r="Q646" s="157"/>
      <c r="R646" s="157"/>
      <c r="S646" s="157"/>
      <c r="T646" s="157"/>
      <c r="U646" s="157"/>
      <c r="V646" s="157"/>
      <c r="W646" s="135"/>
      <c r="X646" s="135"/>
      <c r="Y646" s="135"/>
      <c r="Z646" s="135"/>
      <c r="AA646" s="135"/>
      <c r="AB646" s="135"/>
      <c r="AC646" s="135"/>
      <c r="AD646" s="135"/>
      <c r="AE646" s="135"/>
      <c r="AF646" s="135"/>
      <c r="AG646" s="135"/>
    </row>
    <row r="647" spans="15:33" ht="15.75" customHeight="1" x14ac:dyDescent="0.3">
      <c r="O647" s="135"/>
      <c r="P647" s="157"/>
      <c r="Q647" s="157"/>
      <c r="R647" s="157"/>
      <c r="S647" s="157"/>
      <c r="T647" s="157"/>
      <c r="U647" s="157"/>
      <c r="V647" s="157"/>
      <c r="W647" s="135"/>
      <c r="X647" s="135"/>
      <c r="Y647" s="135"/>
      <c r="Z647" s="135"/>
      <c r="AA647" s="135"/>
      <c r="AB647" s="135"/>
      <c r="AC647" s="135"/>
      <c r="AD647" s="135"/>
      <c r="AE647" s="135"/>
      <c r="AF647" s="135"/>
      <c r="AG647" s="135"/>
    </row>
    <row r="648" spans="15:33" ht="15.75" customHeight="1" x14ac:dyDescent="0.3">
      <c r="O648" s="135"/>
      <c r="P648" s="157"/>
      <c r="Q648" s="157"/>
      <c r="R648" s="157"/>
      <c r="S648" s="157"/>
      <c r="T648" s="157"/>
      <c r="U648" s="157"/>
      <c r="V648" s="157"/>
      <c r="W648" s="135"/>
      <c r="X648" s="135"/>
      <c r="Y648" s="135"/>
      <c r="Z648" s="135"/>
      <c r="AA648" s="135"/>
      <c r="AB648" s="135"/>
      <c r="AC648" s="135"/>
      <c r="AD648" s="135"/>
      <c r="AE648" s="135"/>
      <c r="AF648" s="135"/>
      <c r="AG648" s="135"/>
    </row>
    <row r="649" spans="15:33" ht="15.75" customHeight="1" x14ac:dyDescent="0.3">
      <c r="O649" s="135"/>
      <c r="P649" s="157"/>
      <c r="Q649" s="157"/>
      <c r="R649" s="157"/>
      <c r="S649" s="157"/>
      <c r="T649" s="157"/>
      <c r="U649" s="157"/>
      <c r="V649" s="157"/>
      <c r="W649" s="135"/>
      <c r="X649" s="135"/>
      <c r="Y649" s="135"/>
      <c r="Z649" s="135"/>
      <c r="AA649" s="135"/>
      <c r="AB649" s="135"/>
      <c r="AC649" s="135"/>
      <c r="AD649" s="135"/>
      <c r="AE649" s="135"/>
      <c r="AF649" s="135"/>
      <c r="AG649" s="135"/>
    </row>
    <row r="650" spans="15:33" ht="15.75" customHeight="1" x14ac:dyDescent="0.3">
      <c r="O650" s="135"/>
      <c r="P650" s="157"/>
      <c r="Q650" s="157"/>
      <c r="R650" s="157"/>
      <c r="S650" s="157"/>
      <c r="T650" s="157"/>
      <c r="U650" s="157"/>
      <c r="V650" s="157"/>
      <c r="W650" s="135"/>
      <c r="X650" s="135"/>
      <c r="Y650" s="135"/>
      <c r="Z650" s="135"/>
      <c r="AA650" s="135"/>
      <c r="AB650" s="135"/>
      <c r="AC650" s="135"/>
      <c r="AD650" s="135"/>
      <c r="AE650" s="135"/>
      <c r="AF650" s="135"/>
      <c r="AG650" s="135"/>
    </row>
    <row r="651" spans="15:33" ht="15.75" customHeight="1" x14ac:dyDescent="0.3">
      <c r="O651" s="135"/>
      <c r="P651" s="157"/>
      <c r="Q651" s="157"/>
      <c r="R651" s="157"/>
      <c r="S651" s="157"/>
      <c r="T651" s="157"/>
      <c r="U651" s="157"/>
      <c r="V651" s="157"/>
      <c r="W651" s="135"/>
      <c r="X651" s="135"/>
      <c r="Y651" s="135"/>
      <c r="Z651" s="135"/>
      <c r="AA651" s="135"/>
      <c r="AB651" s="135"/>
      <c r="AC651" s="135"/>
      <c r="AD651" s="135"/>
      <c r="AE651" s="135"/>
      <c r="AF651" s="135"/>
      <c r="AG651" s="135"/>
    </row>
    <row r="652" spans="15:33" ht="15.75" customHeight="1" x14ac:dyDescent="0.3">
      <c r="O652" s="135"/>
      <c r="P652" s="157"/>
      <c r="Q652" s="157"/>
      <c r="R652" s="157"/>
      <c r="S652" s="157"/>
      <c r="T652" s="157"/>
      <c r="U652" s="157"/>
      <c r="V652" s="157"/>
      <c r="W652" s="135"/>
      <c r="X652" s="135"/>
      <c r="Y652" s="135"/>
      <c r="Z652" s="135"/>
      <c r="AA652" s="135"/>
      <c r="AB652" s="135"/>
      <c r="AC652" s="135"/>
      <c r="AD652" s="135"/>
      <c r="AE652" s="135"/>
      <c r="AF652" s="135"/>
      <c r="AG652" s="135"/>
    </row>
    <row r="653" spans="15:33" ht="15.75" customHeight="1" x14ac:dyDescent="0.3">
      <c r="O653" s="135"/>
      <c r="P653" s="157"/>
      <c r="Q653" s="157"/>
      <c r="R653" s="157"/>
      <c r="S653" s="157"/>
      <c r="T653" s="157"/>
      <c r="U653" s="157"/>
      <c r="V653" s="157"/>
      <c r="W653" s="135"/>
      <c r="X653" s="135"/>
      <c r="Y653" s="135"/>
      <c r="Z653" s="135"/>
      <c r="AA653" s="135"/>
      <c r="AB653" s="135"/>
      <c r="AC653" s="135"/>
      <c r="AD653" s="135"/>
      <c r="AE653" s="135"/>
      <c r="AF653" s="135"/>
      <c r="AG653" s="135"/>
    </row>
    <row r="654" spans="15:33" ht="15.75" customHeight="1" x14ac:dyDescent="0.3">
      <c r="O654" s="135"/>
      <c r="P654" s="157"/>
      <c r="Q654" s="157"/>
      <c r="R654" s="157"/>
      <c r="S654" s="157"/>
      <c r="T654" s="157"/>
      <c r="U654" s="157"/>
      <c r="V654" s="157"/>
      <c r="W654" s="135"/>
      <c r="X654" s="135"/>
      <c r="Y654" s="135"/>
      <c r="Z654" s="135"/>
      <c r="AA654" s="135"/>
      <c r="AB654" s="135"/>
      <c r="AC654" s="135"/>
      <c r="AD654" s="135"/>
      <c r="AE654" s="135"/>
      <c r="AF654" s="135"/>
      <c r="AG654" s="135"/>
    </row>
    <row r="655" spans="15:33" ht="15.75" customHeight="1" x14ac:dyDescent="0.3">
      <c r="O655" s="135"/>
      <c r="P655" s="157"/>
      <c r="Q655" s="157"/>
      <c r="R655" s="157"/>
      <c r="S655" s="157"/>
      <c r="T655" s="157"/>
      <c r="U655" s="157"/>
      <c r="V655" s="157"/>
      <c r="W655" s="135"/>
      <c r="X655" s="135"/>
      <c r="Y655" s="135"/>
      <c r="Z655" s="135"/>
      <c r="AA655" s="135"/>
      <c r="AB655" s="135"/>
      <c r="AC655" s="135"/>
      <c r="AD655" s="135"/>
      <c r="AE655" s="135"/>
      <c r="AF655" s="135"/>
      <c r="AG655" s="135"/>
    </row>
    <row r="656" spans="15:33" ht="15.75" customHeight="1" x14ac:dyDescent="0.3">
      <c r="O656" s="135"/>
      <c r="P656" s="157"/>
      <c r="Q656" s="157"/>
      <c r="R656" s="157"/>
      <c r="S656" s="157"/>
      <c r="T656" s="157"/>
      <c r="U656" s="157"/>
      <c r="V656" s="157"/>
      <c r="W656" s="135"/>
      <c r="X656" s="135"/>
      <c r="Y656" s="135"/>
      <c r="Z656" s="135"/>
      <c r="AA656" s="135"/>
      <c r="AB656" s="135"/>
      <c r="AC656" s="135"/>
      <c r="AD656" s="135"/>
      <c r="AE656" s="135"/>
      <c r="AF656" s="135"/>
      <c r="AG656" s="135"/>
    </row>
    <row r="657" spans="15:33" ht="15.75" customHeight="1" x14ac:dyDescent="0.3">
      <c r="O657" s="135"/>
      <c r="P657" s="157"/>
      <c r="Q657" s="157"/>
      <c r="R657" s="157"/>
      <c r="S657" s="157"/>
      <c r="T657" s="157"/>
      <c r="U657" s="157"/>
      <c r="V657" s="157"/>
      <c r="W657" s="135"/>
      <c r="X657" s="135"/>
      <c r="Y657" s="135"/>
      <c r="Z657" s="135"/>
      <c r="AA657" s="135"/>
      <c r="AB657" s="135"/>
      <c r="AC657" s="135"/>
      <c r="AD657" s="135"/>
      <c r="AE657" s="135"/>
      <c r="AF657" s="135"/>
      <c r="AG657" s="135"/>
    </row>
    <row r="658" spans="15:33" ht="15.75" customHeight="1" x14ac:dyDescent="0.3">
      <c r="O658" s="135"/>
      <c r="P658" s="157"/>
      <c r="Q658" s="157"/>
      <c r="R658" s="157"/>
      <c r="S658" s="157"/>
      <c r="T658" s="157"/>
      <c r="U658" s="157"/>
      <c r="V658" s="157"/>
      <c r="W658" s="135"/>
      <c r="X658" s="135"/>
      <c r="Y658" s="135"/>
      <c r="Z658" s="135"/>
      <c r="AA658" s="135"/>
      <c r="AB658" s="135"/>
      <c r="AC658" s="135"/>
      <c r="AD658" s="135"/>
      <c r="AE658" s="135"/>
      <c r="AF658" s="135"/>
      <c r="AG658" s="135"/>
    </row>
    <row r="659" spans="15:33" ht="15.75" customHeight="1" x14ac:dyDescent="0.3">
      <c r="O659" s="135"/>
      <c r="P659" s="157"/>
      <c r="Q659" s="157"/>
      <c r="R659" s="157"/>
      <c r="S659" s="157"/>
      <c r="T659" s="157"/>
      <c r="U659" s="157"/>
      <c r="V659" s="157"/>
      <c r="W659" s="135"/>
      <c r="X659" s="135"/>
      <c r="Y659" s="135"/>
      <c r="Z659" s="135"/>
      <c r="AA659" s="135"/>
      <c r="AB659" s="135"/>
      <c r="AC659" s="135"/>
      <c r="AD659" s="135"/>
      <c r="AE659" s="135"/>
      <c r="AF659" s="135"/>
      <c r="AG659" s="135"/>
    </row>
    <row r="660" spans="15:33" ht="15.75" customHeight="1" x14ac:dyDescent="0.3">
      <c r="O660" s="135"/>
      <c r="P660" s="157"/>
      <c r="Q660" s="157"/>
      <c r="R660" s="157"/>
      <c r="S660" s="157"/>
      <c r="T660" s="157"/>
      <c r="U660" s="157"/>
      <c r="V660" s="157"/>
      <c r="W660" s="135"/>
      <c r="X660" s="135"/>
      <c r="Y660" s="135"/>
      <c r="Z660" s="135"/>
      <c r="AA660" s="135"/>
      <c r="AB660" s="135"/>
      <c r="AC660" s="135"/>
      <c r="AD660" s="135"/>
      <c r="AE660" s="135"/>
      <c r="AF660" s="135"/>
      <c r="AG660" s="135"/>
    </row>
    <row r="661" spans="15:33" ht="15.75" customHeight="1" x14ac:dyDescent="0.3">
      <c r="O661" s="135"/>
      <c r="P661" s="157"/>
      <c r="Q661" s="157"/>
      <c r="R661" s="157"/>
      <c r="S661" s="157"/>
      <c r="T661" s="157"/>
      <c r="U661" s="157"/>
      <c r="V661" s="157"/>
      <c r="W661" s="135"/>
      <c r="X661" s="135"/>
      <c r="Y661" s="135"/>
      <c r="Z661" s="135"/>
      <c r="AA661" s="135"/>
      <c r="AB661" s="135"/>
      <c r="AC661" s="135"/>
      <c r="AD661" s="135"/>
      <c r="AE661" s="135"/>
      <c r="AF661" s="135"/>
      <c r="AG661" s="135"/>
    </row>
    <row r="662" spans="15:33" ht="15.75" customHeight="1" x14ac:dyDescent="0.3">
      <c r="O662" s="135"/>
      <c r="P662" s="157"/>
      <c r="Q662" s="157"/>
      <c r="R662" s="157"/>
      <c r="S662" s="157"/>
      <c r="T662" s="157"/>
      <c r="U662" s="157"/>
      <c r="V662" s="157"/>
      <c r="W662" s="135"/>
      <c r="X662" s="135"/>
      <c r="Y662" s="135"/>
      <c r="Z662" s="135"/>
      <c r="AA662" s="135"/>
      <c r="AB662" s="135"/>
      <c r="AC662" s="135"/>
      <c r="AD662" s="135"/>
      <c r="AE662" s="135"/>
      <c r="AF662" s="135"/>
      <c r="AG662" s="135"/>
    </row>
    <row r="663" spans="15:33" ht="15.75" customHeight="1" x14ac:dyDescent="0.3">
      <c r="O663" s="135"/>
      <c r="P663" s="157"/>
      <c r="Q663" s="157"/>
      <c r="R663" s="157"/>
      <c r="S663" s="157"/>
      <c r="T663" s="157"/>
      <c r="U663" s="157"/>
      <c r="V663" s="157"/>
      <c r="W663" s="135"/>
      <c r="X663" s="135"/>
      <c r="Y663" s="135"/>
      <c r="Z663" s="135"/>
      <c r="AA663" s="135"/>
      <c r="AB663" s="135"/>
      <c r="AC663" s="135"/>
      <c r="AD663" s="135"/>
      <c r="AE663" s="135"/>
      <c r="AF663" s="135"/>
      <c r="AG663" s="135"/>
    </row>
    <row r="664" spans="15:33" ht="15.75" customHeight="1" x14ac:dyDescent="0.3">
      <c r="O664" s="135"/>
      <c r="P664" s="157"/>
      <c r="Q664" s="157"/>
      <c r="R664" s="157"/>
      <c r="S664" s="157"/>
      <c r="T664" s="157"/>
      <c r="U664" s="157"/>
      <c r="V664" s="157"/>
      <c r="W664" s="135"/>
      <c r="X664" s="135"/>
      <c r="Y664" s="135"/>
      <c r="Z664" s="135"/>
      <c r="AA664" s="135"/>
      <c r="AB664" s="135"/>
      <c r="AC664" s="135"/>
      <c r="AD664" s="135"/>
      <c r="AE664" s="135"/>
      <c r="AF664" s="135"/>
      <c r="AG664" s="135"/>
    </row>
    <row r="665" spans="15:33" ht="15.75" customHeight="1" x14ac:dyDescent="0.3">
      <c r="O665" s="135"/>
      <c r="P665" s="157"/>
      <c r="Q665" s="157"/>
      <c r="R665" s="157"/>
      <c r="S665" s="157"/>
      <c r="T665" s="157"/>
      <c r="U665" s="157"/>
      <c r="V665" s="157"/>
      <c r="W665" s="135"/>
      <c r="X665" s="135"/>
      <c r="Y665" s="135"/>
      <c r="Z665" s="135"/>
      <c r="AA665" s="135"/>
      <c r="AB665" s="135"/>
      <c r="AC665" s="135"/>
      <c r="AD665" s="135"/>
      <c r="AE665" s="135"/>
      <c r="AF665" s="135"/>
      <c r="AG665" s="135"/>
    </row>
    <row r="666" spans="15:33" ht="15.75" customHeight="1" x14ac:dyDescent="0.3">
      <c r="O666" s="135"/>
      <c r="P666" s="157"/>
      <c r="Q666" s="157"/>
      <c r="R666" s="157"/>
      <c r="S666" s="157"/>
      <c r="T666" s="157"/>
      <c r="U666" s="157"/>
      <c r="V666" s="157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</row>
    <row r="667" spans="15:33" ht="15.75" customHeight="1" x14ac:dyDescent="0.3">
      <c r="O667" s="135"/>
      <c r="P667" s="157"/>
      <c r="Q667" s="157"/>
      <c r="R667" s="157"/>
      <c r="S667" s="157"/>
      <c r="T667" s="157"/>
      <c r="U667" s="157"/>
      <c r="V667" s="157"/>
      <c r="W667" s="135"/>
      <c r="X667" s="135"/>
      <c r="Y667" s="135"/>
      <c r="Z667" s="135"/>
      <c r="AA667" s="135"/>
      <c r="AB667" s="135"/>
      <c r="AC667" s="135"/>
      <c r="AD667" s="135"/>
      <c r="AE667" s="135"/>
      <c r="AF667" s="135"/>
      <c r="AG667" s="135"/>
    </row>
    <row r="668" spans="15:33" ht="15.75" customHeight="1" x14ac:dyDescent="0.3">
      <c r="O668" s="135"/>
      <c r="P668" s="157"/>
      <c r="Q668" s="157"/>
      <c r="R668" s="157"/>
      <c r="S668" s="157"/>
      <c r="T668" s="157"/>
      <c r="U668" s="157"/>
      <c r="V668" s="157"/>
      <c r="W668" s="135"/>
      <c r="X668" s="135"/>
      <c r="Y668" s="135"/>
      <c r="Z668" s="135"/>
      <c r="AA668" s="135"/>
      <c r="AB668" s="135"/>
      <c r="AC668" s="135"/>
      <c r="AD668" s="135"/>
      <c r="AE668" s="135"/>
      <c r="AF668" s="135"/>
      <c r="AG668" s="135"/>
    </row>
    <row r="669" spans="15:33" ht="15.75" customHeight="1" x14ac:dyDescent="0.3">
      <c r="O669" s="135"/>
      <c r="P669" s="157"/>
      <c r="Q669" s="157"/>
      <c r="R669" s="157"/>
      <c r="S669" s="157"/>
      <c r="T669" s="157"/>
      <c r="U669" s="157"/>
      <c r="V669" s="157"/>
      <c r="W669" s="135"/>
      <c r="X669" s="135"/>
      <c r="Y669" s="135"/>
      <c r="Z669" s="135"/>
      <c r="AA669" s="135"/>
      <c r="AB669" s="135"/>
      <c r="AC669" s="135"/>
      <c r="AD669" s="135"/>
      <c r="AE669" s="135"/>
      <c r="AF669" s="135"/>
      <c r="AG669" s="135"/>
    </row>
    <row r="670" spans="15:33" ht="15.75" customHeight="1" x14ac:dyDescent="0.3">
      <c r="O670" s="135"/>
      <c r="P670" s="157"/>
      <c r="Q670" s="157"/>
      <c r="R670" s="157"/>
      <c r="S670" s="157"/>
      <c r="T670" s="157"/>
      <c r="U670" s="157"/>
      <c r="V670" s="157"/>
      <c r="W670" s="135"/>
      <c r="X670" s="135"/>
      <c r="Y670" s="135"/>
      <c r="Z670" s="135"/>
      <c r="AA670" s="135"/>
      <c r="AB670" s="135"/>
      <c r="AC670" s="135"/>
      <c r="AD670" s="135"/>
      <c r="AE670" s="135"/>
      <c r="AF670" s="135"/>
      <c r="AG670" s="135"/>
    </row>
    <row r="671" spans="15:33" ht="15.75" customHeight="1" x14ac:dyDescent="0.3">
      <c r="O671" s="135"/>
      <c r="P671" s="157"/>
      <c r="Q671" s="157"/>
      <c r="R671" s="157"/>
      <c r="S671" s="157"/>
      <c r="T671" s="157"/>
      <c r="U671" s="157"/>
      <c r="V671" s="157"/>
      <c r="W671" s="135"/>
      <c r="X671" s="135"/>
      <c r="Y671" s="135"/>
      <c r="Z671" s="135"/>
      <c r="AA671" s="135"/>
      <c r="AB671" s="135"/>
      <c r="AC671" s="135"/>
      <c r="AD671" s="135"/>
      <c r="AE671" s="135"/>
      <c r="AF671" s="135"/>
      <c r="AG671" s="135"/>
    </row>
    <row r="672" spans="15:33" ht="15.75" customHeight="1" x14ac:dyDescent="0.3">
      <c r="O672" s="135"/>
      <c r="P672" s="157"/>
      <c r="Q672" s="157"/>
      <c r="R672" s="157"/>
      <c r="S672" s="157"/>
      <c r="T672" s="157"/>
      <c r="U672" s="157"/>
      <c r="V672" s="157"/>
      <c r="W672" s="135"/>
      <c r="X672" s="135"/>
      <c r="Y672" s="135"/>
      <c r="Z672" s="135"/>
      <c r="AA672" s="135"/>
      <c r="AB672" s="135"/>
      <c r="AC672" s="135"/>
      <c r="AD672" s="135"/>
      <c r="AE672" s="135"/>
      <c r="AF672" s="135"/>
      <c r="AG672" s="135"/>
    </row>
    <row r="673" spans="15:33" ht="15.75" customHeight="1" x14ac:dyDescent="0.3">
      <c r="O673" s="135"/>
      <c r="P673" s="157"/>
      <c r="Q673" s="157"/>
      <c r="R673" s="157"/>
      <c r="S673" s="157"/>
      <c r="T673" s="157"/>
      <c r="U673" s="157"/>
      <c r="V673" s="157"/>
      <c r="W673" s="135"/>
      <c r="X673" s="135"/>
      <c r="Y673" s="135"/>
      <c r="Z673" s="135"/>
      <c r="AA673" s="135"/>
      <c r="AB673" s="135"/>
      <c r="AC673" s="135"/>
      <c r="AD673" s="135"/>
      <c r="AE673" s="135"/>
      <c r="AF673" s="135"/>
      <c r="AG673" s="135"/>
    </row>
    <row r="674" spans="15:33" ht="15.75" customHeight="1" x14ac:dyDescent="0.3">
      <c r="O674" s="135"/>
      <c r="P674" s="157"/>
      <c r="Q674" s="157"/>
      <c r="R674" s="157"/>
      <c r="S674" s="157"/>
      <c r="T674" s="157"/>
      <c r="U674" s="157"/>
      <c r="V674" s="157"/>
      <c r="W674" s="135"/>
      <c r="X674" s="135"/>
      <c r="Y674" s="135"/>
      <c r="Z674" s="135"/>
      <c r="AA674" s="135"/>
      <c r="AB674" s="135"/>
      <c r="AC674" s="135"/>
      <c r="AD674" s="135"/>
      <c r="AE674" s="135"/>
      <c r="AF674" s="135"/>
      <c r="AG674" s="135"/>
    </row>
    <row r="675" spans="15:33" ht="15.75" customHeight="1" x14ac:dyDescent="0.3">
      <c r="O675" s="135"/>
      <c r="P675" s="157"/>
      <c r="Q675" s="157"/>
      <c r="R675" s="157"/>
      <c r="S675" s="157"/>
      <c r="T675" s="157"/>
      <c r="U675" s="157"/>
      <c r="V675" s="157"/>
      <c r="W675" s="135"/>
      <c r="X675" s="135"/>
      <c r="Y675" s="135"/>
      <c r="Z675" s="135"/>
      <c r="AA675" s="135"/>
      <c r="AB675" s="135"/>
      <c r="AC675" s="135"/>
      <c r="AD675" s="135"/>
      <c r="AE675" s="135"/>
      <c r="AF675" s="135"/>
      <c r="AG675" s="135"/>
    </row>
    <row r="676" spans="15:33" ht="15.75" customHeight="1" x14ac:dyDescent="0.3">
      <c r="O676" s="135"/>
      <c r="P676" s="157"/>
      <c r="Q676" s="157"/>
      <c r="R676" s="157"/>
      <c r="S676" s="157"/>
      <c r="T676" s="157"/>
      <c r="U676" s="157"/>
      <c r="V676" s="157"/>
      <c r="W676" s="135"/>
      <c r="X676" s="135"/>
      <c r="Y676" s="135"/>
      <c r="Z676" s="135"/>
      <c r="AA676" s="135"/>
      <c r="AB676" s="135"/>
      <c r="AC676" s="135"/>
      <c r="AD676" s="135"/>
      <c r="AE676" s="135"/>
      <c r="AF676" s="135"/>
      <c r="AG676" s="135"/>
    </row>
    <row r="677" spans="15:33" ht="15.75" customHeight="1" x14ac:dyDescent="0.3">
      <c r="O677" s="135"/>
      <c r="P677" s="157"/>
      <c r="Q677" s="157"/>
      <c r="R677" s="157"/>
      <c r="S677" s="157"/>
      <c r="T677" s="157"/>
      <c r="U677" s="157"/>
      <c r="V677" s="157"/>
      <c r="W677" s="135"/>
      <c r="X677" s="135"/>
      <c r="Y677" s="135"/>
      <c r="Z677" s="135"/>
      <c r="AA677" s="135"/>
      <c r="AB677" s="135"/>
      <c r="AC677" s="135"/>
      <c r="AD677" s="135"/>
      <c r="AE677" s="135"/>
      <c r="AF677" s="135"/>
      <c r="AG677" s="135"/>
    </row>
    <row r="678" spans="15:33" ht="15.75" customHeight="1" x14ac:dyDescent="0.3">
      <c r="O678" s="135"/>
      <c r="P678" s="157"/>
      <c r="Q678" s="157"/>
      <c r="R678" s="157"/>
      <c r="S678" s="157"/>
      <c r="T678" s="157"/>
      <c r="U678" s="157"/>
      <c r="V678" s="157"/>
      <c r="W678" s="135"/>
      <c r="X678" s="135"/>
      <c r="Y678" s="135"/>
      <c r="Z678" s="135"/>
      <c r="AA678" s="135"/>
      <c r="AB678" s="135"/>
      <c r="AC678" s="135"/>
      <c r="AD678" s="135"/>
      <c r="AE678" s="135"/>
      <c r="AF678" s="135"/>
      <c r="AG678" s="135"/>
    </row>
    <row r="679" spans="15:33" ht="15.75" customHeight="1" x14ac:dyDescent="0.3">
      <c r="O679" s="135"/>
      <c r="P679" s="157"/>
      <c r="Q679" s="157"/>
      <c r="R679" s="157"/>
      <c r="S679" s="157"/>
      <c r="T679" s="157"/>
      <c r="U679" s="157"/>
      <c r="V679" s="157"/>
      <c r="W679" s="135"/>
      <c r="X679" s="135"/>
      <c r="Y679" s="135"/>
      <c r="Z679" s="135"/>
      <c r="AA679" s="135"/>
      <c r="AB679" s="135"/>
      <c r="AC679" s="135"/>
      <c r="AD679" s="135"/>
      <c r="AE679" s="135"/>
      <c r="AF679" s="135"/>
      <c r="AG679" s="135"/>
    </row>
    <row r="680" spans="15:33" ht="15.75" customHeight="1" x14ac:dyDescent="0.3">
      <c r="O680" s="135"/>
      <c r="P680" s="157"/>
      <c r="Q680" s="157"/>
      <c r="R680" s="157"/>
      <c r="S680" s="157"/>
      <c r="T680" s="157"/>
      <c r="U680" s="157"/>
      <c r="V680" s="157"/>
      <c r="W680" s="135"/>
      <c r="X680" s="135"/>
      <c r="Y680" s="135"/>
      <c r="Z680" s="135"/>
      <c r="AA680" s="135"/>
      <c r="AB680" s="135"/>
      <c r="AC680" s="135"/>
      <c r="AD680" s="135"/>
      <c r="AE680" s="135"/>
      <c r="AF680" s="135"/>
      <c r="AG680" s="135"/>
    </row>
    <row r="681" spans="15:33" ht="15.75" customHeight="1" x14ac:dyDescent="0.3">
      <c r="O681" s="135"/>
      <c r="P681" s="157"/>
      <c r="Q681" s="157"/>
      <c r="R681" s="157"/>
      <c r="S681" s="157"/>
      <c r="T681" s="157"/>
      <c r="U681" s="157"/>
      <c r="V681" s="157"/>
      <c r="W681" s="135"/>
      <c r="X681" s="135"/>
      <c r="Y681" s="135"/>
      <c r="Z681" s="135"/>
      <c r="AA681" s="135"/>
      <c r="AB681" s="135"/>
      <c r="AC681" s="135"/>
      <c r="AD681" s="135"/>
      <c r="AE681" s="135"/>
      <c r="AF681" s="135"/>
      <c r="AG681" s="135"/>
    </row>
    <row r="682" spans="15:33" ht="15.75" customHeight="1" x14ac:dyDescent="0.3">
      <c r="O682" s="135"/>
      <c r="P682" s="157"/>
      <c r="Q682" s="157"/>
      <c r="R682" s="157"/>
      <c r="S682" s="157"/>
      <c r="T682" s="157"/>
      <c r="U682" s="157"/>
      <c r="V682" s="157"/>
      <c r="W682" s="135"/>
      <c r="X682" s="135"/>
      <c r="Y682" s="135"/>
      <c r="Z682" s="135"/>
      <c r="AA682" s="135"/>
      <c r="AB682" s="135"/>
      <c r="AC682" s="135"/>
      <c r="AD682" s="135"/>
      <c r="AE682" s="135"/>
      <c r="AF682" s="135"/>
      <c r="AG682" s="135"/>
    </row>
    <row r="683" spans="15:33" ht="15.75" customHeight="1" x14ac:dyDescent="0.3">
      <c r="O683" s="135"/>
      <c r="P683" s="157"/>
      <c r="Q683" s="157"/>
      <c r="R683" s="157"/>
      <c r="S683" s="157"/>
      <c r="T683" s="157"/>
      <c r="U683" s="157"/>
      <c r="V683" s="157"/>
      <c r="W683" s="135"/>
      <c r="X683" s="135"/>
      <c r="Y683" s="135"/>
      <c r="Z683" s="135"/>
      <c r="AA683" s="135"/>
      <c r="AB683" s="135"/>
      <c r="AC683" s="135"/>
      <c r="AD683" s="135"/>
      <c r="AE683" s="135"/>
      <c r="AF683" s="135"/>
      <c r="AG683" s="135"/>
    </row>
    <row r="684" spans="15:33" ht="15.75" customHeight="1" x14ac:dyDescent="0.3">
      <c r="O684" s="135"/>
      <c r="P684" s="157"/>
      <c r="Q684" s="157"/>
      <c r="R684" s="157"/>
      <c r="S684" s="157"/>
      <c r="T684" s="157"/>
      <c r="U684" s="157"/>
      <c r="V684" s="157"/>
      <c r="W684" s="135"/>
      <c r="X684" s="135"/>
      <c r="Y684" s="135"/>
      <c r="Z684" s="135"/>
      <c r="AA684" s="135"/>
      <c r="AB684" s="135"/>
      <c r="AC684" s="135"/>
      <c r="AD684" s="135"/>
      <c r="AE684" s="135"/>
      <c r="AF684" s="135"/>
      <c r="AG684" s="135"/>
    </row>
    <row r="685" spans="15:33" ht="15.75" customHeight="1" x14ac:dyDescent="0.3">
      <c r="O685" s="135"/>
      <c r="P685" s="157"/>
      <c r="Q685" s="157"/>
      <c r="R685" s="157"/>
      <c r="S685" s="157"/>
      <c r="T685" s="157"/>
      <c r="U685" s="157"/>
      <c r="V685" s="157"/>
      <c r="W685" s="135"/>
      <c r="X685" s="135"/>
      <c r="Y685" s="135"/>
      <c r="Z685" s="135"/>
      <c r="AA685" s="135"/>
      <c r="AB685" s="135"/>
      <c r="AC685" s="135"/>
      <c r="AD685" s="135"/>
      <c r="AE685" s="135"/>
      <c r="AF685" s="135"/>
      <c r="AG685" s="135"/>
    </row>
    <row r="686" spans="15:33" ht="15.75" customHeight="1" x14ac:dyDescent="0.3">
      <c r="O686" s="135"/>
      <c r="P686" s="157"/>
      <c r="Q686" s="157"/>
      <c r="R686" s="157"/>
      <c r="S686" s="157"/>
      <c r="T686" s="157"/>
      <c r="U686" s="157"/>
      <c r="V686" s="157"/>
      <c r="W686" s="135"/>
      <c r="X686" s="135"/>
      <c r="Y686" s="135"/>
      <c r="Z686" s="135"/>
      <c r="AA686" s="135"/>
      <c r="AB686" s="135"/>
      <c r="AC686" s="135"/>
      <c r="AD686" s="135"/>
      <c r="AE686" s="135"/>
      <c r="AF686" s="135"/>
      <c r="AG686" s="135"/>
    </row>
    <row r="687" spans="15:33" ht="15.75" customHeight="1" x14ac:dyDescent="0.3">
      <c r="O687" s="135"/>
      <c r="P687" s="157"/>
      <c r="Q687" s="157"/>
      <c r="R687" s="157"/>
      <c r="S687" s="157"/>
      <c r="T687" s="157"/>
      <c r="U687" s="157"/>
      <c r="V687" s="157"/>
      <c r="W687" s="135"/>
      <c r="X687" s="135"/>
      <c r="Y687" s="135"/>
      <c r="Z687" s="135"/>
      <c r="AA687" s="135"/>
      <c r="AB687" s="135"/>
      <c r="AC687" s="135"/>
      <c r="AD687" s="135"/>
      <c r="AE687" s="135"/>
      <c r="AF687" s="135"/>
      <c r="AG687" s="135"/>
    </row>
    <row r="688" spans="15:33" ht="15.75" customHeight="1" x14ac:dyDescent="0.3">
      <c r="O688" s="135"/>
      <c r="P688" s="157"/>
      <c r="Q688" s="157"/>
      <c r="R688" s="157"/>
      <c r="S688" s="157"/>
      <c r="T688" s="157"/>
      <c r="U688" s="157"/>
      <c r="V688" s="157"/>
      <c r="W688" s="135"/>
      <c r="X688" s="135"/>
      <c r="Y688" s="135"/>
      <c r="Z688" s="135"/>
      <c r="AA688" s="135"/>
      <c r="AB688" s="135"/>
      <c r="AC688" s="135"/>
      <c r="AD688" s="135"/>
      <c r="AE688" s="135"/>
      <c r="AF688" s="135"/>
      <c r="AG688" s="135"/>
    </row>
    <row r="689" spans="15:33" ht="15.75" customHeight="1" x14ac:dyDescent="0.3">
      <c r="O689" s="135"/>
      <c r="P689" s="157"/>
      <c r="Q689" s="157"/>
      <c r="R689" s="157"/>
      <c r="S689" s="157"/>
      <c r="T689" s="157"/>
      <c r="U689" s="157"/>
      <c r="V689" s="157"/>
      <c r="W689" s="135"/>
      <c r="X689" s="135"/>
      <c r="Y689" s="135"/>
      <c r="Z689" s="135"/>
      <c r="AA689" s="135"/>
      <c r="AB689" s="135"/>
      <c r="AC689" s="135"/>
      <c r="AD689" s="135"/>
      <c r="AE689" s="135"/>
      <c r="AF689" s="135"/>
      <c r="AG689" s="135"/>
    </row>
    <row r="690" spans="15:33" ht="15.75" customHeight="1" x14ac:dyDescent="0.3">
      <c r="O690" s="135"/>
      <c r="P690" s="157"/>
      <c r="Q690" s="157"/>
      <c r="R690" s="157"/>
      <c r="S690" s="157"/>
      <c r="T690" s="157"/>
      <c r="U690" s="157"/>
      <c r="V690" s="157"/>
      <c r="W690" s="135"/>
      <c r="X690" s="135"/>
      <c r="Y690" s="135"/>
      <c r="Z690" s="135"/>
      <c r="AA690" s="135"/>
      <c r="AB690" s="135"/>
      <c r="AC690" s="135"/>
      <c r="AD690" s="135"/>
      <c r="AE690" s="135"/>
      <c r="AF690" s="135"/>
      <c r="AG690" s="135"/>
    </row>
    <row r="691" spans="15:33" ht="15.75" customHeight="1" x14ac:dyDescent="0.3">
      <c r="O691" s="135"/>
      <c r="P691" s="157"/>
      <c r="Q691" s="157"/>
      <c r="R691" s="157"/>
      <c r="S691" s="157"/>
      <c r="T691" s="157"/>
      <c r="U691" s="157"/>
      <c r="V691" s="157"/>
      <c r="W691" s="135"/>
      <c r="X691" s="135"/>
      <c r="Y691" s="135"/>
      <c r="Z691" s="135"/>
      <c r="AA691" s="135"/>
      <c r="AB691" s="135"/>
      <c r="AC691" s="135"/>
      <c r="AD691" s="135"/>
      <c r="AE691" s="135"/>
      <c r="AF691" s="135"/>
      <c r="AG691" s="135"/>
    </row>
    <row r="692" spans="15:33" ht="15.75" customHeight="1" x14ac:dyDescent="0.3">
      <c r="O692" s="135"/>
      <c r="P692" s="157"/>
      <c r="Q692" s="157"/>
      <c r="R692" s="157"/>
      <c r="S692" s="157"/>
      <c r="T692" s="157"/>
      <c r="U692" s="157"/>
      <c r="V692" s="157"/>
      <c r="W692" s="135"/>
      <c r="X692" s="135"/>
      <c r="Y692" s="135"/>
      <c r="Z692" s="135"/>
      <c r="AA692" s="135"/>
      <c r="AB692" s="135"/>
      <c r="AC692" s="135"/>
      <c r="AD692" s="135"/>
      <c r="AE692" s="135"/>
      <c r="AF692" s="135"/>
      <c r="AG692" s="135"/>
    </row>
    <row r="693" spans="15:33" ht="15.75" customHeight="1" x14ac:dyDescent="0.3">
      <c r="O693" s="135"/>
      <c r="P693" s="157"/>
      <c r="Q693" s="157"/>
      <c r="R693" s="157"/>
      <c r="S693" s="157"/>
      <c r="T693" s="157"/>
      <c r="U693" s="157"/>
      <c r="V693" s="157"/>
      <c r="W693" s="135"/>
      <c r="X693" s="135"/>
      <c r="Y693" s="135"/>
      <c r="Z693" s="135"/>
      <c r="AA693" s="135"/>
      <c r="AB693" s="135"/>
      <c r="AC693" s="135"/>
      <c r="AD693" s="135"/>
      <c r="AE693" s="135"/>
      <c r="AF693" s="135"/>
      <c r="AG693" s="135"/>
    </row>
    <row r="694" spans="15:33" ht="15.75" customHeight="1" x14ac:dyDescent="0.3">
      <c r="O694" s="135"/>
      <c r="P694" s="157"/>
      <c r="Q694" s="157"/>
      <c r="R694" s="157"/>
      <c r="S694" s="157"/>
      <c r="T694" s="157"/>
      <c r="U694" s="157"/>
      <c r="V694" s="157"/>
      <c r="W694" s="135"/>
      <c r="X694" s="135"/>
      <c r="Y694" s="135"/>
      <c r="Z694" s="135"/>
      <c r="AA694" s="135"/>
      <c r="AB694" s="135"/>
      <c r="AC694" s="135"/>
      <c r="AD694" s="135"/>
      <c r="AE694" s="135"/>
      <c r="AF694" s="135"/>
      <c r="AG694" s="135"/>
    </row>
    <row r="695" spans="15:33" ht="15.75" customHeight="1" x14ac:dyDescent="0.3">
      <c r="O695" s="135"/>
      <c r="P695" s="157"/>
      <c r="Q695" s="157"/>
      <c r="R695" s="157"/>
      <c r="S695" s="157"/>
      <c r="T695" s="157"/>
      <c r="U695" s="157"/>
      <c r="V695" s="157"/>
      <c r="W695" s="135"/>
      <c r="X695" s="135"/>
      <c r="Y695" s="135"/>
      <c r="Z695" s="135"/>
      <c r="AA695" s="135"/>
      <c r="AB695" s="135"/>
      <c r="AC695" s="135"/>
      <c r="AD695" s="135"/>
      <c r="AE695" s="135"/>
      <c r="AF695" s="135"/>
      <c r="AG695" s="135"/>
    </row>
    <row r="696" spans="15:33" ht="15.75" customHeight="1" x14ac:dyDescent="0.3">
      <c r="O696" s="135"/>
      <c r="P696" s="157"/>
      <c r="Q696" s="157"/>
      <c r="R696" s="157"/>
      <c r="S696" s="157"/>
      <c r="T696" s="157"/>
      <c r="U696" s="157"/>
      <c r="V696" s="157"/>
      <c r="W696" s="135"/>
      <c r="X696" s="135"/>
      <c r="Y696" s="135"/>
      <c r="Z696" s="135"/>
      <c r="AA696" s="135"/>
      <c r="AB696" s="135"/>
      <c r="AC696" s="135"/>
      <c r="AD696" s="135"/>
      <c r="AE696" s="135"/>
      <c r="AF696" s="135"/>
      <c r="AG696" s="135"/>
    </row>
    <row r="697" spans="15:33" ht="15.75" customHeight="1" x14ac:dyDescent="0.3">
      <c r="O697" s="135"/>
      <c r="P697" s="157"/>
      <c r="Q697" s="157"/>
      <c r="R697" s="157"/>
      <c r="S697" s="157"/>
      <c r="T697" s="157"/>
      <c r="U697" s="157"/>
      <c r="V697" s="157"/>
      <c r="W697" s="135"/>
      <c r="X697" s="135"/>
      <c r="Y697" s="135"/>
      <c r="Z697" s="135"/>
      <c r="AA697" s="135"/>
      <c r="AB697" s="135"/>
      <c r="AC697" s="135"/>
      <c r="AD697" s="135"/>
      <c r="AE697" s="135"/>
      <c r="AF697" s="135"/>
      <c r="AG697" s="135"/>
    </row>
    <row r="698" spans="15:33" ht="15.75" customHeight="1" x14ac:dyDescent="0.3">
      <c r="O698" s="135"/>
      <c r="P698" s="157"/>
      <c r="Q698" s="157"/>
      <c r="R698" s="157"/>
      <c r="S698" s="157"/>
      <c r="T698" s="157"/>
      <c r="U698" s="157"/>
      <c r="V698" s="157"/>
      <c r="W698" s="135"/>
      <c r="X698" s="135"/>
      <c r="Y698" s="135"/>
      <c r="Z698" s="135"/>
      <c r="AA698" s="135"/>
      <c r="AB698" s="135"/>
      <c r="AC698" s="135"/>
      <c r="AD698" s="135"/>
      <c r="AE698" s="135"/>
      <c r="AF698" s="135"/>
      <c r="AG698" s="135"/>
    </row>
    <row r="699" spans="15:33" ht="15.75" customHeight="1" x14ac:dyDescent="0.3">
      <c r="O699" s="135"/>
      <c r="P699" s="157"/>
      <c r="Q699" s="157"/>
      <c r="R699" s="157"/>
      <c r="S699" s="157"/>
      <c r="T699" s="157"/>
      <c r="U699" s="157"/>
      <c r="V699" s="157"/>
      <c r="W699" s="135"/>
      <c r="X699" s="135"/>
      <c r="Y699" s="135"/>
      <c r="Z699" s="135"/>
      <c r="AA699" s="135"/>
      <c r="AB699" s="135"/>
      <c r="AC699" s="135"/>
      <c r="AD699" s="135"/>
      <c r="AE699" s="135"/>
      <c r="AF699" s="135"/>
      <c r="AG699" s="135"/>
    </row>
    <row r="700" spans="15:33" ht="15.75" customHeight="1" x14ac:dyDescent="0.3">
      <c r="O700" s="135"/>
      <c r="P700" s="157"/>
      <c r="Q700" s="157"/>
      <c r="R700" s="157"/>
      <c r="S700" s="157"/>
      <c r="T700" s="157"/>
      <c r="U700" s="157"/>
      <c r="V700" s="157"/>
      <c r="W700" s="135"/>
      <c r="X700" s="135"/>
      <c r="Y700" s="135"/>
      <c r="Z700" s="135"/>
      <c r="AA700" s="135"/>
      <c r="AB700" s="135"/>
      <c r="AC700" s="135"/>
      <c r="AD700" s="135"/>
      <c r="AE700" s="135"/>
      <c r="AF700" s="135"/>
      <c r="AG700" s="135"/>
    </row>
    <row r="701" spans="15:33" ht="15.75" customHeight="1" x14ac:dyDescent="0.3">
      <c r="O701" s="135"/>
      <c r="P701" s="157"/>
      <c r="Q701" s="157"/>
      <c r="R701" s="157"/>
      <c r="S701" s="157"/>
      <c r="T701" s="157"/>
      <c r="U701" s="157"/>
      <c r="V701" s="157"/>
      <c r="W701" s="135"/>
      <c r="X701" s="135"/>
      <c r="Y701" s="135"/>
      <c r="Z701" s="135"/>
      <c r="AA701" s="135"/>
      <c r="AB701" s="135"/>
      <c r="AC701" s="135"/>
      <c r="AD701" s="135"/>
      <c r="AE701" s="135"/>
      <c r="AF701" s="135"/>
      <c r="AG701" s="135"/>
    </row>
    <row r="702" spans="15:33" ht="15.75" customHeight="1" x14ac:dyDescent="0.3">
      <c r="O702" s="135"/>
      <c r="P702" s="157"/>
      <c r="Q702" s="157"/>
      <c r="R702" s="157"/>
      <c r="S702" s="157"/>
      <c r="T702" s="157"/>
      <c r="U702" s="157"/>
      <c r="V702" s="157"/>
      <c r="W702" s="135"/>
      <c r="X702" s="135"/>
      <c r="Y702" s="135"/>
      <c r="Z702" s="135"/>
      <c r="AA702" s="135"/>
      <c r="AB702" s="135"/>
      <c r="AC702" s="135"/>
      <c r="AD702" s="135"/>
      <c r="AE702" s="135"/>
      <c r="AF702" s="135"/>
      <c r="AG702" s="135"/>
    </row>
    <row r="703" spans="15:33" ht="15.75" customHeight="1" x14ac:dyDescent="0.3">
      <c r="O703" s="135"/>
      <c r="P703" s="157"/>
      <c r="Q703" s="157"/>
      <c r="R703" s="157"/>
      <c r="S703" s="157"/>
      <c r="T703" s="157"/>
      <c r="U703" s="157"/>
      <c r="V703" s="157"/>
      <c r="W703" s="135"/>
      <c r="X703" s="135"/>
      <c r="Y703" s="135"/>
      <c r="Z703" s="135"/>
      <c r="AA703" s="135"/>
      <c r="AB703" s="135"/>
      <c r="AC703" s="135"/>
      <c r="AD703" s="135"/>
      <c r="AE703" s="135"/>
      <c r="AF703" s="135"/>
      <c r="AG703" s="135"/>
    </row>
    <row r="704" spans="15:33" ht="15.75" customHeight="1" x14ac:dyDescent="0.3">
      <c r="O704" s="135"/>
      <c r="P704" s="157"/>
      <c r="Q704" s="157"/>
      <c r="R704" s="157"/>
      <c r="S704" s="157"/>
      <c r="T704" s="157"/>
      <c r="U704" s="157"/>
      <c r="V704" s="157"/>
      <c r="W704" s="135"/>
      <c r="X704" s="135"/>
      <c r="Y704" s="135"/>
      <c r="Z704" s="135"/>
      <c r="AA704" s="135"/>
      <c r="AB704" s="135"/>
      <c r="AC704" s="135"/>
      <c r="AD704" s="135"/>
      <c r="AE704" s="135"/>
      <c r="AF704" s="135"/>
      <c r="AG704" s="135"/>
    </row>
    <row r="705" spans="15:33" ht="15.75" customHeight="1" x14ac:dyDescent="0.3">
      <c r="O705" s="135"/>
      <c r="P705" s="157"/>
      <c r="Q705" s="157"/>
      <c r="R705" s="157"/>
      <c r="S705" s="157"/>
      <c r="T705" s="157"/>
      <c r="U705" s="157"/>
      <c r="V705" s="157"/>
      <c r="W705" s="135"/>
      <c r="X705" s="135"/>
      <c r="Y705" s="135"/>
      <c r="Z705" s="135"/>
      <c r="AA705" s="135"/>
      <c r="AB705" s="135"/>
      <c r="AC705" s="135"/>
      <c r="AD705" s="135"/>
      <c r="AE705" s="135"/>
      <c r="AF705" s="135"/>
      <c r="AG705" s="135"/>
    </row>
    <row r="706" spans="15:33" ht="15.75" customHeight="1" x14ac:dyDescent="0.3">
      <c r="O706" s="135"/>
      <c r="P706" s="157"/>
      <c r="Q706" s="157"/>
      <c r="R706" s="157"/>
      <c r="S706" s="157"/>
      <c r="T706" s="157"/>
      <c r="U706" s="157"/>
      <c r="V706" s="157"/>
      <c r="W706" s="135"/>
      <c r="X706" s="135"/>
      <c r="Y706" s="135"/>
      <c r="Z706" s="135"/>
      <c r="AA706" s="135"/>
      <c r="AB706" s="135"/>
      <c r="AC706" s="135"/>
      <c r="AD706" s="135"/>
      <c r="AE706" s="135"/>
      <c r="AF706" s="135"/>
      <c r="AG706" s="135"/>
    </row>
    <row r="707" spans="15:33" ht="15.75" customHeight="1" x14ac:dyDescent="0.3">
      <c r="O707" s="135"/>
      <c r="P707" s="157"/>
      <c r="Q707" s="157"/>
      <c r="R707" s="157"/>
      <c r="S707" s="157"/>
      <c r="T707" s="157"/>
      <c r="U707" s="157"/>
      <c r="V707" s="157"/>
      <c r="W707" s="135"/>
      <c r="X707" s="135"/>
      <c r="Y707" s="135"/>
      <c r="Z707" s="135"/>
      <c r="AA707" s="135"/>
      <c r="AB707" s="135"/>
      <c r="AC707" s="135"/>
      <c r="AD707" s="135"/>
      <c r="AE707" s="135"/>
      <c r="AF707" s="135"/>
      <c r="AG707" s="135"/>
    </row>
    <row r="708" spans="15:33" ht="15.75" customHeight="1" x14ac:dyDescent="0.3">
      <c r="O708" s="135"/>
      <c r="P708" s="157"/>
      <c r="Q708" s="157"/>
      <c r="R708" s="157"/>
      <c r="S708" s="157"/>
      <c r="T708" s="157"/>
      <c r="U708" s="157"/>
      <c r="V708" s="157"/>
      <c r="W708" s="135"/>
      <c r="X708" s="135"/>
      <c r="Y708" s="135"/>
      <c r="Z708" s="135"/>
      <c r="AA708" s="135"/>
      <c r="AB708" s="135"/>
      <c r="AC708" s="135"/>
      <c r="AD708" s="135"/>
      <c r="AE708" s="135"/>
      <c r="AF708" s="135"/>
      <c r="AG708" s="135"/>
    </row>
    <row r="709" spans="15:33" ht="15.75" customHeight="1" x14ac:dyDescent="0.3">
      <c r="O709" s="135"/>
      <c r="P709" s="157"/>
      <c r="Q709" s="157"/>
      <c r="R709" s="157"/>
      <c r="S709" s="157"/>
      <c r="T709" s="157"/>
      <c r="U709" s="157"/>
      <c r="V709" s="157"/>
      <c r="W709" s="135"/>
      <c r="X709" s="135"/>
      <c r="Y709" s="135"/>
      <c r="Z709" s="135"/>
      <c r="AA709" s="135"/>
      <c r="AB709" s="135"/>
      <c r="AC709" s="135"/>
      <c r="AD709" s="135"/>
      <c r="AE709" s="135"/>
      <c r="AF709" s="135"/>
      <c r="AG709" s="135"/>
    </row>
    <row r="710" spans="15:33" ht="15.75" customHeight="1" x14ac:dyDescent="0.3">
      <c r="O710" s="135"/>
      <c r="P710" s="157"/>
      <c r="Q710" s="157"/>
      <c r="R710" s="157"/>
      <c r="S710" s="157"/>
      <c r="T710" s="157"/>
      <c r="U710" s="157"/>
      <c r="V710" s="157"/>
      <c r="W710" s="135"/>
      <c r="X710" s="135"/>
      <c r="Y710" s="135"/>
      <c r="Z710" s="135"/>
      <c r="AA710" s="135"/>
      <c r="AB710" s="135"/>
      <c r="AC710" s="135"/>
      <c r="AD710" s="135"/>
      <c r="AE710" s="135"/>
      <c r="AF710" s="135"/>
      <c r="AG710" s="135"/>
    </row>
    <row r="711" spans="15:33" ht="15.75" customHeight="1" x14ac:dyDescent="0.3">
      <c r="O711" s="135"/>
      <c r="P711" s="157"/>
      <c r="Q711" s="157"/>
      <c r="R711" s="157"/>
      <c r="S711" s="157"/>
      <c r="T711" s="157"/>
      <c r="U711" s="157"/>
      <c r="V711" s="157"/>
      <c r="W711" s="135"/>
      <c r="X711" s="135"/>
      <c r="Y711" s="135"/>
      <c r="Z711" s="135"/>
      <c r="AA711" s="135"/>
      <c r="AB711" s="135"/>
      <c r="AC711" s="135"/>
      <c r="AD711" s="135"/>
      <c r="AE711" s="135"/>
      <c r="AF711" s="135"/>
      <c r="AG711" s="135"/>
    </row>
    <row r="712" spans="15:33" ht="15.75" customHeight="1" x14ac:dyDescent="0.3">
      <c r="O712" s="135"/>
      <c r="P712" s="157"/>
      <c r="Q712" s="157"/>
      <c r="R712" s="157"/>
      <c r="S712" s="157"/>
      <c r="T712" s="157"/>
      <c r="U712" s="157"/>
      <c r="V712" s="157"/>
      <c r="W712" s="135"/>
      <c r="X712" s="135"/>
      <c r="Y712" s="135"/>
      <c r="Z712" s="135"/>
      <c r="AA712" s="135"/>
      <c r="AB712" s="135"/>
      <c r="AC712" s="135"/>
      <c r="AD712" s="135"/>
      <c r="AE712" s="135"/>
      <c r="AF712" s="135"/>
      <c r="AG712" s="135"/>
    </row>
    <row r="713" spans="15:33" ht="15.75" customHeight="1" x14ac:dyDescent="0.3">
      <c r="O713" s="135"/>
      <c r="P713" s="157"/>
      <c r="Q713" s="157"/>
      <c r="R713" s="157"/>
      <c r="S713" s="157"/>
      <c r="T713" s="157"/>
      <c r="U713" s="157"/>
      <c r="V713" s="157"/>
      <c r="W713" s="135"/>
      <c r="X713" s="135"/>
      <c r="Y713" s="135"/>
      <c r="Z713" s="135"/>
      <c r="AA713" s="135"/>
      <c r="AB713" s="135"/>
      <c r="AC713" s="135"/>
      <c r="AD713" s="135"/>
      <c r="AE713" s="135"/>
      <c r="AF713" s="135"/>
      <c r="AG713" s="135"/>
    </row>
    <row r="714" spans="15:33" ht="15.75" customHeight="1" x14ac:dyDescent="0.3">
      <c r="O714" s="135"/>
      <c r="P714" s="157"/>
      <c r="Q714" s="157"/>
      <c r="R714" s="157"/>
      <c r="S714" s="157"/>
      <c r="T714" s="157"/>
      <c r="U714" s="157"/>
      <c r="V714" s="157"/>
      <c r="W714" s="135"/>
      <c r="X714" s="135"/>
      <c r="Y714" s="135"/>
      <c r="Z714" s="135"/>
      <c r="AA714" s="135"/>
      <c r="AB714" s="135"/>
      <c r="AC714" s="135"/>
      <c r="AD714" s="135"/>
      <c r="AE714" s="135"/>
      <c r="AF714" s="135"/>
      <c r="AG714" s="135"/>
    </row>
    <row r="715" spans="15:33" ht="15.75" customHeight="1" x14ac:dyDescent="0.3">
      <c r="O715" s="135"/>
      <c r="P715" s="157"/>
      <c r="Q715" s="157"/>
      <c r="R715" s="157"/>
      <c r="S715" s="157"/>
      <c r="T715" s="157"/>
      <c r="U715" s="157"/>
      <c r="V715" s="157"/>
      <c r="W715" s="135"/>
      <c r="X715" s="135"/>
      <c r="Y715" s="135"/>
      <c r="Z715" s="135"/>
      <c r="AA715" s="135"/>
      <c r="AB715" s="135"/>
      <c r="AC715" s="135"/>
      <c r="AD715" s="135"/>
      <c r="AE715" s="135"/>
      <c r="AF715" s="135"/>
      <c r="AG715" s="135"/>
    </row>
    <row r="716" spans="15:33" ht="15.75" customHeight="1" x14ac:dyDescent="0.3">
      <c r="O716" s="135"/>
      <c r="P716" s="157"/>
      <c r="Q716" s="157"/>
      <c r="R716" s="157"/>
      <c r="S716" s="157"/>
      <c r="T716" s="157"/>
      <c r="U716" s="157"/>
      <c r="V716" s="157"/>
      <c r="W716" s="135"/>
      <c r="X716" s="135"/>
      <c r="Y716" s="135"/>
      <c r="Z716" s="135"/>
      <c r="AA716" s="135"/>
      <c r="AB716" s="135"/>
      <c r="AC716" s="135"/>
      <c r="AD716" s="135"/>
      <c r="AE716" s="135"/>
      <c r="AF716" s="135"/>
      <c r="AG716" s="135"/>
    </row>
    <row r="717" spans="15:33" ht="15.75" customHeight="1" x14ac:dyDescent="0.3">
      <c r="O717" s="135"/>
      <c r="P717" s="157"/>
      <c r="Q717" s="157"/>
      <c r="R717" s="157"/>
      <c r="S717" s="157"/>
      <c r="T717" s="157"/>
      <c r="U717" s="157"/>
      <c r="V717" s="157"/>
      <c r="W717" s="135"/>
      <c r="X717" s="135"/>
      <c r="Y717" s="135"/>
      <c r="Z717" s="135"/>
      <c r="AA717" s="135"/>
      <c r="AB717" s="135"/>
      <c r="AC717" s="135"/>
      <c r="AD717" s="135"/>
      <c r="AE717" s="135"/>
      <c r="AF717" s="135"/>
      <c r="AG717" s="135"/>
    </row>
    <row r="718" spans="15:33" ht="15.75" customHeight="1" x14ac:dyDescent="0.3">
      <c r="O718" s="135"/>
      <c r="P718" s="157"/>
      <c r="Q718" s="157"/>
      <c r="R718" s="157"/>
      <c r="S718" s="157"/>
      <c r="T718" s="157"/>
      <c r="U718" s="157"/>
      <c r="V718" s="157"/>
      <c r="W718" s="135"/>
      <c r="X718" s="135"/>
      <c r="Y718" s="135"/>
      <c r="Z718" s="135"/>
      <c r="AA718" s="135"/>
      <c r="AB718" s="135"/>
      <c r="AC718" s="135"/>
      <c r="AD718" s="135"/>
      <c r="AE718" s="135"/>
      <c r="AF718" s="135"/>
      <c r="AG718" s="135"/>
    </row>
    <row r="719" spans="15:33" ht="15.75" customHeight="1" x14ac:dyDescent="0.3">
      <c r="O719" s="135"/>
      <c r="P719" s="157"/>
      <c r="Q719" s="157"/>
      <c r="R719" s="157"/>
      <c r="S719" s="157"/>
      <c r="T719" s="157"/>
      <c r="U719" s="157"/>
      <c r="V719" s="157"/>
      <c r="W719" s="135"/>
      <c r="X719" s="135"/>
      <c r="Y719" s="135"/>
      <c r="Z719" s="135"/>
      <c r="AA719" s="135"/>
      <c r="AB719" s="135"/>
      <c r="AC719" s="135"/>
      <c r="AD719" s="135"/>
      <c r="AE719" s="135"/>
      <c r="AF719" s="135"/>
      <c r="AG719" s="135"/>
    </row>
    <row r="720" spans="15:33" ht="15.75" customHeight="1" x14ac:dyDescent="0.3">
      <c r="O720" s="135"/>
      <c r="P720" s="157"/>
      <c r="Q720" s="157"/>
      <c r="R720" s="157"/>
      <c r="S720" s="157"/>
      <c r="T720" s="157"/>
      <c r="U720" s="157"/>
      <c r="V720" s="157"/>
      <c r="W720" s="135"/>
      <c r="X720" s="135"/>
      <c r="Y720" s="135"/>
      <c r="Z720" s="135"/>
      <c r="AA720" s="135"/>
      <c r="AB720" s="135"/>
      <c r="AC720" s="135"/>
      <c r="AD720" s="135"/>
      <c r="AE720" s="135"/>
      <c r="AF720" s="135"/>
      <c r="AG720" s="135"/>
    </row>
    <row r="721" spans="15:33" ht="15.75" customHeight="1" x14ac:dyDescent="0.3">
      <c r="O721" s="135"/>
      <c r="P721" s="157"/>
      <c r="Q721" s="157"/>
      <c r="R721" s="157"/>
      <c r="S721" s="157"/>
      <c r="T721" s="157"/>
      <c r="U721" s="157"/>
      <c r="V721" s="157"/>
      <c r="W721" s="135"/>
      <c r="X721" s="135"/>
      <c r="Y721" s="135"/>
      <c r="Z721" s="135"/>
      <c r="AA721" s="135"/>
      <c r="AB721" s="135"/>
      <c r="AC721" s="135"/>
      <c r="AD721" s="135"/>
      <c r="AE721" s="135"/>
      <c r="AF721" s="135"/>
      <c r="AG721" s="135"/>
    </row>
    <row r="722" spans="15:33" ht="15.75" customHeight="1" x14ac:dyDescent="0.3">
      <c r="O722" s="135"/>
      <c r="P722" s="157"/>
      <c r="Q722" s="157"/>
      <c r="R722" s="157"/>
      <c r="S722" s="157"/>
      <c r="T722" s="157"/>
      <c r="U722" s="157"/>
      <c r="V722" s="157"/>
      <c r="W722" s="135"/>
      <c r="X722" s="135"/>
      <c r="Y722" s="135"/>
      <c r="Z722" s="135"/>
      <c r="AA722" s="135"/>
      <c r="AB722" s="135"/>
      <c r="AC722" s="135"/>
      <c r="AD722" s="135"/>
      <c r="AE722" s="135"/>
      <c r="AF722" s="135"/>
      <c r="AG722" s="135"/>
    </row>
    <row r="723" spans="15:33" ht="15.75" customHeight="1" x14ac:dyDescent="0.3">
      <c r="O723" s="135"/>
      <c r="P723" s="157"/>
      <c r="Q723" s="157"/>
      <c r="R723" s="157"/>
      <c r="S723" s="157"/>
      <c r="T723" s="157"/>
      <c r="U723" s="157"/>
      <c r="V723" s="157"/>
      <c r="W723" s="135"/>
      <c r="X723" s="135"/>
      <c r="Y723" s="135"/>
      <c r="Z723" s="135"/>
      <c r="AA723" s="135"/>
      <c r="AB723" s="135"/>
      <c r="AC723" s="135"/>
      <c r="AD723" s="135"/>
      <c r="AE723" s="135"/>
      <c r="AF723" s="135"/>
      <c r="AG723" s="135"/>
    </row>
    <row r="724" spans="15:33" ht="15.75" customHeight="1" x14ac:dyDescent="0.3">
      <c r="O724" s="135"/>
      <c r="P724" s="157"/>
      <c r="Q724" s="157"/>
      <c r="R724" s="157"/>
      <c r="S724" s="157"/>
      <c r="T724" s="157"/>
      <c r="U724" s="157"/>
      <c r="V724" s="157"/>
      <c r="W724" s="135"/>
      <c r="X724" s="135"/>
      <c r="Y724" s="135"/>
      <c r="Z724" s="135"/>
      <c r="AA724" s="135"/>
      <c r="AB724" s="135"/>
      <c r="AC724" s="135"/>
      <c r="AD724" s="135"/>
      <c r="AE724" s="135"/>
      <c r="AF724" s="135"/>
      <c r="AG724" s="135"/>
    </row>
    <row r="725" spans="15:33" ht="15.75" customHeight="1" x14ac:dyDescent="0.3">
      <c r="O725" s="135"/>
      <c r="P725" s="157"/>
      <c r="Q725" s="157"/>
      <c r="R725" s="157"/>
      <c r="S725" s="157"/>
      <c r="T725" s="157"/>
      <c r="U725" s="157"/>
      <c r="V725" s="157"/>
      <c r="W725" s="135"/>
      <c r="X725" s="135"/>
      <c r="Y725" s="135"/>
      <c r="Z725" s="135"/>
      <c r="AA725" s="135"/>
      <c r="AB725" s="135"/>
      <c r="AC725" s="135"/>
      <c r="AD725" s="135"/>
      <c r="AE725" s="135"/>
      <c r="AF725" s="135"/>
      <c r="AG725" s="135"/>
    </row>
    <row r="726" spans="15:33" ht="15.75" customHeight="1" x14ac:dyDescent="0.3">
      <c r="O726" s="135"/>
      <c r="P726" s="157"/>
      <c r="Q726" s="157"/>
      <c r="R726" s="157"/>
      <c r="S726" s="157"/>
      <c r="T726" s="157"/>
      <c r="U726" s="157"/>
      <c r="V726" s="157"/>
      <c r="W726" s="135"/>
      <c r="X726" s="135"/>
      <c r="Y726" s="135"/>
      <c r="Z726" s="135"/>
      <c r="AA726" s="135"/>
      <c r="AB726" s="135"/>
      <c r="AC726" s="135"/>
      <c r="AD726" s="135"/>
      <c r="AE726" s="135"/>
      <c r="AF726" s="135"/>
      <c r="AG726" s="135"/>
    </row>
    <row r="727" spans="15:33" ht="15.75" customHeight="1" x14ac:dyDescent="0.3">
      <c r="O727" s="135"/>
      <c r="P727" s="157"/>
      <c r="Q727" s="157"/>
      <c r="R727" s="157"/>
      <c r="S727" s="157"/>
      <c r="T727" s="157"/>
      <c r="U727" s="157"/>
      <c r="V727" s="157"/>
      <c r="W727" s="135"/>
      <c r="X727" s="135"/>
      <c r="Y727" s="135"/>
      <c r="Z727" s="135"/>
      <c r="AA727" s="135"/>
      <c r="AB727" s="135"/>
      <c r="AC727" s="135"/>
      <c r="AD727" s="135"/>
      <c r="AE727" s="135"/>
      <c r="AF727" s="135"/>
      <c r="AG727" s="135"/>
    </row>
    <row r="728" spans="15:33" ht="15.75" customHeight="1" x14ac:dyDescent="0.3">
      <c r="O728" s="135"/>
      <c r="P728" s="157"/>
      <c r="Q728" s="157"/>
      <c r="R728" s="157"/>
      <c r="S728" s="157"/>
      <c r="T728" s="157"/>
      <c r="U728" s="157"/>
      <c r="V728" s="157"/>
      <c r="W728" s="135"/>
      <c r="X728" s="135"/>
      <c r="Y728" s="135"/>
      <c r="Z728" s="135"/>
      <c r="AA728" s="135"/>
      <c r="AB728" s="135"/>
      <c r="AC728" s="135"/>
      <c r="AD728" s="135"/>
      <c r="AE728" s="135"/>
      <c r="AF728" s="135"/>
      <c r="AG728" s="135"/>
    </row>
    <row r="729" spans="15:33" ht="15.75" customHeight="1" x14ac:dyDescent="0.3">
      <c r="O729" s="135"/>
      <c r="P729" s="157"/>
      <c r="Q729" s="157"/>
      <c r="R729" s="157"/>
      <c r="S729" s="157"/>
      <c r="T729" s="157"/>
      <c r="U729" s="157"/>
      <c r="V729" s="157"/>
      <c r="W729" s="135"/>
      <c r="X729" s="135"/>
      <c r="Y729" s="135"/>
      <c r="Z729" s="135"/>
      <c r="AA729" s="135"/>
      <c r="AB729" s="135"/>
      <c r="AC729" s="135"/>
      <c r="AD729" s="135"/>
      <c r="AE729" s="135"/>
      <c r="AF729" s="135"/>
      <c r="AG729" s="135"/>
    </row>
    <row r="730" spans="15:33" ht="15.75" customHeight="1" x14ac:dyDescent="0.3">
      <c r="O730" s="135"/>
      <c r="P730" s="157"/>
      <c r="Q730" s="157"/>
      <c r="R730" s="157"/>
      <c r="S730" s="157"/>
      <c r="T730" s="157"/>
      <c r="U730" s="157"/>
      <c r="V730" s="157"/>
      <c r="W730" s="135"/>
      <c r="X730" s="135"/>
      <c r="Y730" s="135"/>
      <c r="Z730" s="135"/>
      <c r="AA730" s="135"/>
      <c r="AB730" s="135"/>
      <c r="AC730" s="135"/>
      <c r="AD730" s="135"/>
      <c r="AE730" s="135"/>
      <c r="AF730" s="135"/>
      <c r="AG730" s="135"/>
    </row>
    <row r="731" spans="15:33" ht="15.75" customHeight="1" x14ac:dyDescent="0.3">
      <c r="O731" s="135"/>
      <c r="P731" s="157"/>
      <c r="Q731" s="157"/>
      <c r="R731" s="157"/>
      <c r="S731" s="157"/>
      <c r="T731" s="157"/>
      <c r="U731" s="157"/>
      <c r="V731" s="157"/>
      <c r="W731" s="135"/>
      <c r="X731" s="135"/>
      <c r="Y731" s="135"/>
      <c r="Z731" s="135"/>
      <c r="AA731" s="135"/>
      <c r="AB731" s="135"/>
      <c r="AC731" s="135"/>
      <c r="AD731" s="135"/>
      <c r="AE731" s="135"/>
      <c r="AF731" s="135"/>
      <c r="AG731" s="135"/>
    </row>
    <row r="732" spans="15:33" ht="15.75" customHeight="1" x14ac:dyDescent="0.3">
      <c r="O732" s="135"/>
      <c r="P732" s="157"/>
      <c r="Q732" s="157"/>
      <c r="R732" s="157"/>
      <c r="S732" s="157"/>
      <c r="T732" s="157"/>
      <c r="U732" s="157"/>
      <c r="V732" s="157"/>
      <c r="W732" s="135"/>
      <c r="X732" s="135"/>
      <c r="Y732" s="135"/>
      <c r="Z732" s="135"/>
      <c r="AA732" s="135"/>
      <c r="AB732" s="135"/>
      <c r="AC732" s="135"/>
      <c r="AD732" s="135"/>
      <c r="AE732" s="135"/>
      <c r="AF732" s="135"/>
      <c r="AG732" s="135"/>
    </row>
    <row r="733" spans="15:33" ht="15.75" customHeight="1" x14ac:dyDescent="0.3">
      <c r="O733" s="135"/>
      <c r="P733" s="157"/>
      <c r="Q733" s="157"/>
      <c r="R733" s="157"/>
      <c r="S733" s="157"/>
      <c r="T733" s="157"/>
      <c r="U733" s="157"/>
      <c r="V733" s="157"/>
      <c r="W733" s="135"/>
      <c r="X733" s="135"/>
      <c r="Y733" s="135"/>
      <c r="Z733" s="135"/>
      <c r="AA733" s="135"/>
      <c r="AB733" s="135"/>
      <c r="AC733" s="135"/>
      <c r="AD733" s="135"/>
      <c r="AE733" s="135"/>
      <c r="AF733" s="135"/>
      <c r="AG733" s="135"/>
    </row>
    <row r="734" spans="15:33" ht="15.75" customHeight="1" x14ac:dyDescent="0.3">
      <c r="O734" s="135"/>
      <c r="P734" s="157"/>
      <c r="Q734" s="157"/>
      <c r="R734" s="157"/>
      <c r="S734" s="157"/>
      <c r="T734" s="157"/>
      <c r="U734" s="157"/>
      <c r="V734" s="157"/>
      <c r="W734" s="135"/>
      <c r="X734" s="135"/>
      <c r="Y734" s="135"/>
      <c r="Z734" s="135"/>
      <c r="AA734" s="135"/>
      <c r="AB734" s="135"/>
      <c r="AC734" s="135"/>
      <c r="AD734" s="135"/>
      <c r="AE734" s="135"/>
      <c r="AF734" s="135"/>
      <c r="AG734" s="135"/>
    </row>
    <row r="735" spans="15:33" ht="15.75" customHeight="1" x14ac:dyDescent="0.3">
      <c r="O735" s="135"/>
      <c r="P735" s="157"/>
      <c r="Q735" s="157"/>
      <c r="R735" s="157"/>
      <c r="S735" s="157"/>
      <c r="T735" s="157"/>
      <c r="U735" s="157"/>
      <c r="V735" s="157"/>
      <c r="W735" s="135"/>
      <c r="X735" s="135"/>
      <c r="Y735" s="135"/>
      <c r="Z735" s="135"/>
      <c r="AA735" s="135"/>
      <c r="AB735" s="135"/>
      <c r="AC735" s="135"/>
      <c r="AD735" s="135"/>
      <c r="AE735" s="135"/>
      <c r="AF735" s="135"/>
      <c r="AG735" s="135"/>
    </row>
    <row r="736" spans="15:33" ht="15.75" customHeight="1" x14ac:dyDescent="0.3">
      <c r="O736" s="135"/>
      <c r="P736" s="157"/>
      <c r="Q736" s="157"/>
      <c r="R736" s="157"/>
      <c r="S736" s="157"/>
      <c r="T736" s="157"/>
      <c r="U736" s="157"/>
      <c r="V736" s="157"/>
      <c r="W736" s="135"/>
      <c r="X736" s="135"/>
      <c r="Y736" s="135"/>
      <c r="Z736" s="135"/>
      <c r="AA736" s="135"/>
      <c r="AB736" s="135"/>
      <c r="AC736" s="135"/>
      <c r="AD736" s="135"/>
      <c r="AE736" s="135"/>
      <c r="AF736" s="135"/>
      <c r="AG736" s="135"/>
    </row>
    <row r="737" spans="15:33" ht="15.75" customHeight="1" x14ac:dyDescent="0.3">
      <c r="O737" s="135"/>
      <c r="P737" s="157"/>
      <c r="Q737" s="157"/>
      <c r="R737" s="157"/>
      <c r="S737" s="157"/>
      <c r="T737" s="157"/>
      <c r="U737" s="157"/>
      <c r="V737" s="157"/>
      <c r="W737" s="135"/>
      <c r="X737" s="135"/>
      <c r="Y737" s="135"/>
      <c r="Z737" s="135"/>
      <c r="AA737" s="135"/>
      <c r="AB737" s="135"/>
      <c r="AC737" s="135"/>
      <c r="AD737" s="135"/>
      <c r="AE737" s="135"/>
      <c r="AF737" s="135"/>
      <c r="AG737" s="135"/>
    </row>
    <row r="738" spans="15:33" ht="15.75" customHeight="1" x14ac:dyDescent="0.3">
      <c r="O738" s="135"/>
      <c r="P738" s="157"/>
      <c r="Q738" s="157"/>
      <c r="R738" s="157"/>
      <c r="S738" s="157"/>
      <c r="T738" s="157"/>
      <c r="U738" s="157"/>
      <c r="V738" s="157"/>
      <c r="W738" s="135"/>
      <c r="X738" s="135"/>
      <c r="Y738" s="135"/>
      <c r="Z738" s="135"/>
      <c r="AA738" s="135"/>
      <c r="AB738" s="135"/>
      <c r="AC738" s="135"/>
      <c r="AD738" s="135"/>
      <c r="AE738" s="135"/>
      <c r="AF738" s="135"/>
      <c r="AG738" s="135"/>
    </row>
    <row r="739" spans="15:33" ht="15.75" customHeight="1" x14ac:dyDescent="0.3">
      <c r="O739" s="135"/>
      <c r="P739" s="157"/>
      <c r="Q739" s="157"/>
      <c r="R739" s="157"/>
      <c r="S739" s="157"/>
      <c r="T739" s="157"/>
      <c r="U739" s="157"/>
      <c r="V739" s="157"/>
      <c r="W739" s="135"/>
      <c r="X739" s="135"/>
      <c r="Y739" s="135"/>
      <c r="Z739" s="135"/>
      <c r="AA739" s="135"/>
      <c r="AB739" s="135"/>
      <c r="AC739" s="135"/>
      <c r="AD739" s="135"/>
      <c r="AE739" s="135"/>
      <c r="AF739" s="135"/>
      <c r="AG739" s="135"/>
    </row>
    <row r="740" spans="15:33" ht="15.75" customHeight="1" x14ac:dyDescent="0.3">
      <c r="O740" s="135"/>
      <c r="P740" s="157"/>
      <c r="Q740" s="157"/>
      <c r="R740" s="157"/>
      <c r="S740" s="157"/>
      <c r="T740" s="157"/>
      <c r="U740" s="157"/>
      <c r="V740" s="157"/>
      <c r="W740" s="135"/>
      <c r="X740" s="135"/>
      <c r="Y740" s="135"/>
      <c r="Z740" s="135"/>
      <c r="AA740" s="135"/>
      <c r="AB740" s="135"/>
      <c r="AC740" s="135"/>
      <c r="AD740" s="135"/>
      <c r="AE740" s="135"/>
      <c r="AF740" s="135"/>
      <c r="AG740" s="135"/>
    </row>
    <row r="741" spans="15:33" ht="15.75" customHeight="1" x14ac:dyDescent="0.3">
      <c r="O741" s="135"/>
      <c r="P741" s="157"/>
      <c r="Q741" s="157"/>
      <c r="R741" s="157"/>
      <c r="S741" s="157"/>
      <c r="T741" s="157"/>
      <c r="U741" s="157"/>
      <c r="V741" s="157"/>
      <c r="W741" s="135"/>
      <c r="X741" s="135"/>
      <c r="Y741" s="135"/>
      <c r="Z741" s="135"/>
      <c r="AA741" s="135"/>
      <c r="AB741" s="135"/>
      <c r="AC741" s="135"/>
      <c r="AD741" s="135"/>
      <c r="AE741" s="135"/>
      <c r="AF741" s="135"/>
      <c r="AG741" s="135"/>
    </row>
    <row r="742" spans="15:33" ht="15.75" customHeight="1" x14ac:dyDescent="0.3">
      <c r="O742" s="135"/>
      <c r="P742" s="157"/>
      <c r="Q742" s="157"/>
      <c r="R742" s="157"/>
      <c r="S742" s="157"/>
      <c r="T742" s="157"/>
      <c r="U742" s="157"/>
      <c r="V742" s="157"/>
      <c r="W742" s="135"/>
      <c r="X742" s="135"/>
      <c r="Y742" s="135"/>
      <c r="Z742" s="135"/>
      <c r="AA742" s="135"/>
      <c r="AB742" s="135"/>
      <c r="AC742" s="135"/>
      <c r="AD742" s="135"/>
      <c r="AE742" s="135"/>
      <c r="AF742" s="135"/>
      <c r="AG742" s="135"/>
    </row>
    <row r="743" spans="15:33" ht="15.75" customHeight="1" x14ac:dyDescent="0.3">
      <c r="O743" s="135"/>
      <c r="P743" s="157"/>
      <c r="Q743" s="157"/>
      <c r="R743" s="157"/>
      <c r="S743" s="157"/>
      <c r="T743" s="157"/>
      <c r="U743" s="157"/>
      <c r="V743" s="157"/>
      <c r="W743" s="135"/>
      <c r="X743" s="135"/>
      <c r="Y743" s="135"/>
      <c r="Z743" s="135"/>
      <c r="AA743" s="135"/>
      <c r="AB743" s="135"/>
      <c r="AC743" s="135"/>
      <c r="AD743" s="135"/>
      <c r="AE743" s="135"/>
      <c r="AF743" s="135"/>
      <c r="AG743" s="135"/>
    </row>
    <row r="744" spans="15:33" ht="15.75" customHeight="1" x14ac:dyDescent="0.3">
      <c r="O744" s="135"/>
      <c r="P744" s="157"/>
      <c r="Q744" s="157"/>
      <c r="R744" s="157"/>
      <c r="S744" s="157"/>
      <c r="T744" s="157"/>
      <c r="U744" s="157"/>
      <c r="V744" s="157"/>
      <c r="W744" s="135"/>
      <c r="X744" s="135"/>
      <c r="Y744" s="135"/>
      <c r="Z744" s="135"/>
      <c r="AA744" s="135"/>
      <c r="AB744" s="135"/>
      <c r="AC744" s="135"/>
      <c r="AD744" s="135"/>
      <c r="AE744" s="135"/>
      <c r="AF744" s="135"/>
      <c r="AG744" s="135"/>
    </row>
    <row r="745" spans="15:33" ht="15.75" customHeight="1" x14ac:dyDescent="0.3">
      <c r="O745" s="135"/>
      <c r="P745" s="157"/>
      <c r="Q745" s="157"/>
      <c r="R745" s="157"/>
      <c r="S745" s="157"/>
      <c r="T745" s="157"/>
      <c r="U745" s="157"/>
      <c r="V745" s="157"/>
      <c r="W745" s="135"/>
      <c r="X745" s="135"/>
      <c r="Y745" s="135"/>
      <c r="Z745" s="135"/>
      <c r="AA745" s="135"/>
      <c r="AB745" s="135"/>
      <c r="AC745" s="135"/>
      <c r="AD745" s="135"/>
      <c r="AE745" s="135"/>
      <c r="AF745" s="135"/>
      <c r="AG745" s="135"/>
    </row>
    <row r="746" spans="15:33" ht="15.75" customHeight="1" x14ac:dyDescent="0.3">
      <c r="O746" s="135"/>
      <c r="P746" s="157"/>
      <c r="Q746" s="157"/>
      <c r="R746" s="157"/>
      <c r="S746" s="157"/>
      <c r="T746" s="157"/>
      <c r="U746" s="157"/>
      <c r="V746" s="157"/>
      <c r="W746" s="135"/>
      <c r="X746" s="135"/>
      <c r="Y746" s="135"/>
      <c r="Z746" s="135"/>
      <c r="AA746" s="135"/>
      <c r="AB746" s="135"/>
      <c r="AC746" s="135"/>
      <c r="AD746" s="135"/>
      <c r="AE746" s="135"/>
      <c r="AF746" s="135"/>
      <c r="AG746" s="135"/>
    </row>
    <row r="747" spans="15:33" ht="15.75" customHeight="1" x14ac:dyDescent="0.3">
      <c r="O747" s="135"/>
      <c r="P747" s="157"/>
      <c r="Q747" s="157"/>
      <c r="R747" s="157"/>
      <c r="S747" s="157"/>
      <c r="T747" s="157"/>
      <c r="U747" s="157"/>
      <c r="V747" s="157"/>
      <c r="W747" s="135"/>
      <c r="X747" s="135"/>
      <c r="Y747" s="135"/>
      <c r="Z747" s="135"/>
      <c r="AA747" s="135"/>
      <c r="AB747" s="135"/>
      <c r="AC747" s="135"/>
      <c r="AD747" s="135"/>
      <c r="AE747" s="135"/>
      <c r="AF747" s="135"/>
      <c r="AG747" s="135"/>
    </row>
    <row r="748" spans="15:33" ht="15.75" customHeight="1" x14ac:dyDescent="0.3">
      <c r="O748" s="135"/>
      <c r="P748" s="157"/>
      <c r="Q748" s="157"/>
      <c r="R748" s="157"/>
      <c r="S748" s="157"/>
      <c r="T748" s="157"/>
      <c r="U748" s="157"/>
      <c r="V748" s="157"/>
      <c r="W748" s="135"/>
      <c r="X748" s="135"/>
      <c r="Y748" s="135"/>
      <c r="Z748" s="135"/>
      <c r="AA748" s="135"/>
      <c r="AB748" s="135"/>
      <c r="AC748" s="135"/>
      <c r="AD748" s="135"/>
      <c r="AE748" s="135"/>
      <c r="AF748" s="135"/>
      <c r="AG748" s="135"/>
    </row>
    <row r="749" spans="15:33" ht="15.75" customHeight="1" x14ac:dyDescent="0.3">
      <c r="O749" s="135"/>
      <c r="P749" s="157"/>
      <c r="Q749" s="157"/>
      <c r="R749" s="157"/>
      <c r="S749" s="157"/>
      <c r="T749" s="157"/>
      <c r="U749" s="157"/>
      <c r="V749" s="157"/>
      <c r="W749" s="135"/>
      <c r="X749" s="135"/>
      <c r="Y749" s="135"/>
      <c r="Z749" s="135"/>
      <c r="AA749" s="135"/>
      <c r="AB749" s="135"/>
      <c r="AC749" s="135"/>
      <c r="AD749" s="135"/>
      <c r="AE749" s="135"/>
      <c r="AF749" s="135"/>
      <c r="AG749" s="135"/>
    </row>
    <row r="750" spans="15:33" ht="15.75" customHeight="1" x14ac:dyDescent="0.3">
      <c r="O750" s="135"/>
      <c r="P750" s="157"/>
      <c r="Q750" s="157"/>
      <c r="R750" s="157"/>
      <c r="S750" s="157"/>
      <c r="T750" s="157"/>
      <c r="U750" s="157"/>
      <c r="V750" s="157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5"/>
    </row>
    <row r="751" spans="15:33" ht="15.75" customHeight="1" x14ac:dyDescent="0.3">
      <c r="O751" s="135"/>
      <c r="P751" s="157"/>
      <c r="Q751" s="157"/>
      <c r="R751" s="157"/>
      <c r="S751" s="157"/>
      <c r="T751" s="157"/>
      <c r="U751" s="157"/>
      <c r="V751" s="157"/>
      <c r="W751" s="135"/>
      <c r="X751" s="135"/>
      <c r="Y751" s="135"/>
      <c r="Z751" s="135"/>
      <c r="AA751" s="135"/>
      <c r="AB751" s="135"/>
      <c r="AC751" s="135"/>
      <c r="AD751" s="135"/>
      <c r="AE751" s="135"/>
      <c r="AF751" s="135"/>
      <c r="AG751" s="135"/>
    </row>
    <row r="752" spans="15:33" ht="15.75" customHeight="1" x14ac:dyDescent="0.3">
      <c r="O752" s="135"/>
      <c r="P752" s="157"/>
      <c r="Q752" s="157"/>
      <c r="R752" s="157"/>
      <c r="S752" s="157"/>
      <c r="T752" s="157"/>
      <c r="U752" s="157"/>
      <c r="V752" s="157"/>
      <c r="W752" s="135"/>
      <c r="X752" s="135"/>
      <c r="Y752" s="135"/>
      <c r="Z752" s="135"/>
      <c r="AA752" s="135"/>
      <c r="AB752" s="135"/>
      <c r="AC752" s="135"/>
      <c r="AD752" s="135"/>
      <c r="AE752" s="135"/>
      <c r="AF752" s="135"/>
      <c r="AG752" s="135"/>
    </row>
    <row r="753" spans="15:33" ht="15.75" customHeight="1" x14ac:dyDescent="0.3">
      <c r="O753" s="135"/>
      <c r="P753" s="157"/>
      <c r="Q753" s="157"/>
      <c r="R753" s="157"/>
      <c r="S753" s="157"/>
      <c r="T753" s="157"/>
      <c r="U753" s="157"/>
      <c r="V753" s="157"/>
      <c r="W753" s="135"/>
      <c r="X753" s="135"/>
      <c r="Y753" s="135"/>
      <c r="Z753" s="135"/>
      <c r="AA753" s="135"/>
      <c r="AB753" s="135"/>
      <c r="AC753" s="135"/>
      <c r="AD753" s="135"/>
      <c r="AE753" s="135"/>
      <c r="AF753" s="135"/>
      <c r="AG753" s="135"/>
    </row>
    <row r="754" spans="15:33" ht="15.75" customHeight="1" x14ac:dyDescent="0.3">
      <c r="O754" s="135"/>
      <c r="P754" s="157"/>
      <c r="Q754" s="157"/>
      <c r="R754" s="157"/>
      <c r="S754" s="157"/>
      <c r="T754" s="157"/>
      <c r="U754" s="157"/>
      <c r="V754" s="157"/>
      <c r="W754" s="135"/>
      <c r="X754" s="135"/>
      <c r="Y754" s="135"/>
      <c r="Z754" s="135"/>
      <c r="AA754" s="135"/>
      <c r="AB754" s="135"/>
      <c r="AC754" s="135"/>
      <c r="AD754" s="135"/>
      <c r="AE754" s="135"/>
      <c r="AF754" s="135"/>
      <c r="AG754" s="135"/>
    </row>
    <row r="755" spans="15:33" ht="15.75" customHeight="1" x14ac:dyDescent="0.3">
      <c r="O755" s="135"/>
      <c r="P755" s="157"/>
      <c r="Q755" s="157"/>
      <c r="R755" s="157"/>
      <c r="S755" s="157"/>
      <c r="T755" s="157"/>
      <c r="U755" s="157"/>
      <c r="V755" s="157"/>
      <c r="W755" s="135"/>
      <c r="X755" s="135"/>
      <c r="Y755" s="135"/>
      <c r="Z755" s="135"/>
      <c r="AA755" s="135"/>
      <c r="AB755" s="135"/>
      <c r="AC755" s="135"/>
      <c r="AD755" s="135"/>
      <c r="AE755" s="135"/>
      <c r="AF755" s="135"/>
      <c r="AG755" s="135"/>
    </row>
    <row r="756" spans="15:33" ht="15.75" customHeight="1" x14ac:dyDescent="0.3">
      <c r="O756" s="135"/>
      <c r="P756" s="157"/>
      <c r="Q756" s="157"/>
      <c r="R756" s="157"/>
      <c r="S756" s="157"/>
      <c r="T756" s="157"/>
      <c r="U756" s="157"/>
      <c r="V756" s="157"/>
      <c r="W756" s="135"/>
      <c r="X756" s="135"/>
      <c r="Y756" s="135"/>
      <c r="Z756" s="135"/>
      <c r="AA756" s="135"/>
      <c r="AB756" s="135"/>
      <c r="AC756" s="135"/>
      <c r="AD756" s="135"/>
      <c r="AE756" s="135"/>
      <c r="AF756" s="135"/>
      <c r="AG756" s="135"/>
    </row>
    <row r="757" spans="15:33" ht="15.75" customHeight="1" x14ac:dyDescent="0.3">
      <c r="O757" s="135"/>
      <c r="P757" s="157"/>
      <c r="Q757" s="157"/>
      <c r="R757" s="157"/>
      <c r="S757" s="157"/>
      <c r="T757" s="157"/>
      <c r="U757" s="157"/>
      <c r="V757" s="157"/>
      <c r="W757" s="135"/>
      <c r="X757" s="135"/>
      <c r="Y757" s="135"/>
      <c r="Z757" s="135"/>
      <c r="AA757" s="135"/>
      <c r="AB757" s="135"/>
      <c r="AC757" s="135"/>
      <c r="AD757" s="135"/>
      <c r="AE757" s="135"/>
      <c r="AF757" s="135"/>
      <c r="AG757" s="135"/>
    </row>
    <row r="758" spans="15:33" ht="15.75" customHeight="1" x14ac:dyDescent="0.3">
      <c r="O758" s="135"/>
      <c r="P758" s="157"/>
      <c r="Q758" s="157"/>
      <c r="R758" s="157"/>
      <c r="S758" s="157"/>
      <c r="T758" s="157"/>
      <c r="U758" s="157"/>
      <c r="V758" s="157"/>
      <c r="W758" s="135"/>
      <c r="X758" s="135"/>
      <c r="Y758" s="135"/>
      <c r="Z758" s="135"/>
      <c r="AA758" s="135"/>
      <c r="AB758" s="135"/>
      <c r="AC758" s="135"/>
      <c r="AD758" s="135"/>
      <c r="AE758" s="135"/>
      <c r="AF758" s="135"/>
      <c r="AG758" s="135"/>
    </row>
    <row r="759" spans="15:33" ht="15.75" customHeight="1" x14ac:dyDescent="0.3">
      <c r="O759" s="135"/>
      <c r="P759" s="157"/>
      <c r="Q759" s="157"/>
      <c r="R759" s="157"/>
      <c r="S759" s="157"/>
      <c r="T759" s="157"/>
      <c r="U759" s="157"/>
      <c r="V759" s="157"/>
      <c r="W759" s="135"/>
      <c r="X759" s="135"/>
      <c r="Y759" s="135"/>
      <c r="Z759" s="135"/>
      <c r="AA759" s="135"/>
      <c r="AB759" s="135"/>
      <c r="AC759" s="135"/>
      <c r="AD759" s="135"/>
      <c r="AE759" s="135"/>
      <c r="AF759" s="135"/>
      <c r="AG759" s="135"/>
    </row>
    <row r="760" spans="15:33" ht="15.75" customHeight="1" x14ac:dyDescent="0.3">
      <c r="O760" s="135"/>
      <c r="P760" s="157"/>
      <c r="Q760" s="157"/>
      <c r="R760" s="157"/>
      <c r="S760" s="157"/>
      <c r="T760" s="157"/>
      <c r="U760" s="157"/>
      <c r="V760" s="157"/>
      <c r="W760" s="135"/>
      <c r="X760" s="135"/>
      <c r="Y760" s="135"/>
      <c r="Z760" s="135"/>
      <c r="AA760" s="135"/>
      <c r="AB760" s="135"/>
      <c r="AC760" s="135"/>
      <c r="AD760" s="135"/>
      <c r="AE760" s="135"/>
      <c r="AF760" s="135"/>
      <c r="AG760" s="135"/>
    </row>
    <row r="761" spans="15:33" ht="15.75" customHeight="1" x14ac:dyDescent="0.3">
      <c r="O761" s="135"/>
      <c r="P761" s="157"/>
      <c r="Q761" s="157"/>
      <c r="R761" s="157"/>
      <c r="S761" s="157"/>
      <c r="T761" s="157"/>
      <c r="U761" s="157"/>
      <c r="V761" s="157"/>
      <c r="W761" s="135"/>
      <c r="X761" s="135"/>
      <c r="Y761" s="135"/>
      <c r="Z761" s="135"/>
      <c r="AA761" s="135"/>
      <c r="AB761" s="135"/>
      <c r="AC761" s="135"/>
      <c r="AD761" s="135"/>
      <c r="AE761" s="135"/>
      <c r="AF761" s="135"/>
      <c r="AG761" s="135"/>
    </row>
    <row r="762" spans="15:33" ht="15.75" customHeight="1" x14ac:dyDescent="0.3">
      <c r="O762" s="135"/>
      <c r="P762" s="157"/>
      <c r="Q762" s="157"/>
      <c r="R762" s="157"/>
      <c r="S762" s="157"/>
      <c r="T762" s="157"/>
      <c r="U762" s="157"/>
      <c r="V762" s="157"/>
      <c r="W762" s="135"/>
      <c r="X762" s="135"/>
      <c r="Y762" s="135"/>
      <c r="Z762" s="135"/>
      <c r="AA762" s="135"/>
      <c r="AB762" s="135"/>
      <c r="AC762" s="135"/>
      <c r="AD762" s="135"/>
      <c r="AE762" s="135"/>
      <c r="AF762" s="135"/>
      <c r="AG762" s="135"/>
    </row>
    <row r="763" spans="15:33" ht="15.75" customHeight="1" x14ac:dyDescent="0.3">
      <c r="O763" s="135"/>
      <c r="P763" s="157"/>
      <c r="Q763" s="157"/>
      <c r="R763" s="157"/>
      <c r="S763" s="157"/>
      <c r="T763" s="157"/>
      <c r="U763" s="157"/>
      <c r="V763" s="157"/>
      <c r="W763" s="135"/>
      <c r="X763" s="135"/>
      <c r="Y763" s="135"/>
      <c r="Z763" s="135"/>
      <c r="AA763" s="135"/>
      <c r="AB763" s="135"/>
      <c r="AC763" s="135"/>
      <c r="AD763" s="135"/>
      <c r="AE763" s="135"/>
      <c r="AF763" s="135"/>
      <c r="AG763" s="135"/>
    </row>
    <row r="764" spans="15:33" ht="15.75" customHeight="1" x14ac:dyDescent="0.3">
      <c r="O764" s="135"/>
      <c r="P764" s="157"/>
      <c r="Q764" s="157"/>
      <c r="R764" s="157"/>
      <c r="S764" s="157"/>
      <c r="T764" s="157"/>
      <c r="U764" s="157"/>
      <c r="V764" s="157"/>
      <c r="W764" s="135"/>
      <c r="X764" s="135"/>
      <c r="Y764" s="135"/>
      <c r="Z764" s="135"/>
      <c r="AA764" s="135"/>
      <c r="AB764" s="135"/>
      <c r="AC764" s="135"/>
      <c r="AD764" s="135"/>
      <c r="AE764" s="135"/>
      <c r="AF764" s="135"/>
      <c r="AG764" s="135"/>
    </row>
    <row r="765" spans="15:33" ht="15.75" customHeight="1" x14ac:dyDescent="0.3">
      <c r="O765" s="135"/>
      <c r="P765" s="157"/>
      <c r="Q765" s="157"/>
      <c r="R765" s="157"/>
      <c r="S765" s="157"/>
      <c r="T765" s="157"/>
      <c r="U765" s="157"/>
      <c r="V765" s="157"/>
      <c r="W765" s="135"/>
      <c r="X765" s="135"/>
      <c r="Y765" s="135"/>
      <c r="Z765" s="135"/>
      <c r="AA765" s="135"/>
      <c r="AB765" s="135"/>
      <c r="AC765" s="135"/>
      <c r="AD765" s="135"/>
      <c r="AE765" s="135"/>
      <c r="AF765" s="135"/>
      <c r="AG765" s="135"/>
    </row>
    <row r="766" spans="15:33" ht="15.75" customHeight="1" x14ac:dyDescent="0.3">
      <c r="O766" s="135"/>
      <c r="P766" s="157"/>
      <c r="Q766" s="157"/>
      <c r="R766" s="157"/>
      <c r="S766" s="157"/>
      <c r="T766" s="157"/>
      <c r="U766" s="157"/>
      <c r="V766" s="157"/>
      <c r="W766" s="135"/>
      <c r="X766" s="135"/>
      <c r="Y766" s="135"/>
      <c r="Z766" s="135"/>
      <c r="AA766" s="135"/>
      <c r="AB766" s="135"/>
      <c r="AC766" s="135"/>
      <c r="AD766" s="135"/>
      <c r="AE766" s="135"/>
      <c r="AF766" s="135"/>
      <c r="AG766" s="135"/>
    </row>
    <row r="767" spans="15:33" ht="15.75" customHeight="1" x14ac:dyDescent="0.3">
      <c r="O767" s="135"/>
      <c r="P767" s="157"/>
      <c r="Q767" s="157"/>
      <c r="R767" s="157"/>
      <c r="S767" s="157"/>
      <c r="T767" s="157"/>
      <c r="U767" s="157"/>
      <c r="V767" s="157"/>
      <c r="W767" s="135"/>
      <c r="X767" s="135"/>
      <c r="Y767" s="135"/>
      <c r="Z767" s="135"/>
      <c r="AA767" s="135"/>
      <c r="AB767" s="135"/>
      <c r="AC767" s="135"/>
      <c r="AD767" s="135"/>
      <c r="AE767" s="135"/>
      <c r="AF767" s="135"/>
      <c r="AG767" s="135"/>
    </row>
    <row r="768" spans="15:33" ht="15.75" customHeight="1" x14ac:dyDescent="0.3">
      <c r="O768" s="135"/>
      <c r="P768" s="157"/>
      <c r="Q768" s="157"/>
      <c r="R768" s="157"/>
      <c r="S768" s="157"/>
      <c r="T768" s="157"/>
      <c r="U768" s="157"/>
      <c r="V768" s="157"/>
      <c r="W768" s="135"/>
      <c r="X768" s="135"/>
      <c r="Y768" s="135"/>
      <c r="Z768" s="135"/>
      <c r="AA768" s="135"/>
      <c r="AB768" s="135"/>
      <c r="AC768" s="135"/>
      <c r="AD768" s="135"/>
      <c r="AE768" s="135"/>
      <c r="AF768" s="135"/>
      <c r="AG768" s="135"/>
    </row>
    <row r="769" spans="15:33" ht="15.75" customHeight="1" x14ac:dyDescent="0.3">
      <c r="O769" s="135"/>
      <c r="P769" s="157"/>
      <c r="Q769" s="157"/>
      <c r="R769" s="157"/>
      <c r="S769" s="157"/>
      <c r="T769" s="157"/>
      <c r="U769" s="157"/>
      <c r="V769" s="157"/>
      <c r="W769" s="135"/>
      <c r="X769" s="135"/>
      <c r="Y769" s="135"/>
      <c r="Z769" s="135"/>
      <c r="AA769" s="135"/>
      <c r="AB769" s="135"/>
      <c r="AC769" s="135"/>
      <c r="AD769" s="135"/>
      <c r="AE769" s="135"/>
      <c r="AF769" s="135"/>
      <c r="AG769" s="135"/>
    </row>
    <row r="770" spans="15:33" ht="15.75" customHeight="1" x14ac:dyDescent="0.3">
      <c r="O770" s="135"/>
      <c r="P770" s="157"/>
      <c r="Q770" s="157"/>
      <c r="R770" s="157"/>
      <c r="S770" s="157"/>
      <c r="T770" s="157"/>
      <c r="U770" s="157"/>
      <c r="V770" s="157"/>
      <c r="W770" s="135"/>
      <c r="X770" s="135"/>
      <c r="Y770" s="135"/>
      <c r="Z770" s="135"/>
      <c r="AA770" s="135"/>
      <c r="AB770" s="135"/>
      <c r="AC770" s="135"/>
      <c r="AD770" s="135"/>
      <c r="AE770" s="135"/>
      <c r="AF770" s="135"/>
      <c r="AG770" s="135"/>
    </row>
    <row r="771" spans="15:33" ht="15.75" customHeight="1" x14ac:dyDescent="0.3">
      <c r="O771" s="135"/>
      <c r="P771" s="157"/>
      <c r="Q771" s="157"/>
      <c r="R771" s="157"/>
      <c r="S771" s="157"/>
      <c r="T771" s="157"/>
      <c r="U771" s="157"/>
      <c r="V771" s="157"/>
      <c r="W771" s="135"/>
      <c r="X771" s="135"/>
      <c r="Y771" s="135"/>
      <c r="Z771" s="135"/>
      <c r="AA771" s="135"/>
      <c r="AB771" s="135"/>
      <c r="AC771" s="135"/>
      <c r="AD771" s="135"/>
      <c r="AE771" s="135"/>
      <c r="AF771" s="135"/>
      <c r="AG771" s="135"/>
    </row>
    <row r="772" spans="15:33" ht="15.75" customHeight="1" x14ac:dyDescent="0.3">
      <c r="O772" s="135"/>
      <c r="P772" s="157"/>
      <c r="Q772" s="157"/>
      <c r="R772" s="157"/>
      <c r="S772" s="157"/>
      <c r="T772" s="157"/>
      <c r="U772" s="157"/>
      <c r="V772" s="157"/>
      <c r="W772" s="135"/>
      <c r="X772" s="135"/>
      <c r="Y772" s="135"/>
      <c r="Z772" s="135"/>
      <c r="AA772" s="135"/>
      <c r="AB772" s="135"/>
      <c r="AC772" s="135"/>
      <c r="AD772" s="135"/>
      <c r="AE772" s="135"/>
      <c r="AF772" s="135"/>
      <c r="AG772" s="135"/>
    </row>
    <row r="773" spans="15:33" ht="15.75" customHeight="1" x14ac:dyDescent="0.3">
      <c r="O773" s="135"/>
      <c r="P773" s="157"/>
      <c r="Q773" s="157"/>
      <c r="R773" s="157"/>
      <c r="S773" s="157"/>
      <c r="T773" s="157"/>
      <c r="U773" s="157"/>
      <c r="V773" s="157"/>
      <c r="W773" s="135"/>
      <c r="X773" s="135"/>
      <c r="Y773" s="135"/>
      <c r="Z773" s="135"/>
      <c r="AA773" s="135"/>
      <c r="AB773" s="135"/>
      <c r="AC773" s="135"/>
      <c r="AD773" s="135"/>
      <c r="AE773" s="135"/>
      <c r="AF773" s="135"/>
      <c r="AG773" s="135"/>
    </row>
    <row r="774" spans="15:33" ht="15.75" customHeight="1" x14ac:dyDescent="0.3">
      <c r="O774" s="135"/>
      <c r="P774" s="157"/>
      <c r="Q774" s="157"/>
      <c r="R774" s="157"/>
      <c r="S774" s="157"/>
      <c r="T774" s="157"/>
      <c r="U774" s="157"/>
      <c r="V774" s="157"/>
      <c r="W774" s="135"/>
      <c r="X774" s="135"/>
      <c r="Y774" s="135"/>
      <c r="Z774" s="135"/>
      <c r="AA774" s="135"/>
      <c r="AB774" s="135"/>
      <c r="AC774" s="135"/>
      <c r="AD774" s="135"/>
      <c r="AE774" s="135"/>
      <c r="AF774" s="135"/>
      <c r="AG774" s="135"/>
    </row>
    <row r="775" spans="15:33" ht="15.75" customHeight="1" x14ac:dyDescent="0.3">
      <c r="O775" s="135"/>
      <c r="P775" s="157"/>
      <c r="Q775" s="157"/>
      <c r="R775" s="157"/>
      <c r="S775" s="157"/>
      <c r="T775" s="157"/>
      <c r="U775" s="157"/>
      <c r="V775" s="157"/>
      <c r="W775" s="135"/>
      <c r="X775" s="135"/>
      <c r="Y775" s="135"/>
      <c r="Z775" s="135"/>
      <c r="AA775" s="135"/>
      <c r="AB775" s="135"/>
      <c r="AC775" s="135"/>
      <c r="AD775" s="135"/>
      <c r="AE775" s="135"/>
      <c r="AF775" s="135"/>
      <c r="AG775" s="135"/>
    </row>
    <row r="776" spans="15:33" ht="15.75" customHeight="1" x14ac:dyDescent="0.3">
      <c r="O776" s="135"/>
      <c r="P776" s="157"/>
      <c r="Q776" s="157"/>
      <c r="R776" s="157"/>
      <c r="S776" s="157"/>
      <c r="T776" s="157"/>
      <c r="U776" s="157"/>
      <c r="V776" s="157"/>
      <c r="W776" s="135"/>
      <c r="X776" s="135"/>
      <c r="Y776" s="135"/>
      <c r="Z776" s="135"/>
      <c r="AA776" s="135"/>
      <c r="AB776" s="135"/>
      <c r="AC776" s="135"/>
      <c r="AD776" s="135"/>
      <c r="AE776" s="135"/>
      <c r="AF776" s="135"/>
      <c r="AG776" s="135"/>
    </row>
    <row r="777" spans="15:33" ht="15.75" customHeight="1" x14ac:dyDescent="0.3">
      <c r="O777" s="135"/>
      <c r="P777" s="157"/>
      <c r="Q777" s="157"/>
      <c r="R777" s="157"/>
      <c r="S777" s="157"/>
      <c r="T777" s="157"/>
      <c r="U777" s="157"/>
      <c r="V777" s="157"/>
      <c r="W777" s="135"/>
      <c r="X777" s="135"/>
      <c r="Y777" s="135"/>
      <c r="Z777" s="135"/>
      <c r="AA777" s="135"/>
      <c r="AB777" s="135"/>
      <c r="AC777" s="135"/>
      <c r="AD777" s="135"/>
      <c r="AE777" s="135"/>
      <c r="AF777" s="135"/>
      <c r="AG777" s="135"/>
    </row>
    <row r="778" spans="15:33" ht="15.75" customHeight="1" x14ac:dyDescent="0.3">
      <c r="O778" s="135"/>
      <c r="P778" s="157"/>
      <c r="Q778" s="157"/>
      <c r="R778" s="157"/>
      <c r="S778" s="157"/>
      <c r="T778" s="157"/>
      <c r="U778" s="157"/>
      <c r="V778" s="157"/>
      <c r="W778" s="135"/>
      <c r="X778" s="135"/>
      <c r="Y778" s="135"/>
      <c r="Z778" s="135"/>
      <c r="AA778" s="135"/>
      <c r="AB778" s="135"/>
      <c r="AC778" s="135"/>
      <c r="AD778" s="135"/>
      <c r="AE778" s="135"/>
      <c r="AF778" s="135"/>
      <c r="AG778" s="135"/>
    </row>
    <row r="779" spans="15:33" ht="15.75" customHeight="1" x14ac:dyDescent="0.3">
      <c r="O779" s="135"/>
      <c r="P779" s="157"/>
      <c r="Q779" s="157"/>
      <c r="R779" s="157"/>
      <c r="S779" s="157"/>
      <c r="T779" s="157"/>
      <c r="U779" s="157"/>
      <c r="V779" s="157"/>
      <c r="W779" s="135"/>
      <c r="X779" s="135"/>
      <c r="Y779" s="135"/>
      <c r="Z779" s="135"/>
      <c r="AA779" s="135"/>
      <c r="AB779" s="135"/>
      <c r="AC779" s="135"/>
      <c r="AD779" s="135"/>
      <c r="AE779" s="135"/>
      <c r="AF779" s="135"/>
      <c r="AG779" s="135"/>
    </row>
    <row r="780" spans="15:33" ht="15.75" customHeight="1" x14ac:dyDescent="0.3">
      <c r="O780" s="135"/>
      <c r="P780" s="157"/>
      <c r="Q780" s="157"/>
      <c r="R780" s="157"/>
      <c r="S780" s="157"/>
      <c r="T780" s="157"/>
      <c r="U780" s="157"/>
      <c r="V780" s="157"/>
      <c r="W780" s="135"/>
      <c r="X780" s="135"/>
      <c r="Y780" s="135"/>
      <c r="Z780" s="135"/>
      <c r="AA780" s="135"/>
      <c r="AB780" s="135"/>
      <c r="AC780" s="135"/>
      <c r="AD780" s="135"/>
      <c r="AE780" s="135"/>
      <c r="AF780" s="135"/>
      <c r="AG780" s="135"/>
    </row>
    <row r="781" spans="15:33" ht="15.75" customHeight="1" x14ac:dyDescent="0.3">
      <c r="O781" s="135"/>
      <c r="P781" s="157"/>
      <c r="Q781" s="157"/>
      <c r="R781" s="157"/>
      <c r="S781" s="157"/>
      <c r="T781" s="157"/>
      <c r="U781" s="157"/>
      <c r="V781" s="157"/>
      <c r="W781" s="135"/>
      <c r="X781" s="135"/>
      <c r="Y781" s="135"/>
      <c r="Z781" s="135"/>
      <c r="AA781" s="135"/>
      <c r="AB781" s="135"/>
      <c r="AC781" s="135"/>
      <c r="AD781" s="135"/>
      <c r="AE781" s="135"/>
      <c r="AF781" s="135"/>
      <c r="AG781" s="135"/>
    </row>
    <row r="782" spans="15:33" ht="15.75" customHeight="1" x14ac:dyDescent="0.3">
      <c r="O782" s="135"/>
      <c r="P782" s="157"/>
      <c r="Q782" s="157"/>
      <c r="R782" s="157"/>
      <c r="S782" s="157"/>
      <c r="T782" s="157"/>
      <c r="U782" s="157"/>
      <c r="V782" s="157"/>
      <c r="W782" s="135"/>
      <c r="X782" s="135"/>
      <c r="Y782" s="135"/>
      <c r="Z782" s="135"/>
      <c r="AA782" s="135"/>
      <c r="AB782" s="135"/>
      <c r="AC782" s="135"/>
      <c r="AD782" s="135"/>
      <c r="AE782" s="135"/>
      <c r="AF782" s="135"/>
      <c r="AG782" s="135"/>
    </row>
    <row r="783" spans="15:33" ht="15.75" customHeight="1" x14ac:dyDescent="0.3">
      <c r="O783" s="135"/>
      <c r="P783" s="157"/>
      <c r="Q783" s="157"/>
      <c r="R783" s="157"/>
      <c r="S783" s="157"/>
      <c r="T783" s="157"/>
      <c r="U783" s="157"/>
      <c r="V783" s="157"/>
      <c r="W783" s="135"/>
      <c r="X783" s="135"/>
      <c r="Y783" s="135"/>
      <c r="Z783" s="135"/>
      <c r="AA783" s="135"/>
      <c r="AB783" s="135"/>
      <c r="AC783" s="135"/>
      <c r="AD783" s="135"/>
      <c r="AE783" s="135"/>
      <c r="AF783" s="135"/>
      <c r="AG783" s="135"/>
    </row>
    <row r="784" spans="15:33" ht="15.75" customHeight="1" x14ac:dyDescent="0.3">
      <c r="O784" s="135"/>
      <c r="P784" s="157"/>
      <c r="Q784" s="157"/>
      <c r="R784" s="157"/>
      <c r="S784" s="157"/>
      <c r="T784" s="157"/>
      <c r="U784" s="157"/>
      <c r="V784" s="157"/>
      <c r="W784" s="135"/>
      <c r="X784" s="135"/>
      <c r="Y784" s="135"/>
      <c r="Z784" s="135"/>
      <c r="AA784" s="135"/>
      <c r="AB784" s="135"/>
      <c r="AC784" s="135"/>
      <c r="AD784" s="135"/>
      <c r="AE784" s="135"/>
      <c r="AF784" s="135"/>
      <c r="AG784" s="135"/>
    </row>
    <row r="785" spans="15:33" ht="15.75" customHeight="1" x14ac:dyDescent="0.3">
      <c r="O785" s="135"/>
      <c r="P785" s="157"/>
      <c r="Q785" s="157"/>
      <c r="R785" s="157"/>
      <c r="S785" s="157"/>
      <c r="T785" s="157"/>
      <c r="U785" s="157"/>
      <c r="V785" s="157"/>
      <c r="W785" s="135"/>
      <c r="X785" s="135"/>
      <c r="Y785" s="135"/>
      <c r="Z785" s="135"/>
      <c r="AA785" s="135"/>
      <c r="AB785" s="135"/>
      <c r="AC785" s="135"/>
      <c r="AD785" s="135"/>
      <c r="AE785" s="135"/>
      <c r="AF785" s="135"/>
      <c r="AG785" s="135"/>
    </row>
    <row r="786" spans="15:33" ht="15.75" customHeight="1" x14ac:dyDescent="0.3">
      <c r="O786" s="135"/>
      <c r="P786" s="157"/>
      <c r="Q786" s="157"/>
      <c r="R786" s="157"/>
      <c r="S786" s="157"/>
      <c r="T786" s="157"/>
      <c r="U786" s="157"/>
      <c r="V786" s="157"/>
      <c r="W786" s="135"/>
      <c r="X786" s="135"/>
      <c r="Y786" s="135"/>
      <c r="Z786" s="135"/>
      <c r="AA786" s="135"/>
      <c r="AB786" s="135"/>
      <c r="AC786" s="135"/>
      <c r="AD786" s="135"/>
      <c r="AE786" s="135"/>
      <c r="AF786" s="135"/>
      <c r="AG786" s="135"/>
    </row>
    <row r="787" spans="15:33" ht="15.75" customHeight="1" x14ac:dyDescent="0.3">
      <c r="O787" s="135"/>
      <c r="P787" s="157"/>
      <c r="Q787" s="157"/>
      <c r="R787" s="157"/>
      <c r="S787" s="157"/>
      <c r="T787" s="157"/>
      <c r="U787" s="157"/>
      <c r="V787" s="157"/>
      <c r="W787" s="135"/>
      <c r="X787" s="135"/>
      <c r="Y787" s="135"/>
      <c r="Z787" s="135"/>
      <c r="AA787" s="135"/>
      <c r="AB787" s="135"/>
      <c r="AC787" s="135"/>
      <c r="AD787" s="135"/>
      <c r="AE787" s="135"/>
      <c r="AF787" s="135"/>
      <c r="AG787" s="135"/>
    </row>
    <row r="788" spans="15:33" ht="15.75" customHeight="1" x14ac:dyDescent="0.3">
      <c r="O788" s="135"/>
      <c r="P788" s="157"/>
      <c r="Q788" s="157"/>
      <c r="R788" s="157"/>
      <c r="S788" s="157"/>
      <c r="T788" s="157"/>
      <c r="U788" s="157"/>
      <c r="V788" s="157"/>
      <c r="W788" s="135"/>
      <c r="X788" s="135"/>
      <c r="Y788" s="135"/>
      <c r="Z788" s="135"/>
      <c r="AA788" s="135"/>
      <c r="AB788" s="135"/>
      <c r="AC788" s="135"/>
      <c r="AD788" s="135"/>
      <c r="AE788" s="135"/>
      <c r="AF788" s="135"/>
      <c r="AG788" s="135"/>
    </row>
    <row r="789" spans="15:33" ht="15.75" customHeight="1" x14ac:dyDescent="0.3">
      <c r="O789" s="135"/>
      <c r="P789" s="157"/>
      <c r="Q789" s="157"/>
      <c r="R789" s="157"/>
      <c r="S789" s="157"/>
      <c r="T789" s="157"/>
      <c r="U789" s="157"/>
      <c r="V789" s="157"/>
      <c r="W789" s="135"/>
      <c r="X789" s="135"/>
      <c r="Y789" s="135"/>
      <c r="Z789" s="135"/>
      <c r="AA789" s="135"/>
      <c r="AB789" s="135"/>
      <c r="AC789" s="135"/>
      <c r="AD789" s="135"/>
      <c r="AE789" s="135"/>
      <c r="AF789" s="135"/>
      <c r="AG789" s="135"/>
    </row>
    <row r="790" spans="15:33" ht="15.75" customHeight="1" x14ac:dyDescent="0.3">
      <c r="O790" s="135"/>
      <c r="P790" s="157"/>
      <c r="Q790" s="157"/>
      <c r="R790" s="157"/>
      <c r="S790" s="157"/>
      <c r="T790" s="157"/>
      <c r="U790" s="157"/>
      <c r="V790" s="157"/>
      <c r="W790" s="135"/>
      <c r="X790" s="135"/>
      <c r="Y790" s="135"/>
      <c r="Z790" s="135"/>
      <c r="AA790" s="135"/>
      <c r="AB790" s="135"/>
      <c r="AC790" s="135"/>
      <c r="AD790" s="135"/>
      <c r="AE790" s="135"/>
      <c r="AF790" s="135"/>
      <c r="AG790" s="135"/>
    </row>
    <row r="791" spans="15:33" ht="15.75" customHeight="1" x14ac:dyDescent="0.3">
      <c r="O791" s="135"/>
      <c r="P791" s="157"/>
      <c r="Q791" s="157"/>
      <c r="R791" s="157"/>
      <c r="S791" s="157"/>
      <c r="T791" s="157"/>
      <c r="U791" s="157"/>
      <c r="V791" s="157"/>
      <c r="W791" s="135"/>
      <c r="X791" s="135"/>
      <c r="Y791" s="135"/>
      <c r="Z791" s="135"/>
      <c r="AA791" s="135"/>
      <c r="AB791" s="135"/>
      <c r="AC791" s="135"/>
      <c r="AD791" s="135"/>
      <c r="AE791" s="135"/>
      <c r="AF791" s="135"/>
      <c r="AG791" s="135"/>
    </row>
    <row r="792" spans="15:33" ht="15.75" customHeight="1" x14ac:dyDescent="0.3">
      <c r="O792" s="135"/>
      <c r="P792" s="157"/>
      <c r="Q792" s="157"/>
      <c r="R792" s="157"/>
      <c r="S792" s="157"/>
      <c r="T792" s="157"/>
      <c r="U792" s="157"/>
      <c r="V792" s="157"/>
      <c r="W792" s="135"/>
      <c r="X792" s="135"/>
      <c r="Y792" s="135"/>
      <c r="Z792" s="135"/>
      <c r="AA792" s="135"/>
      <c r="AB792" s="135"/>
      <c r="AC792" s="135"/>
      <c r="AD792" s="135"/>
      <c r="AE792" s="135"/>
      <c r="AF792" s="135"/>
      <c r="AG792" s="135"/>
    </row>
    <row r="793" spans="15:33" ht="15.75" customHeight="1" x14ac:dyDescent="0.3">
      <c r="O793" s="135"/>
      <c r="P793" s="157"/>
      <c r="Q793" s="157"/>
      <c r="R793" s="157"/>
      <c r="S793" s="157"/>
      <c r="T793" s="157"/>
      <c r="U793" s="157"/>
      <c r="V793" s="157"/>
      <c r="W793" s="135"/>
      <c r="X793" s="135"/>
      <c r="Y793" s="135"/>
      <c r="Z793" s="135"/>
      <c r="AA793" s="135"/>
      <c r="AB793" s="135"/>
      <c r="AC793" s="135"/>
      <c r="AD793" s="135"/>
      <c r="AE793" s="135"/>
      <c r="AF793" s="135"/>
      <c r="AG793" s="135"/>
    </row>
    <row r="794" spans="15:33" ht="15.75" customHeight="1" x14ac:dyDescent="0.3">
      <c r="O794" s="135"/>
      <c r="P794" s="157"/>
      <c r="Q794" s="157"/>
      <c r="R794" s="157"/>
      <c r="S794" s="157"/>
      <c r="T794" s="157"/>
      <c r="U794" s="157"/>
      <c r="V794" s="157"/>
      <c r="W794" s="135"/>
      <c r="X794" s="135"/>
      <c r="Y794" s="135"/>
      <c r="Z794" s="135"/>
      <c r="AA794" s="135"/>
      <c r="AB794" s="135"/>
      <c r="AC794" s="135"/>
      <c r="AD794" s="135"/>
      <c r="AE794" s="135"/>
      <c r="AF794" s="135"/>
      <c r="AG794" s="135"/>
    </row>
    <row r="795" spans="15:33" ht="15.75" customHeight="1" x14ac:dyDescent="0.3">
      <c r="O795" s="135"/>
      <c r="P795" s="157"/>
      <c r="Q795" s="157"/>
      <c r="R795" s="157"/>
      <c r="S795" s="157"/>
      <c r="T795" s="157"/>
      <c r="U795" s="157"/>
      <c r="V795" s="157"/>
      <c r="W795" s="135"/>
      <c r="X795" s="135"/>
      <c r="Y795" s="135"/>
      <c r="Z795" s="135"/>
      <c r="AA795" s="135"/>
      <c r="AB795" s="135"/>
      <c r="AC795" s="135"/>
      <c r="AD795" s="135"/>
      <c r="AE795" s="135"/>
      <c r="AF795" s="135"/>
      <c r="AG795" s="135"/>
    </row>
    <row r="796" spans="15:33" ht="15.75" customHeight="1" x14ac:dyDescent="0.3">
      <c r="O796" s="135"/>
      <c r="P796" s="157"/>
      <c r="Q796" s="157"/>
      <c r="R796" s="157"/>
      <c r="S796" s="157"/>
      <c r="T796" s="157"/>
      <c r="U796" s="157"/>
      <c r="V796" s="157"/>
      <c r="W796" s="135"/>
      <c r="X796" s="135"/>
      <c r="Y796" s="135"/>
      <c r="Z796" s="135"/>
      <c r="AA796" s="135"/>
      <c r="AB796" s="135"/>
      <c r="AC796" s="135"/>
      <c r="AD796" s="135"/>
      <c r="AE796" s="135"/>
      <c r="AF796" s="135"/>
      <c r="AG796" s="135"/>
    </row>
    <row r="797" spans="15:33" ht="15.75" customHeight="1" x14ac:dyDescent="0.3">
      <c r="O797" s="135"/>
      <c r="P797" s="157"/>
      <c r="Q797" s="157"/>
      <c r="R797" s="157"/>
      <c r="S797" s="157"/>
      <c r="T797" s="157"/>
      <c r="U797" s="157"/>
      <c r="V797" s="157"/>
      <c r="W797" s="135"/>
      <c r="X797" s="135"/>
      <c r="Y797" s="135"/>
      <c r="Z797" s="135"/>
      <c r="AA797" s="135"/>
      <c r="AB797" s="135"/>
      <c r="AC797" s="135"/>
      <c r="AD797" s="135"/>
      <c r="AE797" s="135"/>
      <c r="AF797" s="135"/>
      <c r="AG797" s="135"/>
    </row>
    <row r="798" spans="15:33" ht="15.75" customHeight="1" x14ac:dyDescent="0.3">
      <c r="O798" s="135"/>
      <c r="P798" s="157"/>
      <c r="Q798" s="157"/>
      <c r="R798" s="157"/>
      <c r="S798" s="157"/>
      <c r="T798" s="157"/>
      <c r="U798" s="157"/>
      <c r="V798" s="157"/>
      <c r="W798" s="135"/>
      <c r="X798" s="135"/>
      <c r="Y798" s="135"/>
      <c r="Z798" s="135"/>
      <c r="AA798" s="135"/>
      <c r="AB798" s="135"/>
      <c r="AC798" s="135"/>
      <c r="AD798" s="135"/>
      <c r="AE798" s="135"/>
      <c r="AF798" s="135"/>
      <c r="AG798" s="135"/>
    </row>
    <row r="799" spans="15:33" ht="15.75" customHeight="1" x14ac:dyDescent="0.3">
      <c r="O799" s="135"/>
      <c r="P799" s="157"/>
      <c r="Q799" s="157"/>
      <c r="R799" s="157"/>
      <c r="S799" s="157"/>
      <c r="T799" s="157"/>
      <c r="U799" s="157"/>
      <c r="V799" s="157"/>
      <c r="W799" s="135"/>
      <c r="X799" s="135"/>
      <c r="Y799" s="135"/>
      <c r="Z799" s="135"/>
      <c r="AA799" s="135"/>
      <c r="AB799" s="135"/>
      <c r="AC799" s="135"/>
      <c r="AD799" s="135"/>
      <c r="AE799" s="135"/>
      <c r="AF799" s="135"/>
      <c r="AG799" s="135"/>
    </row>
    <row r="800" spans="15:33" ht="15.75" customHeight="1" x14ac:dyDescent="0.3">
      <c r="O800" s="135"/>
      <c r="P800" s="157"/>
      <c r="Q800" s="157"/>
      <c r="R800" s="157"/>
      <c r="S800" s="157"/>
      <c r="T800" s="157"/>
      <c r="U800" s="157"/>
      <c r="V800" s="157"/>
      <c r="W800" s="135"/>
      <c r="X800" s="135"/>
      <c r="Y800" s="135"/>
      <c r="Z800" s="135"/>
      <c r="AA800" s="135"/>
      <c r="AB800" s="135"/>
      <c r="AC800" s="135"/>
      <c r="AD800" s="135"/>
      <c r="AE800" s="135"/>
      <c r="AF800" s="135"/>
      <c r="AG800" s="135"/>
    </row>
    <row r="801" spans="15:33" ht="15.75" customHeight="1" x14ac:dyDescent="0.3">
      <c r="O801" s="135"/>
      <c r="P801" s="157"/>
      <c r="Q801" s="157"/>
      <c r="R801" s="157"/>
      <c r="S801" s="157"/>
      <c r="T801" s="157"/>
      <c r="U801" s="157"/>
      <c r="V801" s="157"/>
      <c r="W801" s="135"/>
      <c r="X801" s="135"/>
      <c r="Y801" s="135"/>
      <c r="Z801" s="135"/>
      <c r="AA801" s="135"/>
      <c r="AB801" s="135"/>
      <c r="AC801" s="135"/>
      <c r="AD801" s="135"/>
      <c r="AE801" s="135"/>
      <c r="AF801" s="135"/>
      <c r="AG801" s="135"/>
    </row>
    <row r="802" spans="15:33" ht="15.75" customHeight="1" x14ac:dyDescent="0.3">
      <c r="O802" s="135"/>
      <c r="P802" s="157"/>
      <c r="Q802" s="157"/>
      <c r="R802" s="157"/>
      <c r="S802" s="157"/>
      <c r="T802" s="157"/>
      <c r="U802" s="157"/>
      <c r="V802" s="157"/>
      <c r="W802" s="135"/>
      <c r="X802" s="135"/>
      <c r="Y802" s="135"/>
      <c r="Z802" s="135"/>
      <c r="AA802" s="135"/>
      <c r="AB802" s="135"/>
      <c r="AC802" s="135"/>
      <c r="AD802" s="135"/>
      <c r="AE802" s="135"/>
      <c r="AF802" s="135"/>
      <c r="AG802" s="135"/>
    </row>
    <row r="803" spans="15:33" ht="15.75" customHeight="1" x14ac:dyDescent="0.3">
      <c r="O803" s="135"/>
      <c r="P803" s="157"/>
      <c r="Q803" s="157"/>
      <c r="R803" s="157"/>
      <c r="S803" s="157"/>
      <c r="T803" s="157"/>
      <c r="U803" s="157"/>
      <c r="V803" s="157"/>
      <c r="W803" s="135"/>
      <c r="X803" s="135"/>
      <c r="Y803" s="135"/>
      <c r="Z803" s="135"/>
      <c r="AA803" s="135"/>
      <c r="AB803" s="135"/>
      <c r="AC803" s="135"/>
      <c r="AD803" s="135"/>
      <c r="AE803" s="135"/>
      <c r="AF803" s="135"/>
      <c r="AG803" s="135"/>
    </row>
    <row r="804" spans="15:33" ht="15.75" customHeight="1" x14ac:dyDescent="0.3">
      <c r="O804" s="135"/>
      <c r="P804" s="157"/>
      <c r="Q804" s="157"/>
      <c r="R804" s="157"/>
      <c r="S804" s="157"/>
      <c r="T804" s="157"/>
      <c r="U804" s="157"/>
      <c r="V804" s="157"/>
      <c r="W804" s="135"/>
      <c r="X804" s="135"/>
      <c r="Y804" s="135"/>
      <c r="Z804" s="135"/>
      <c r="AA804" s="135"/>
      <c r="AB804" s="135"/>
      <c r="AC804" s="135"/>
      <c r="AD804" s="135"/>
      <c r="AE804" s="135"/>
      <c r="AF804" s="135"/>
      <c r="AG804" s="135"/>
    </row>
    <row r="805" spans="15:33" ht="15.75" customHeight="1" x14ac:dyDescent="0.3">
      <c r="O805" s="135"/>
      <c r="P805" s="157"/>
      <c r="Q805" s="157"/>
      <c r="R805" s="157"/>
      <c r="S805" s="157"/>
      <c r="T805" s="157"/>
      <c r="U805" s="157"/>
      <c r="V805" s="157"/>
      <c r="W805" s="135"/>
      <c r="X805" s="135"/>
      <c r="Y805" s="135"/>
      <c r="Z805" s="135"/>
      <c r="AA805" s="135"/>
      <c r="AB805" s="135"/>
      <c r="AC805" s="135"/>
      <c r="AD805" s="135"/>
      <c r="AE805" s="135"/>
      <c r="AF805" s="135"/>
      <c r="AG805" s="135"/>
    </row>
    <row r="806" spans="15:33" ht="15.75" customHeight="1" x14ac:dyDescent="0.3">
      <c r="O806" s="135"/>
      <c r="P806" s="157"/>
      <c r="Q806" s="157"/>
      <c r="R806" s="157"/>
      <c r="S806" s="157"/>
      <c r="T806" s="157"/>
      <c r="U806" s="157"/>
      <c r="V806" s="157"/>
      <c r="W806" s="135"/>
      <c r="X806" s="135"/>
      <c r="Y806" s="135"/>
      <c r="Z806" s="135"/>
      <c r="AA806" s="135"/>
      <c r="AB806" s="135"/>
      <c r="AC806" s="135"/>
      <c r="AD806" s="135"/>
      <c r="AE806" s="135"/>
      <c r="AF806" s="135"/>
      <c r="AG806" s="135"/>
    </row>
    <row r="807" spans="15:33" ht="15.75" customHeight="1" x14ac:dyDescent="0.3">
      <c r="O807" s="135"/>
      <c r="P807" s="157"/>
      <c r="Q807" s="157"/>
      <c r="R807" s="157"/>
      <c r="S807" s="157"/>
      <c r="T807" s="157"/>
      <c r="U807" s="157"/>
      <c r="V807" s="157"/>
      <c r="W807" s="135"/>
      <c r="X807" s="135"/>
      <c r="Y807" s="135"/>
      <c r="Z807" s="135"/>
      <c r="AA807" s="135"/>
      <c r="AB807" s="135"/>
      <c r="AC807" s="135"/>
      <c r="AD807" s="135"/>
      <c r="AE807" s="135"/>
      <c r="AF807" s="135"/>
      <c r="AG807" s="135"/>
    </row>
    <row r="808" spans="15:33" ht="15.75" customHeight="1" x14ac:dyDescent="0.3">
      <c r="O808" s="135"/>
      <c r="P808" s="157"/>
      <c r="Q808" s="157"/>
      <c r="R808" s="157"/>
      <c r="S808" s="157"/>
      <c r="T808" s="157"/>
      <c r="U808" s="157"/>
      <c r="V808" s="157"/>
      <c r="W808" s="135"/>
      <c r="X808" s="135"/>
      <c r="Y808" s="135"/>
      <c r="Z808" s="135"/>
      <c r="AA808" s="135"/>
      <c r="AB808" s="135"/>
      <c r="AC808" s="135"/>
      <c r="AD808" s="135"/>
      <c r="AE808" s="135"/>
      <c r="AF808" s="135"/>
      <c r="AG808" s="135"/>
    </row>
    <row r="809" spans="15:33" ht="15.75" customHeight="1" x14ac:dyDescent="0.3">
      <c r="O809" s="135"/>
      <c r="P809" s="157"/>
      <c r="Q809" s="157"/>
      <c r="R809" s="157"/>
      <c r="S809" s="157"/>
      <c r="T809" s="157"/>
      <c r="U809" s="157"/>
      <c r="V809" s="157"/>
      <c r="W809" s="135"/>
      <c r="X809" s="135"/>
      <c r="Y809" s="135"/>
      <c r="Z809" s="135"/>
      <c r="AA809" s="135"/>
      <c r="AB809" s="135"/>
      <c r="AC809" s="135"/>
      <c r="AD809" s="135"/>
      <c r="AE809" s="135"/>
      <c r="AF809" s="135"/>
      <c r="AG809" s="135"/>
    </row>
    <row r="810" spans="15:33" ht="15.75" customHeight="1" x14ac:dyDescent="0.3">
      <c r="O810" s="135"/>
      <c r="P810" s="157"/>
      <c r="Q810" s="157"/>
      <c r="R810" s="157"/>
      <c r="S810" s="157"/>
      <c r="T810" s="157"/>
      <c r="U810" s="157"/>
      <c r="V810" s="157"/>
      <c r="W810" s="135"/>
      <c r="X810" s="135"/>
      <c r="Y810" s="135"/>
      <c r="Z810" s="135"/>
      <c r="AA810" s="135"/>
      <c r="AB810" s="135"/>
      <c r="AC810" s="135"/>
      <c r="AD810" s="135"/>
      <c r="AE810" s="135"/>
      <c r="AF810" s="135"/>
      <c r="AG810" s="135"/>
    </row>
    <row r="811" spans="15:33" ht="15.75" customHeight="1" x14ac:dyDescent="0.3">
      <c r="O811" s="135"/>
      <c r="P811" s="157"/>
      <c r="Q811" s="157"/>
      <c r="R811" s="157"/>
      <c r="S811" s="157"/>
      <c r="T811" s="157"/>
      <c r="U811" s="157"/>
      <c r="V811" s="157"/>
      <c r="W811" s="135"/>
      <c r="X811" s="135"/>
      <c r="Y811" s="135"/>
      <c r="Z811" s="135"/>
      <c r="AA811" s="135"/>
      <c r="AB811" s="135"/>
      <c r="AC811" s="135"/>
      <c r="AD811" s="135"/>
      <c r="AE811" s="135"/>
      <c r="AF811" s="135"/>
      <c r="AG811" s="135"/>
    </row>
    <row r="812" spans="15:33" ht="15.75" customHeight="1" x14ac:dyDescent="0.3">
      <c r="O812" s="135"/>
      <c r="P812" s="157"/>
      <c r="Q812" s="157"/>
      <c r="R812" s="157"/>
      <c r="S812" s="157"/>
      <c r="T812" s="157"/>
      <c r="U812" s="157"/>
      <c r="V812" s="157"/>
      <c r="W812" s="135"/>
      <c r="X812" s="135"/>
      <c r="Y812" s="135"/>
      <c r="Z812" s="135"/>
      <c r="AA812" s="135"/>
      <c r="AB812" s="135"/>
      <c r="AC812" s="135"/>
      <c r="AD812" s="135"/>
      <c r="AE812" s="135"/>
      <c r="AF812" s="135"/>
      <c r="AG812" s="135"/>
    </row>
    <row r="813" spans="15:33" ht="15.75" customHeight="1" x14ac:dyDescent="0.3">
      <c r="O813" s="135"/>
      <c r="P813" s="157"/>
      <c r="Q813" s="157"/>
      <c r="R813" s="157"/>
      <c r="S813" s="157"/>
      <c r="T813" s="157"/>
      <c r="U813" s="157"/>
      <c r="V813" s="157"/>
      <c r="W813" s="135"/>
      <c r="X813" s="135"/>
      <c r="Y813" s="135"/>
      <c r="Z813" s="135"/>
      <c r="AA813" s="135"/>
      <c r="AB813" s="135"/>
      <c r="AC813" s="135"/>
      <c r="AD813" s="135"/>
      <c r="AE813" s="135"/>
      <c r="AF813" s="135"/>
      <c r="AG813" s="135"/>
    </row>
    <row r="814" spans="15:33" ht="15.75" customHeight="1" x14ac:dyDescent="0.3">
      <c r="O814" s="135"/>
      <c r="P814" s="157"/>
      <c r="Q814" s="157"/>
      <c r="R814" s="157"/>
      <c r="S814" s="157"/>
      <c r="T814" s="157"/>
      <c r="U814" s="157"/>
      <c r="V814" s="157"/>
      <c r="W814" s="135"/>
      <c r="X814" s="135"/>
      <c r="Y814" s="135"/>
      <c r="Z814" s="135"/>
      <c r="AA814" s="135"/>
      <c r="AB814" s="135"/>
      <c r="AC814" s="135"/>
      <c r="AD814" s="135"/>
      <c r="AE814" s="135"/>
      <c r="AF814" s="135"/>
      <c r="AG814" s="135"/>
    </row>
    <row r="815" spans="15:33" ht="15.75" customHeight="1" x14ac:dyDescent="0.3">
      <c r="O815" s="135"/>
      <c r="P815" s="157"/>
      <c r="Q815" s="157"/>
      <c r="R815" s="157"/>
      <c r="S815" s="157"/>
      <c r="T815" s="157"/>
      <c r="U815" s="157"/>
      <c r="V815" s="157"/>
      <c r="W815" s="135"/>
      <c r="X815" s="135"/>
      <c r="Y815" s="135"/>
      <c r="Z815" s="135"/>
      <c r="AA815" s="135"/>
      <c r="AB815" s="135"/>
      <c r="AC815" s="135"/>
      <c r="AD815" s="135"/>
      <c r="AE815" s="135"/>
      <c r="AF815" s="135"/>
      <c r="AG815" s="135"/>
    </row>
    <row r="816" spans="15:33" ht="15.75" customHeight="1" x14ac:dyDescent="0.3">
      <c r="O816" s="135"/>
      <c r="P816" s="157"/>
      <c r="Q816" s="157"/>
      <c r="R816" s="157"/>
      <c r="S816" s="157"/>
      <c r="T816" s="157"/>
      <c r="U816" s="157"/>
      <c r="V816" s="157"/>
      <c r="W816" s="135"/>
      <c r="X816" s="135"/>
      <c r="Y816" s="135"/>
      <c r="Z816" s="135"/>
      <c r="AA816" s="135"/>
      <c r="AB816" s="135"/>
      <c r="AC816" s="135"/>
      <c r="AD816" s="135"/>
      <c r="AE816" s="135"/>
      <c r="AF816" s="135"/>
      <c r="AG816" s="135"/>
    </row>
    <row r="817" spans="15:33" ht="15.75" customHeight="1" x14ac:dyDescent="0.3">
      <c r="O817" s="135"/>
      <c r="P817" s="157"/>
      <c r="Q817" s="157"/>
      <c r="R817" s="157"/>
      <c r="S817" s="157"/>
      <c r="T817" s="157"/>
      <c r="U817" s="157"/>
      <c r="V817" s="157"/>
      <c r="W817" s="135"/>
      <c r="X817" s="135"/>
      <c r="Y817" s="135"/>
      <c r="Z817" s="135"/>
      <c r="AA817" s="135"/>
      <c r="AB817" s="135"/>
      <c r="AC817" s="135"/>
      <c r="AD817" s="135"/>
      <c r="AE817" s="135"/>
      <c r="AF817" s="135"/>
      <c r="AG817" s="135"/>
    </row>
    <row r="818" spans="15:33" ht="15.75" customHeight="1" x14ac:dyDescent="0.3">
      <c r="O818" s="135"/>
      <c r="P818" s="157"/>
      <c r="Q818" s="157"/>
      <c r="R818" s="157"/>
      <c r="S818" s="157"/>
      <c r="T818" s="157"/>
      <c r="U818" s="157"/>
      <c r="V818" s="157"/>
      <c r="W818" s="135"/>
      <c r="X818" s="135"/>
      <c r="Y818" s="135"/>
      <c r="Z818" s="135"/>
      <c r="AA818" s="135"/>
      <c r="AB818" s="135"/>
      <c r="AC818" s="135"/>
      <c r="AD818" s="135"/>
      <c r="AE818" s="135"/>
      <c r="AF818" s="135"/>
      <c r="AG818" s="135"/>
    </row>
    <row r="819" spans="15:33" ht="15.75" customHeight="1" x14ac:dyDescent="0.3">
      <c r="O819" s="135"/>
      <c r="P819" s="157"/>
      <c r="Q819" s="157"/>
      <c r="R819" s="157"/>
      <c r="S819" s="157"/>
      <c r="T819" s="157"/>
      <c r="U819" s="157"/>
      <c r="V819" s="157"/>
      <c r="W819" s="135"/>
      <c r="X819" s="135"/>
      <c r="Y819" s="135"/>
      <c r="Z819" s="135"/>
      <c r="AA819" s="135"/>
      <c r="AB819" s="135"/>
      <c r="AC819" s="135"/>
      <c r="AD819" s="135"/>
      <c r="AE819" s="135"/>
      <c r="AF819" s="135"/>
      <c r="AG819" s="135"/>
    </row>
    <row r="820" spans="15:33" ht="15.75" customHeight="1" x14ac:dyDescent="0.3">
      <c r="O820" s="135"/>
      <c r="P820" s="157"/>
      <c r="Q820" s="157"/>
      <c r="R820" s="157"/>
      <c r="S820" s="157"/>
      <c r="T820" s="157"/>
      <c r="U820" s="157"/>
      <c r="V820" s="157"/>
      <c r="W820" s="135"/>
      <c r="X820" s="135"/>
      <c r="Y820" s="135"/>
      <c r="Z820" s="135"/>
      <c r="AA820" s="135"/>
      <c r="AB820" s="135"/>
      <c r="AC820" s="135"/>
      <c r="AD820" s="135"/>
      <c r="AE820" s="135"/>
      <c r="AF820" s="135"/>
      <c r="AG820" s="135"/>
    </row>
    <row r="821" spans="15:33" ht="15.75" customHeight="1" x14ac:dyDescent="0.3">
      <c r="O821" s="135"/>
      <c r="P821" s="157"/>
      <c r="Q821" s="157"/>
      <c r="R821" s="157"/>
      <c r="S821" s="157"/>
      <c r="T821" s="157"/>
      <c r="U821" s="157"/>
      <c r="V821" s="157"/>
      <c r="W821" s="135"/>
      <c r="X821" s="135"/>
      <c r="Y821" s="135"/>
      <c r="Z821" s="135"/>
      <c r="AA821" s="135"/>
      <c r="AB821" s="135"/>
      <c r="AC821" s="135"/>
      <c r="AD821" s="135"/>
      <c r="AE821" s="135"/>
      <c r="AF821" s="135"/>
      <c r="AG821" s="135"/>
    </row>
    <row r="822" spans="15:33" ht="15.75" customHeight="1" x14ac:dyDescent="0.3">
      <c r="O822" s="135"/>
      <c r="P822" s="157"/>
      <c r="Q822" s="157"/>
      <c r="R822" s="157"/>
      <c r="S822" s="157"/>
      <c r="T822" s="157"/>
      <c r="U822" s="157"/>
      <c r="V822" s="157"/>
      <c r="W822" s="135"/>
      <c r="X822" s="135"/>
      <c r="Y822" s="135"/>
      <c r="Z822" s="135"/>
      <c r="AA822" s="135"/>
      <c r="AB822" s="135"/>
      <c r="AC822" s="135"/>
      <c r="AD822" s="135"/>
      <c r="AE822" s="135"/>
      <c r="AF822" s="135"/>
      <c r="AG822" s="135"/>
    </row>
    <row r="823" spans="15:33" ht="15.75" customHeight="1" x14ac:dyDescent="0.3">
      <c r="O823" s="135"/>
      <c r="P823" s="157"/>
      <c r="Q823" s="157"/>
      <c r="R823" s="157"/>
      <c r="S823" s="157"/>
      <c r="T823" s="157"/>
      <c r="U823" s="157"/>
      <c r="V823" s="157"/>
      <c r="W823" s="135"/>
      <c r="X823" s="135"/>
      <c r="Y823" s="135"/>
      <c r="Z823" s="135"/>
      <c r="AA823" s="135"/>
      <c r="AB823" s="135"/>
      <c r="AC823" s="135"/>
      <c r="AD823" s="135"/>
      <c r="AE823" s="135"/>
      <c r="AF823" s="135"/>
      <c r="AG823" s="135"/>
    </row>
    <row r="824" spans="15:33" ht="15.75" customHeight="1" x14ac:dyDescent="0.3">
      <c r="O824" s="135"/>
      <c r="P824" s="157"/>
      <c r="Q824" s="157"/>
      <c r="R824" s="157"/>
      <c r="S824" s="157"/>
      <c r="T824" s="157"/>
      <c r="U824" s="157"/>
      <c r="V824" s="157"/>
      <c r="W824" s="135"/>
      <c r="X824" s="135"/>
      <c r="Y824" s="135"/>
      <c r="Z824" s="135"/>
      <c r="AA824" s="135"/>
      <c r="AB824" s="135"/>
      <c r="AC824" s="135"/>
      <c r="AD824" s="135"/>
      <c r="AE824" s="135"/>
      <c r="AF824" s="135"/>
      <c r="AG824" s="135"/>
    </row>
    <row r="825" spans="15:33" ht="15.75" customHeight="1" x14ac:dyDescent="0.3">
      <c r="O825" s="135"/>
      <c r="P825" s="157"/>
      <c r="Q825" s="157"/>
      <c r="R825" s="157"/>
      <c r="S825" s="157"/>
      <c r="T825" s="157"/>
      <c r="U825" s="157"/>
      <c r="V825" s="157"/>
      <c r="W825" s="135"/>
      <c r="X825" s="135"/>
      <c r="Y825" s="135"/>
      <c r="Z825" s="135"/>
      <c r="AA825" s="135"/>
      <c r="AB825" s="135"/>
      <c r="AC825" s="135"/>
      <c r="AD825" s="135"/>
      <c r="AE825" s="135"/>
      <c r="AF825" s="135"/>
      <c r="AG825" s="135"/>
    </row>
    <row r="826" spans="15:33" ht="15.75" customHeight="1" x14ac:dyDescent="0.3">
      <c r="O826" s="135"/>
      <c r="P826" s="157"/>
      <c r="Q826" s="157"/>
      <c r="R826" s="157"/>
      <c r="S826" s="157"/>
      <c r="T826" s="157"/>
      <c r="U826" s="157"/>
      <c r="V826" s="157"/>
      <c r="W826" s="135"/>
      <c r="X826" s="135"/>
      <c r="Y826" s="135"/>
      <c r="Z826" s="135"/>
      <c r="AA826" s="135"/>
      <c r="AB826" s="135"/>
      <c r="AC826" s="135"/>
      <c r="AD826" s="135"/>
      <c r="AE826" s="135"/>
      <c r="AF826" s="135"/>
      <c r="AG826" s="135"/>
    </row>
    <row r="827" spans="15:33" ht="15.75" customHeight="1" x14ac:dyDescent="0.3">
      <c r="O827" s="135"/>
      <c r="P827" s="157"/>
      <c r="Q827" s="157"/>
      <c r="R827" s="157"/>
      <c r="S827" s="157"/>
      <c r="T827" s="157"/>
      <c r="U827" s="157"/>
      <c r="V827" s="157"/>
      <c r="W827" s="135"/>
      <c r="X827" s="135"/>
      <c r="Y827" s="135"/>
      <c r="Z827" s="135"/>
      <c r="AA827" s="135"/>
      <c r="AB827" s="135"/>
      <c r="AC827" s="135"/>
      <c r="AD827" s="135"/>
      <c r="AE827" s="135"/>
      <c r="AF827" s="135"/>
      <c r="AG827" s="135"/>
    </row>
    <row r="828" spans="15:33" ht="15.75" customHeight="1" x14ac:dyDescent="0.3">
      <c r="O828" s="135"/>
      <c r="P828" s="157"/>
      <c r="Q828" s="157"/>
      <c r="R828" s="157"/>
      <c r="S828" s="157"/>
      <c r="T828" s="157"/>
      <c r="U828" s="157"/>
      <c r="V828" s="157"/>
      <c r="W828" s="135"/>
      <c r="X828" s="135"/>
      <c r="Y828" s="135"/>
      <c r="Z828" s="135"/>
      <c r="AA828" s="135"/>
      <c r="AB828" s="135"/>
      <c r="AC828" s="135"/>
      <c r="AD828" s="135"/>
      <c r="AE828" s="135"/>
      <c r="AF828" s="135"/>
      <c r="AG828" s="135"/>
    </row>
    <row r="829" spans="15:33" ht="15.75" customHeight="1" x14ac:dyDescent="0.3">
      <c r="O829" s="135"/>
      <c r="P829" s="157"/>
      <c r="Q829" s="157"/>
      <c r="R829" s="157"/>
      <c r="S829" s="157"/>
      <c r="T829" s="157"/>
      <c r="U829" s="157"/>
      <c r="V829" s="157"/>
      <c r="W829" s="135"/>
      <c r="X829" s="135"/>
      <c r="Y829" s="135"/>
      <c r="Z829" s="135"/>
      <c r="AA829" s="135"/>
      <c r="AB829" s="135"/>
      <c r="AC829" s="135"/>
      <c r="AD829" s="135"/>
      <c r="AE829" s="135"/>
      <c r="AF829" s="135"/>
      <c r="AG829" s="135"/>
    </row>
    <row r="830" spans="15:33" ht="15.75" customHeight="1" x14ac:dyDescent="0.3">
      <c r="O830" s="135"/>
      <c r="P830" s="157"/>
      <c r="Q830" s="157"/>
      <c r="R830" s="157"/>
      <c r="S830" s="157"/>
      <c r="T830" s="157"/>
      <c r="U830" s="157"/>
      <c r="V830" s="157"/>
      <c r="W830" s="135"/>
      <c r="X830" s="135"/>
      <c r="Y830" s="135"/>
      <c r="Z830" s="135"/>
      <c r="AA830" s="135"/>
      <c r="AB830" s="135"/>
      <c r="AC830" s="135"/>
      <c r="AD830" s="135"/>
      <c r="AE830" s="135"/>
      <c r="AF830" s="135"/>
      <c r="AG830" s="135"/>
    </row>
    <row r="831" spans="15:33" ht="15.75" customHeight="1" x14ac:dyDescent="0.3">
      <c r="O831" s="135"/>
      <c r="P831" s="157"/>
      <c r="Q831" s="157"/>
      <c r="R831" s="157"/>
      <c r="S831" s="157"/>
      <c r="T831" s="157"/>
      <c r="U831" s="157"/>
      <c r="V831" s="157"/>
      <c r="W831" s="135"/>
      <c r="X831" s="135"/>
      <c r="Y831" s="135"/>
      <c r="Z831" s="135"/>
      <c r="AA831" s="135"/>
      <c r="AB831" s="135"/>
      <c r="AC831" s="135"/>
      <c r="AD831" s="135"/>
      <c r="AE831" s="135"/>
      <c r="AF831" s="135"/>
      <c r="AG831" s="135"/>
    </row>
    <row r="832" spans="15:33" ht="15.75" customHeight="1" x14ac:dyDescent="0.3">
      <c r="O832" s="135"/>
      <c r="P832" s="157"/>
      <c r="Q832" s="157"/>
      <c r="R832" s="157"/>
      <c r="S832" s="157"/>
      <c r="T832" s="157"/>
      <c r="U832" s="157"/>
      <c r="V832" s="157"/>
      <c r="W832" s="135"/>
      <c r="X832" s="135"/>
      <c r="Y832" s="135"/>
      <c r="Z832" s="135"/>
      <c r="AA832" s="135"/>
      <c r="AB832" s="135"/>
      <c r="AC832" s="135"/>
      <c r="AD832" s="135"/>
      <c r="AE832" s="135"/>
      <c r="AF832" s="135"/>
      <c r="AG832" s="135"/>
    </row>
    <row r="833" spans="15:33" ht="15.75" customHeight="1" x14ac:dyDescent="0.3">
      <c r="O833" s="135"/>
      <c r="P833" s="157"/>
      <c r="Q833" s="157"/>
      <c r="R833" s="157"/>
      <c r="S833" s="157"/>
      <c r="T833" s="157"/>
      <c r="U833" s="157"/>
      <c r="V833" s="157"/>
      <c r="W833" s="135"/>
      <c r="X833" s="135"/>
      <c r="Y833" s="135"/>
      <c r="Z833" s="135"/>
      <c r="AA833" s="135"/>
      <c r="AB833" s="135"/>
      <c r="AC833" s="135"/>
      <c r="AD833" s="135"/>
      <c r="AE833" s="135"/>
      <c r="AF833" s="135"/>
      <c r="AG833" s="135"/>
    </row>
    <row r="834" spans="15:33" ht="15.75" customHeight="1" x14ac:dyDescent="0.3">
      <c r="O834" s="135"/>
      <c r="P834" s="157"/>
      <c r="Q834" s="157"/>
      <c r="R834" s="157"/>
      <c r="S834" s="157"/>
      <c r="T834" s="157"/>
      <c r="U834" s="157"/>
      <c r="V834" s="157"/>
      <c r="W834" s="135"/>
      <c r="X834" s="135"/>
      <c r="Y834" s="135"/>
      <c r="Z834" s="135"/>
      <c r="AA834" s="135"/>
      <c r="AB834" s="135"/>
      <c r="AC834" s="135"/>
      <c r="AD834" s="135"/>
      <c r="AE834" s="135"/>
      <c r="AF834" s="135"/>
      <c r="AG834" s="135"/>
    </row>
    <row r="835" spans="15:33" ht="15.75" customHeight="1" x14ac:dyDescent="0.3">
      <c r="O835" s="135"/>
      <c r="P835" s="157"/>
      <c r="Q835" s="157"/>
      <c r="R835" s="157"/>
      <c r="S835" s="157"/>
      <c r="T835" s="157"/>
      <c r="U835" s="157"/>
      <c r="V835" s="157"/>
      <c r="W835" s="135"/>
      <c r="X835" s="135"/>
      <c r="Y835" s="135"/>
      <c r="Z835" s="135"/>
      <c r="AA835" s="135"/>
      <c r="AB835" s="135"/>
      <c r="AC835" s="135"/>
      <c r="AD835" s="135"/>
      <c r="AE835" s="135"/>
      <c r="AF835" s="135"/>
      <c r="AG835" s="135"/>
    </row>
    <row r="836" spans="15:33" ht="15.75" customHeight="1" x14ac:dyDescent="0.3">
      <c r="O836" s="135"/>
      <c r="P836" s="157"/>
      <c r="Q836" s="157"/>
      <c r="R836" s="157"/>
      <c r="S836" s="157"/>
      <c r="T836" s="157"/>
      <c r="U836" s="157"/>
      <c r="V836" s="157"/>
      <c r="W836" s="135"/>
      <c r="X836" s="135"/>
      <c r="Y836" s="135"/>
      <c r="Z836" s="135"/>
      <c r="AA836" s="135"/>
      <c r="AB836" s="135"/>
      <c r="AC836" s="135"/>
      <c r="AD836" s="135"/>
      <c r="AE836" s="135"/>
      <c r="AF836" s="135"/>
      <c r="AG836" s="135"/>
    </row>
    <row r="837" spans="15:33" ht="15.75" customHeight="1" x14ac:dyDescent="0.3">
      <c r="O837" s="135"/>
      <c r="P837" s="157"/>
      <c r="Q837" s="157"/>
      <c r="R837" s="157"/>
      <c r="S837" s="157"/>
      <c r="T837" s="157"/>
      <c r="U837" s="157"/>
      <c r="V837" s="157"/>
      <c r="W837" s="135"/>
      <c r="X837" s="135"/>
      <c r="Y837" s="135"/>
      <c r="Z837" s="135"/>
      <c r="AA837" s="135"/>
      <c r="AB837" s="135"/>
      <c r="AC837" s="135"/>
      <c r="AD837" s="135"/>
      <c r="AE837" s="135"/>
      <c r="AF837" s="135"/>
      <c r="AG837" s="135"/>
    </row>
    <row r="838" spans="15:33" ht="15.75" customHeight="1" x14ac:dyDescent="0.3">
      <c r="O838" s="135"/>
      <c r="P838" s="157"/>
      <c r="Q838" s="157"/>
      <c r="R838" s="157"/>
      <c r="S838" s="157"/>
      <c r="T838" s="157"/>
      <c r="U838" s="157"/>
      <c r="V838" s="157"/>
      <c r="W838" s="135"/>
      <c r="X838" s="135"/>
      <c r="Y838" s="135"/>
      <c r="Z838" s="135"/>
      <c r="AA838" s="135"/>
      <c r="AB838" s="135"/>
      <c r="AC838" s="135"/>
      <c r="AD838" s="135"/>
      <c r="AE838" s="135"/>
      <c r="AF838" s="135"/>
      <c r="AG838" s="135"/>
    </row>
    <row r="839" spans="15:33" ht="15.75" customHeight="1" x14ac:dyDescent="0.3">
      <c r="O839" s="135"/>
      <c r="P839" s="157"/>
      <c r="Q839" s="157"/>
      <c r="R839" s="157"/>
      <c r="S839" s="157"/>
      <c r="T839" s="157"/>
      <c r="U839" s="157"/>
      <c r="V839" s="157"/>
      <c r="W839" s="135"/>
      <c r="X839" s="135"/>
      <c r="Y839" s="135"/>
      <c r="Z839" s="135"/>
      <c r="AA839" s="135"/>
      <c r="AB839" s="135"/>
      <c r="AC839" s="135"/>
      <c r="AD839" s="135"/>
      <c r="AE839" s="135"/>
      <c r="AF839" s="135"/>
      <c r="AG839" s="135"/>
    </row>
    <row r="840" spans="15:33" ht="15.75" customHeight="1" x14ac:dyDescent="0.3">
      <c r="O840" s="135"/>
      <c r="P840" s="157"/>
      <c r="Q840" s="157"/>
      <c r="R840" s="157"/>
      <c r="S840" s="157"/>
      <c r="T840" s="157"/>
      <c r="U840" s="157"/>
      <c r="V840" s="157"/>
      <c r="W840" s="135"/>
      <c r="X840" s="135"/>
      <c r="Y840" s="135"/>
      <c r="Z840" s="135"/>
      <c r="AA840" s="135"/>
      <c r="AB840" s="135"/>
      <c r="AC840" s="135"/>
      <c r="AD840" s="135"/>
      <c r="AE840" s="135"/>
      <c r="AF840" s="135"/>
      <c r="AG840" s="135"/>
    </row>
    <row r="841" spans="15:33" ht="15.75" customHeight="1" x14ac:dyDescent="0.3">
      <c r="O841" s="135"/>
      <c r="P841" s="157"/>
      <c r="Q841" s="157"/>
      <c r="R841" s="157"/>
      <c r="S841" s="157"/>
      <c r="T841" s="157"/>
      <c r="U841" s="157"/>
      <c r="V841" s="157"/>
      <c r="W841" s="135"/>
      <c r="X841" s="135"/>
      <c r="Y841" s="135"/>
      <c r="Z841" s="135"/>
      <c r="AA841" s="135"/>
      <c r="AB841" s="135"/>
      <c r="AC841" s="135"/>
      <c r="AD841" s="135"/>
      <c r="AE841" s="135"/>
      <c r="AF841" s="135"/>
      <c r="AG841" s="135"/>
    </row>
    <row r="842" spans="15:33" ht="15.75" customHeight="1" x14ac:dyDescent="0.3">
      <c r="O842" s="135"/>
      <c r="P842" s="157"/>
      <c r="Q842" s="157"/>
      <c r="R842" s="157"/>
      <c r="S842" s="157"/>
      <c r="T842" s="157"/>
      <c r="U842" s="157"/>
      <c r="V842" s="157"/>
      <c r="W842" s="135"/>
      <c r="X842" s="135"/>
      <c r="Y842" s="135"/>
      <c r="Z842" s="135"/>
      <c r="AA842" s="135"/>
      <c r="AB842" s="135"/>
      <c r="AC842" s="135"/>
      <c r="AD842" s="135"/>
      <c r="AE842" s="135"/>
      <c r="AF842" s="135"/>
      <c r="AG842" s="135"/>
    </row>
    <row r="843" spans="15:33" ht="15.75" customHeight="1" x14ac:dyDescent="0.3">
      <c r="O843" s="135"/>
      <c r="P843" s="157"/>
      <c r="Q843" s="157"/>
      <c r="R843" s="157"/>
      <c r="S843" s="157"/>
      <c r="T843" s="157"/>
      <c r="U843" s="157"/>
      <c r="V843" s="157"/>
      <c r="W843" s="135"/>
      <c r="X843" s="135"/>
      <c r="Y843" s="135"/>
      <c r="Z843" s="135"/>
      <c r="AA843" s="135"/>
      <c r="AB843" s="135"/>
      <c r="AC843" s="135"/>
      <c r="AD843" s="135"/>
      <c r="AE843" s="135"/>
      <c r="AF843" s="135"/>
      <c r="AG843" s="135"/>
    </row>
    <row r="844" spans="15:33" ht="15.75" customHeight="1" x14ac:dyDescent="0.3">
      <c r="O844" s="135"/>
      <c r="P844" s="157"/>
      <c r="Q844" s="157"/>
      <c r="R844" s="157"/>
      <c r="S844" s="157"/>
      <c r="T844" s="157"/>
      <c r="U844" s="157"/>
      <c r="V844" s="157"/>
      <c r="W844" s="135"/>
      <c r="X844" s="135"/>
      <c r="Y844" s="135"/>
      <c r="Z844" s="135"/>
      <c r="AA844" s="135"/>
      <c r="AB844" s="135"/>
      <c r="AC844" s="135"/>
      <c r="AD844" s="135"/>
      <c r="AE844" s="135"/>
      <c r="AF844" s="135"/>
      <c r="AG844" s="135"/>
    </row>
    <row r="845" spans="15:33" ht="15.75" customHeight="1" x14ac:dyDescent="0.3">
      <c r="O845" s="135"/>
      <c r="P845" s="157"/>
      <c r="Q845" s="157"/>
      <c r="R845" s="157"/>
      <c r="S845" s="157"/>
      <c r="T845" s="157"/>
      <c r="U845" s="157"/>
      <c r="V845" s="157"/>
      <c r="W845" s="135"/>
      <c r="X845" s="135"/>
      <c r="Y845" s="135"/>
      <c r="Z845" s="135"/>
      <c r="AA845" s="135"/>
      <c r="AB845" s="135"/>
      <c r="AC845" s="135"/>
      <c r="AD845" s="135"/>
      <c r="AE845" s="135"/>
      <c r="AF845" s="135"/>
      <c r="AG845" s="135"/>
    </row>
    <row r="846" spans="15:33" ht="15.75" customHeight="1" x14ac:dyDescent="0.3">
      <c r="O846" s="135"/>
      <c r="P846" s="157"/>
      <c r="Q846" s="157"/>
      <c r="R846" s="157"/>
      <c r="S846" s="157"/>
      <c r="T846" s="157"/>
      <c r="U846" s="157"/>
      <c r="V846" s="157"/>
      <c r="W846" s="135"/>
      <c r="X846" s="135"/>
      <c r="Y846" s="135"/>
      <c r="Z846" s="135"/>
      <c r="AA846" s="135"/>
      <c r="AB846" s="135"/>
      <c r="AC846" s="135"/>
      <c r="AD846" s="135"/>
      <c r="AE846" s="135"/>
      <c r="AF846" s="135"/>
      <c r="AG846" s="135"/>
    </row>
    <row r="847" spans="15:33" ht="15.75" customHeight="1" x14ac:dyDescent="0.3">
      <c r="O847" s="135"/>
      <c r="P847" s="157"/>
      <c r="Q847" s="157"/>
      <c r="R847" s="157"/>
      <c r="S847" s="157"/>
      <c r="T847" s="157"/>
      <c r="U847" s="157"/>
      <c r="V847" s="157"/>
      <c r="W847" s="135"/>
      <c r="X847" s="135"/>
      <c r="Y847" s="135"/>
      <c r="Z847" s="135"/>
      <c r="AA847" s="135"/>
      <c r="AB847" s="135"/>
      <c r="AC847" s="135"/>
      <c r="AD847" s="135"/>
      <c r="AE847" s="135"/>
      <c r="AF847" s="135"/>
      <c r="AG847" s="135"/>
    </row>
    <row r="848" spans="15:33" ht="15.75" customHeight="1" x14ac:dyDescent="0.3">
      <c r="O848" s="135"/>
      <c r="P848" s="157"/>
      <c r="Q848" s="157"/>
      <c r="R848" s="157"/>
      <c r="S848" s="157"/>
      <c r="T848" s="157"/>
      <c r="U848" s="157"/>
      <c r="V848" s="157"/>
      <c r="W848" s="135"/>
      <c r="X848" s="135"/>
      <c r="Y848" s="135"/>
      <c r="Z848" s="135"/>
      <c r="AA848" s="135"/>
      <c r="AB848" s="135"/>
      <c r="AC848" s="135"/>
      <c r="AD848" s="135"/>
      <c r="AE848" s="135"/>
      <c r="AF848" s="135"/>
      <c r="AG848" s="135"/>
    </row>
    <row r="849" spans="15:33" ht="15.75" customHeight="1" x14ac:dyDescent="0.3">
      <c r="O849" s="135"/>
      <c r="P849" s="157"/>
      <c r="Q849" s="157"/>
      <c r="R849" s="157"/>
      <c r="S849" s="157"/>
      <c r="T849" s="157"/>
      <c r="U849" s="157"/>
      <c r="V849" s="157"/>
      <c r="W849" s="135"/>
      <c r="X849" s="135"/>
      <c r="Y849" s="135"/>
      <c r="Z849" s="135"/>
      <c r="AA849" s="135"/>
      <c r="AB849" s="135"/>
      <c r="AC849" s="135"/>
      <c r="AD849" s="135"/>
      <c r="AE849" s="135"/>
      <c r="AF849" s="135"/>
      <c r="AG849" s="135"/>
    </row>
    <row r="850" spans="15:33" ht="15.75" customHeight="1" x14ac:dyDescent="0.3">
      <c r="O850" s="135"/>
      <c r="P850" s="157"/>
      <c r="Q850" s="157"/>
      <c r="R850" s="157"/>
      <c r="S850" s="157"/>
      <c r="T850" s="157"/>
      <c r="U850" s="157"/>
      <c r="V850" s="157"/>
      <c r="W850" s="135"/>
      <c r="X850" s="135"/>
      <c r="Y850" s="135"/>
      <c r="Z850" s="135"/>
      <c r="AA850" s="135"/>
      <c r="AB850" s="135"/>
      <c r="AC850" s="135"/>
      <c r="AD850" s="135"/>
      <c r="AE850" s="135"/>
      <c r="AF850" s="135"/>
      <c r="AG850" s="135"/>
    </row>
    <row r="851" spans="15:33" ht="15.75" customHeight="1" x14ac:dyDescent="0.3">
      <c r="O851" s="135"/>
      <c r="P851" s="157"/>
      <c r="Q851" s="157"/>
      <c r="R851" s="157"/>
      <c r="S851" s="157"/>
      <c r="T851" s="157"/>
      <c r="U851" s="157"/>
      <c r="V851" s="157"/>
      <c r="W851" s="135"/>
      <c r="X851" s="135"/>
      <c r="Y851" s="135"/>
      <c r="Z851" s="135"/>
      <c r="AA851" s="135"/>
      <c r="AB851" s="135"/>
      <c r="AC851" s="135"/>
      <c r="AD851" s="135"/>
      <c r="AE851" s="135"/>
      <c r="AF851" s="135"/>
      <c r="AG851" s="135"/>
    </row>
    <row r="852" spans="15:33" ht="15.75" customHeight="1" x14ac:dyDescent="0.3">
      <c r="O852" s="135"/>
      <c r="P852" s="157"/>
      <c r="Q852" s="157"/>
      <c r="R852" s="157"/>
      <c r="S852" s="157"/>
      <c r="T852" s="157"/>
      <c r="U852" s="157"/>
      <c r="V852" s="157"/>
      <c r="W852" s="135"/>
      <c r="X852" s="135"/>
      <c r="Y852" s="135"/>
      <c r="Z852" s="135"/>
      <c r="AA852" s="135"/>
      <c r="AB852" s="135"/>
      <c r="AC852" s="135"/>
      <c r="AD852" s="135"/>
      <c r="AE852" s="135"/>
      <c r="AF852" s="135"/>
      <c r="AG852" s="135"/>
    </row>
    <row r="853" spans="15:33" ht="15.75" customHeight="1" x14ac:dyDescent="0.3">
      <c r="O853" s="135"/>
      <c r="P853" s="157"/>
      <c r="Q853" s="157"/>
      <c r="R853" s="157"/>
      <c r="S853" s="157"/>
      <c r="T853" s="157"/>
      <c r="U853" s="157"/>
      <c r="V853" s="157"/>
      <c r="W853" s="135"/>
      <c r="X853" s="135"/>
      <c r="Y853" s="135"/>
      <c r="Z853" s="135"/>
      <c r="AA853" s="135"/>
      <c r="AB853" s="135"/>
      <c r="AC853" s="135"/>
      <c r="AD853" s="135"/>
      <c r="AE853" s="135"/>
      <c r="AF853" s="135"/>
      <c r="AG853" s="135"/>
    </row>
    <row r="854" spans="15:33" ht="15.75" customHeight="1" x14ac:dyDescent="0.3">
      <c r="O854" s="135"/>
      <c r="P854" s="157"/>
      <c r="Q854" s="157"/>
      <c r="R854" s="157"/>
      <c r="S854" s="157"/>
      <c r="T854" s="157"/>
      <c r="U854" s="157"/>
      <c r="V854" s="157"/>
      <c r="W854" s="135"/>
      <c r="X854" s="135"/>
      <c r="Y854" s="135"/>
      <c r="Z854" s="135"/>
      <c r="AA854" s="135"/>
      <c r="AB854" s="135"/>
      <c r="AC854" s="135"/>
      <c r="AD854" s="135"/>
      <c r="AE854" s="135"/>
      <c r="AF854" s="135"/>
      <c r="AG854" s="135"/>
    </row>
    <row r="855" spans="15:33" ht="15.75" customHeight="1" x14ac:dyDescent="0.3">
      <c r="O855" s="135"/>
      <c r="P855" s="157"/>
      <c r="Q855" s="157"/>
      <c r="R855" s="157"/>
      <c r="S855" s="157"/>
      <c r="T855" s="157"/>
      <c r="U855" s="157"/>
      <c r="V855" s="157"/>
      <c r="W855" s="135"/>
      <c r="X855" s="135"/>
      <c r="Y855" s="135"/>
      <c r="Z855" s="135"/>
      <c r="AA855" s="135"/>
      <c r="AB855" s="135"/>
      <c r="AC855" s="135"/>
      <c r="AD855" s="135"/>
      <c r="AE855" s="135"/>
      <c r="AF855" s="135"/>
      <c r="AG855" s="135"/>
    </row>
    <row r="856" spans="15:33" ht="15.75" customHeight="1" x14ac:dyDescent="0.3">
      <c r="O856" s="135"/>
      <c r="P856" s="157"/>
      <c r="Q856" s="157"/>
      <c r="R856" s="157"/>
      <c r="S856" s="157"/>
      <c r="T856" s="157"/>
      <c r="U856" s="157"/>
      <c r="V856" s="157"/>
      <c r="W856" s="135"/>
      <c r="X856" s="135"/>
      <c r="Y856" s="135"/>
      <c r="Z856" s="135"/>
      <c r="AA856" s="135"/>
      <c r="AB856" s="135"/>
      <c r="AC856" s="135"/>
      <c r="AD856" s="135"/>
      <c r="AE856" s="135"/>
      <c r="AF856" s="135"/>
      <c r="AG856" s="135"/>
    </row>
    <row r="857" spans="15:33" ht="15.75" customHeight="1" x14ac:dyDescent="0.3">
      <c r="O857" s="135"/>
      <c r="P857" s="157"/>
      <c r="Q857" s="157"/>
      <c r="R857" s="157"/>
      <c r="S857" s="157"/>
      <c r="T857" s="157"/>
      <c r="U857" s="157"/>
      <c r="V857" s="157"/>
      <c r="W857" s="135"/>
      <c r="X857" s="135"/>
      <c r="Y857" s="135"/>
      <c r="Z857" s="135"/>
      <c r="AA857" s="135"/>
      <c r="AB857" s="135"/>
      <c r="AC857" s="135"/>
      <c r="AD857" s="135"/>
      <c r="AE857" s="135"/>
      <c r="AF857" s="135"/>
      <c r="AG857" s="135"/>
    </row>
    <row r="858" spans="15:33" ht="15.75" customHeight="1" x14ac:dyDescent="0.3">
      <c r="O858" s="135"/>
      <c r="P858" s="157"/>
      <c r="Q858" s="157"/>
      <c r="R858" s="157"/>
      <c r="S858" s="157"/>
      <c r="T858" s="157"/>
      <c r="U858" s="157"/>
      <c r="V858" s="157"/>
      <c r="W858" s="135"/>
      <c r="X858" s="135"/>
      <c r="Y858" s="135"/>
      <c r="Z858" s="135"/>
      <c r="AA858" s="135"/>
      <c r="AB858" s="135"/>
      <c r="AC858" s="135"/>
      <c r="AD858" s="135"/>
      <c r="AE858" s="135"/>
      <c r="AF858" s="135"/>
      <c r="AG858" s="135"/>
    </row>
    <row r="859" spans="15:33" ht="15.75" customHeight="1" x14ac:dyDescent="0.3">
      <c r="O859" s="135"/>
      <c r="P859" s="157"/>
      <c r="Q859" s="157"/>
      <c r="R859" s="157"/>
      <c r="S859" s="157"/>
      <c r="T859" s="157"/>
      <c r="U859" s="157"/>
      <c r="V859" s="157"/>
      <c r="W859" s="135"/>
      <c r="X859" s="135"/>
      <c r="Y859" s="135"/>
      <c r="Z859" s="135"/>
      <c r="AA859" s="135"/>
      <c r="AB859" s="135"/>
      <c r="AC859" s="135"/>
      <c r="AD859" s="135"/>
      <c r="AE859" s="135"/>
      <c r="AF859" s="135"/>
      <c r="AG859" s="135"/>
    </row>
    <row r="860" spans="15:33" ht="15.75" customHeight="1" x14ac:dyDescent="0.3">
      <c r="O860" s="135"/>
      <c r="P860" s="157"/>
      <c r="Q860" s="157"/>
      <c r="R860" s="157"/>
      <c r="S860" s="157"/>
      <c r="T860" s="157"/>
      <c r="U860" s="157"/>
      <c r="V860" s="157"/>
      <c r="W860" s="135"/>
      <c r="X860" s="135"/>
      <c r="Y860" s="135"/>
      <c r="Z860" s="135"/>
      <c r="AA860" s="135"/>
      <c r="AB860" s="135"/>
      <c r="AC860" s="135"/>
      <c r="AD860" s="135"/>
      <c r="AE860" s="135"/>
      <c r="AF860" s="135"/>
      <c r="AG860" s="135"/>
    </row>
    <row r="861" spans="15:33" ht="15.75" customHeight="1" x14ac:dyDescent="0.3">
      <c r="O861" s="135"/>
      <c r="P861" s="157"/>
      <c r="Q861" s="157"/>
      <c r="R861" s="157"/>
      <c r="S861" s="157"/>
      <c r="T861" s="157"/>
      <c r="U861" s="157"/>
      <c r="V861" s="157"/>
      <c r="W861" s="135"/>
      <c r="X861" s="135"/>
      <c r="Y861" s="135"/>
      <c r="Z861" s="135"/>
      <c r="AA861" s="135"/>
      <c r="AB861" s="135"/>
      <c r="AC861" s="135"/>
      <c r="AD861" s="135"/>
      <c r="AE861" s="135"/>
      <c r="AF861" s="135"/>
      <c r="AG861" s="135"/>
    </row>
    <row r="862" spans="15:33" ht="15.75" customHeight="1" x14ac:dyDescent="0.3">
      <c r="O862" s="135"/>
      <c r="P862" s="157"/>
      <c r="Q862" s="157"/>
      <c r="R862" s="157"/>
      <c r="S862" s="157"/>
      <c r="T862" s="157"/>
      <c r="U862" s="157"/>
      <c r="V862" s="157"/>
      <c r="W862" s="135"/>
      <c r="X862" s="135"/>
      <c r="Y862" s="135"/>
      <c r="Z862" s="135"/>
      <c r="AA862" s="135"/>
      <c r="AB862" s="135"/>
      <c r="AC862" s="135"/>
      <c r="AD862" s="135"/>
      <c r="AE862" s="135"/>
      <c r="AF862" s="135"/>
      <c r="AG862" s="135"/>
    </row>
    <row r="863" spans="15:33" ht="15.75" customHeight="1" x14ac:dyDescent="0.3">
      <c r="O863" s="135"/>
      <c r="P863" s="157"/>
      <c r="Q863" s="157"/>
      <c r="R863" s="157"/>
      <c r="S863" s="157"/>
      <c r="T863" s="157"/>
      <c r="U863" s="157"/>
      <c r="V863" s="157"/>
      <c r="W863" s="135"/>
      <c r="X863" s="135"/>
      <c r="Y863" s="135"/>
      <c r="Z863" s="135"/>
      <c r="AA863" s="135"/>
      <c r="AB863" s="135"/>
      <c r="AC863" s="135"/>
      <c r="AD863" s="135"/>
      <c r="AE863" s="135"/>
      <c r="AF863" s="135"/>
      <c r="AG863" s="135"/>
    </row>
    <row r="864" spans="15:33" ht="15.75" customHeight="1" x14ac:dyDescent="0.3">
      <c r="O864" s="135"/>
      <c r="P864" s="157"/>
      <c r="Q864" s="157"/>
      <c r="R864" s="157"/>
      <c r="S864" s="157"/>
      <c r="T864" s="157"/>
      <c r="U864" s="157"/>
      <c r="V864" s="157"/>
      <c r="W864" s="135"/>
      <c r="X864" s="135"/>
      <c r="Y864" s="135"/>
      <c r="Z864" s="135"/>
      <c r="AA864" s="135"/>
      <c r="AB864" s="135"/>
      <c r="AC864" s="135"/>
      <c r="AD864" s="135"/>
      <c r="AE864" s="135"/>
      <c r="AF864" s="135"/>
      <c r="AG864" s="135"/>
    </row>
    <row r="865" spans="15:33" ht="15.75" customHeight="1" x14ac:dyDescent="0.3">
      <c r="O865" s="135"/>
      <c r="P865" s="157"/>
      <c r="Q865" s="157"/>
      <c r="R865" s="157"/>
      <c r="S865" s="157"/>
      <c r="T865" s="157"/>
      <c r="U865" s="157"/>
      <c r="V865" s="157"/>
      <c r="W865" s="135"/>
      <c r="X865" s="135"/>
      <c r="Y865" s="135"/>
      <c r="Z865" s="135"/>
      <c r="AA865" s="135"/>
      <c r="AB865" s="135"/>
      <c r="AC865" s="135"/>
      <c r="AD865" s="135"/>
      <c r="AE865" s="135"/>
      <c r="AF865" s="135"/>
      <c r="AG865" s="135"/>
    </row>
    <row r="866" spans="15:33" ht="15.75" customHeight="1" x14ac:dyDescent="0.3">
      <c r="O866" s="135"/>
      <c r="P866" s="157"/>
      <c r="Q866" s="157"/>
      <c r="R866" s="157"/>
      <c r="S866" s="157"/>
      <c r="T866" s="157"/>
      <c r="U866" s="157"/>
      <c r="V866" s="157"/>
      <c r="W866" s="135"/>
      <c r="X866" s="135"/>
      <c r="Y866" s="135"/>
      <c r="Z866" s="135"/>
      <c r="AA866" s="135"/>
      <c r="AB866" s="135"/>
      <c r="AC866" s="135"/>
      <c r="AD866" s="135"/>
      <c r="AE866" s="135"/>
      <c r="AF866" s="135"/>
      <c r="AG866" s="135"/>
    </row>
    <row r="867" spans="15:33" ht="15.75" customHeight="1" x14ac:dyDescent="0.3">
      <c r="O867" s="135"/>
      <c r="P867" s="157"/>
      <c r="Q867" s="157"/>
      <c r="R867" s="157"/>
      <c r="S867" s="157"/>
      <c r="T867" s="157"/>
      <c r="U867" s="157"/>
      <c r="V867" s="157"/>
      <c r="W867" s="135"/>
      <c r="X867" s="135"/>
      <c r="Y867" s="135"/>
      <c r="Z867" s="135"/>
      <c r="AA867" s="135"/>
      <c r="AB867" s="135"/>
      <c r="AC867" s="135"/>
      <c r="AD867" s="135"/>
      <c r="AE867" s="135"/>
      <c r="AF867" s="135"/>
      <c r="AG867" s="135"/>
    </row>
    <row r="868" spans="15:33" ht="15.75" customHeight="1" x14ac:dyDescent="0.3">
      <c r="O868" s="135"/>
      <c r="P868" s="157"/>
      <c r="Q868" s="157"/>
      <c r="R868" s="157"/>
      <c r="S868" s="157"/>
      <c r="T868" s="157"/>
      <c r="U868" s="157"/>
      <c r="V868" s="157"/>
      <c r="W868" s="135"/>
      <c r="X868" s="135"/>
      <c r="Y868" s="135"/>
      <c r="Z868" s="135"/>
      <c r="AA868" s="135"/>
      <c r="AB868" s="135"/>
      <c r="AC868" s="135"/>
      <c r="AD868" s="135"/>
      <c r="AE868" s="135"/>
      <c r="AF868" s="135"/>
      <c r="AG868" s="135"/>
    </row>
    <row r="869" spans="15:33" ht="15.75" customHeight="1" x14ac:dyDescent="0.3">
      <c r="O869" s="135"/>
      <c r="P869" s="157"/>
      <c r="Q869" s="157"/>
      <c r="R869" s="157"/>
      <c r="S869" s="157"/>
      <c r="T869" s="157"/>
      <c r="U869" s="157"/>
      <c r="V869" s="157"/>
      <c r="W869" s="135"/>
      <c r="X869" s="135"/>
      <c r="Y869" s="135"/>
      <c r="Z869" s="135"/>
      <c r="AA869" s="135"/>
      <c r="AB869" s="135"/>
      <c r="AC869" s="135"/>
      <c r="AD869" s="135"/>
      <c r="AE869" s="135"/>
      <c r="AF869" s="135"/>
      <c r="AG869" s="135"/>
    </row>
    <row r="870" spans="15:33" ht="15.75" customHeight="1" x14ac:dyDescent="0.3">
      <c r="O870" s="135"/>
      <c r="P870" s="157"/>
      <c r="Q870" s="157"/>
      <c r="R870" s="157"/>
      <c r="S870" s="157"/>
      <c r="T870" s="157"/>
      <c r="U870" s="157"/>
      <c r="V870" s="157"/>
      <c r="W870" s="135"/>
      <c r="X870" s="135"/>
      <c r="Y870" s="135"/>
      <c r="Z870" s="135"/>
      <c r="AA870" s="135"/>
      <c r="AB870" s="135"/>
      <c r="AC870" s="135"/>
      <c r="AD870" s="135"/>
      <c r="AE870" s="135"/>
      <c r="AF870" s="135"/>
      <c r="AG870" s="135"/>
    </row>
    <row r="871" spans="15:33" ht="15.75" customHeight="1" x14ac:dyDescent="0.3">
      <c r="O871" s="135"/>
      <c r="P871" s="157"/>
      <c r="Q871" s="157"/>
      <c r="R871" s="157"/>
      <c r="S871" s="157"/>
      <c r="T871" s="157"/>
      <c r="U871" s="157"/>
      <c r="V871" s="157"/>
      <c r="W871" s="135"/>
      <c r="X871" s="135"/>
      <c r="Y871" s="135"/>
      <c r="Z871" s="135"/>
      <c r="AA871" s="135"/>
      <c r="AB871" s="135"/>
      <c r="AC871" s="135"/>
      <c r="AD871" s="135"/>
      <c r="AE871" s="135"/>
      <c r="AF871" s="135"/>
      <c r="AG871" s="135"/>
    </row>
    <row r="872" spans="15:33" ht="15.75" customHeight="1" x14ac:dyDescent="0.3">
      <c r="O872" s="135"/>
      <c r="P872" s="157"/>
      <c r="Q872" s="157"/>
      <c r="R872" s="157"/>
      <c r="S872" s="157"/>
      <c r="T872" s="157"/>
      <c r="U872" s="157"/>
      <c r="V872" s="157"/>
      <c r="W872" s="135"/>
      <c r="X872" s="135"/>
      <c r="Y872" s="135"/>
      <c r="Z872" s="135"/>
      <c r="AA872" s="135"/>
      <c r="AB872" s="135"/>
      <c r="AC872" s="135"/>
      <c r="AD872" s="135"/>
      <c r="AE872" s="135"/>
      <c r="AF872" s="135"/>
      <c r="AG872" s="135"/>
    </row>
    <row r="873" spans="15:33" ht="15.75" customHeight="1" x14ac:dyDescent="0.3">
      <c r="O873" s="135"/>
      <c r="P873" s="157"/>
      <c r="Q873" s="157"/>
      <c r="R873" s="157"/>
      <c r="S873" s="157"/>
      <c r="T873" s="157"/>
      <c r="U873" s="157"/>
      <c r="V873" s="157"/>
      <c r="W873" s="135"/>
      <c r="X873" s="135"/>
      <c r="Y873" s="135"/>
      <c r="Z873" s="135"/>
      <c r="AA873" s="135"/>
      <c r="AB873" s="135"/>
      <c r="AC873" s="135"/>
      <c r="AD873" s="135"/>
      <c r="AE873" s="135"/>
      <c r="AF873" s="135"/>
      <c r="AG873" s="135"/>
    </row>
    <row r="874" spans="15:33" ht="15.75" customHeight="1" x14ac:dyDescent="0.3">
      <c r="O874" s="135"/>
      <c r="P874" s="157"/>
      <c r="Q874" s="157"/>
      <c r="R874" s="157"/>
      <c r="S874" s="157"/>
      <c r="T874" s="157"/>
      <c r="U874" s="157"/>
      <c r="V874" s="157"/>
      <c r="W874" s="135"/>
      <c r="X874" s="135"/>
      <c r="Y874" s="135"/>
      <c r="Z874" s="135"/>
      <c r="AA874" s="135"/>
      <c r="AB874" s="135"/>
      <c r="AC874" s="135"/>
      <c r="AD874" s="135"/>
      <c r="AE874" s="135"/>
      <c r="AF874" s="135"/>
      <c r="AG874" s="135"/>
    </row>
    <row r="875" spans="15:33" ht="15.75" customHeight="1" x14ac:dyDescent="0.3">
      <c r="O875" s="135"/>
      <c r="P875" s="157"/>
      <c r="Q875" s="157"/>
      <c r="R875" s="157"/>
      <c r="S875" s="157"/>
      <c r="T875" s="157"/>
      <c r="U875" s="157"/>
      <c r="V875" s="157"/>
      <c r="W875" s="135"/>
      <c r="X875" s="135"/>
      <c r="Y875" s="135"/>
      <c r="Z875" s="135"/>
      <c r="AA875" s="135"/>
      <c r="AB875" s="135"/>
      <c r="AC875" s="135"/>
      <c r="AD875" s="135"/>
      <c r="AE875" s="135"/>
      <c r="AF875" s="135"/>
      <c r="AG875" s="135"/>
    </row>
    <row r="876" spans="15:33" ht="15.75" customHeight="1" x14ac:dyDescent="0.3">
      <c r="O876" s="135"/>
      <c r="P876" s="157"/>
      <c r="Q876" s="157"/>
      <c r="R876" s="157"/>
      <c r="S876" s="157"/>
      <c r="T876" s="157"/>
      <c r="U876" s="157"/>
      <c r="V876" s="157"/>
      <c r="W876" s="135"/>
      <c r="X876" s="135"/>
      <c r="Y876" s="135"/>
      <c r="Z876" s="135"/>
      <c r="AA876" s="135"/>
      <c r="AB876" s="135"/>
      <c r="AC876" s="135"/>
      <c r="AD876" s="135"/>
      <c r="AE876" s="135"/>
      <c r="AF876" s="135"/>
      <c r="AG876" s="135"/>
    </row>
    <row r="877" spans="15:33" ht="15.75" customHeight="1" x14ac:dyDescent="0.3">
      <c r="O877" s="135"/>
      <c r="P877" s="157"/>
      <c r="Q877" s="157"/>
      <c r="R877" s="157"/>
      <c r="S877" s="157"/>
      <c r="T877" s="157"/>
      <c r="U877" s="157"/>
      <c r="V877" s="157"/>
      <c r="W877" s="135"/>
      <c r="X877" s="135"/>
      <c r="Y877" s="135"/>
      <c r="Z877" s="135"/>
      <c r="AA877" s="135"/>
      <c r="AB877" s="135"/>
      <c r="AC877" s="135"/>
      <c r="AD877" s="135"/>
      <c r="AE877" s="135"/>
      <c r="AF877" s="135"/>
      <c r="AG877" s="135"/>
    </row>
    <row r="878" spans="15:33" ht="15.75" customHeight="1" x14ac:dyDescent="0.3">
      <c r="O878" s="135"/>
      <c r="P878" s="157"/>
      <c r="Q878" s="157"/>
      <c r="R878" s="157"/>
      <c r="S878" s="157"/>
      <c r="T878" s="157"/>
      <c r="U878" s="157"/>
      <c r="V878" s="157"/>
      <c r="W878" s="135"/>
      <c r="X878" s="135"/>
      <c r="Y878" s="135"/>
      <c r="Z878" s="135"/>
      <c r="AA878" s="135"/>
      <c r="AB878" s="135"/>
      <c r="AC878" s="135"/>
      <c r="AD878" s="135"/>
      <c r="AE878" s="135"/>
      <c r="AF878" s="135"/>
      <c r="AG878" s="135"/>
    </row>
    <row r="879" spans="15:33" ht="15.75" customHeight="1" x14ac:dyDescent="0.3">
      <c r="O879" s="135"/>
      <c r="P879" s="157"/>
      <c r="Q879" s="157"/>
      <c r="R879" s="157"/>
      <c r="S879" s="157"/>
      <c r="T879" s="157"/>
      <c r="U879" s="157"/>
      <c r="V879" s="157"/>
      <c r="W879" s="135"/>
      <c r="X879" s="135"/>
      <c r="Y879" s="135"/>
      <c r="Z879" s="135"/>
      <c r="AA879" s="135"/>
      <c r="AB879" s="135"/>
      <c r="AC879" s="135"/>
      <c r="AD879" s="135"/>
      <c r="AE879" s="135"/>
      <c r="AF879" s="135"/>
      <c r="AG879" s="135"/>
    </row>
    <row r="880" spans="15:33" ht="15.75" customHeight="1" x14ac:dyDescent="0.3">
      <c r="O880" s="135"/>
      <c r="P880" s="157"/>
      <c r="Q880" s="157"/>
      <c r="R880" s="157"/>
      <c r="S880" s="157"/>
      <c r="T880" s="157"/>
      <c r="U880" s="157"/>
      <c r="V880" s="157"/>
      <c r="W880" s="135"/>
      <c r="X880" s="135"/>
      <c r="Y880" s="135"/>
      <c r="Z880" s="135"/>
      <c r="AA880" s="135"/>
      <c r="AB880" s="135"/>
      <c r="AC880" s="135"/>
      <c r="AD880" s="135"/>
      <c r="AE880" s="135"/>
      <c r="AF880" s="135"/>
      <c r="AG880" s="135"/>
    </row>
    <row r="881" spans="15:33" ht="15.75" customHeight="1" x14ac:dyDescent="0.3">
      <c r="O881" s="135"/>
      <c r="P881" s="157"/>
      <c r="Q881" s="157"/>
      <c r="R881" s="157"/>
      <c r="S881" s="157"/>
      <c r="T881" s="157"/>
      <c r="U881" s="157"/>
      <c r="V881" s="157"/>
      <c r="W881" s="135"/>
      <c r="X881" s="135"/>
      <c r="Y881" s="135"/>
      <c r="Z881" s="135"/>
      <c r="AA881" s="135"/>
      <c r="AB881" s="135"/>
      <c r="AC881" s="135"/>
      <c r="AD881" s="135"/>
      <c r="AE881" s="135"/>
      <c r="AF881" s="135"/>
      <c r="AG881" s="135"/>
    </row>
    <row r="882" spans="15:33" ht="15.75" customHeight="1" x14ac:dyDescent="0.3">
      <c r="O882" s="135"/>
      <c r="P882" s="157"/>
      <c r="Q882" s="157"/>
      <c r="R882" s="157"/>
      <c r="S882" s="157"/>
      <c r="T882" s="157"/>
      <c r="U882" s="157"/>
      <c r="V882" s="157"/>
      <c r="W882" s="135"/>
      <c r="X882" s="135"/>
      <c r="Y882" s="135"/>
      <c r="Z882" s="135"/>
      <c r="AA882" s="135"/>
      <c r="AB882" s="135"/>
      <c r="AC882" s="135"/>
      <c r="AD882" s="135"/>
      <c r="AE882" s="135"/>
      <c r="AF882" s="135"/>
      <c r="AG882" s="135"/>
    </row>
    <row r="883" spans="15:33" ht="15.75" customHeight="1" x14ac:dyDescent="0.3">
      <c r="O883" s="135"/>
      <c r="P883" s="157"/>
      <c r="Q883" s="157"/>
      <c r="R883" s="157"/>
      <c r="S883" s="157"/>
      <c r="T883" s="157"/>
      <c r="U883" s="157"/>
      <c r="V883" s="157"/>
      <c r="W883" s="135"/>
      <c r="X883" s="135"/>
      <c r="Y883" s="135"/>
      <c r="Z883" s="135"/>
      <c r="AA883" s="135"/>
      <c r="AB883" s="135"/>
      <c r="AC883" s="135"/>
      <c r="AD883" s="135"/>
      <c r="AE883" s="135"/>
      <c r="AF883" s="135"/>
      <c r="AG883" s="135"/>
    </row>
    <row r="884" spans="15:33" ht="15.75" customHeight="1" x14ac:dyDescent="0.3">
      <c r="O884" s="135"/>
      <c r="P884" s="157"/>
      <c r="Q884" s="157"/>
      <c r="R884" s="157"/>
      <c r="S884" s="157"/>
      <c r="T884" s="157"/>
      <c r="U884" s="157"/>
      <c r="V884" s="157"/>
      <c r="W884" s="135"/>
      <c r="X884" s="135"/>
      <c r="Y884" s="135"/>
      <c r="Z884" s="135"/>
      <c r="AA884" s="135"/>
      <c r="AB884" s="135"/>
      <c r="AC884" s="135"/>
      <c r="AD884" s="135"/>
      <c r="AE884" s="135"/>
      <c r="AF884" s="135"/>
      <c r="AG884" s="135"/>
    </row>
    <row r="885" spans="15:33" ht="15.75" customHeight="1" x14ac:dyDescent="0.3">
      <c r="O885" s="135"/>
      <c r="P885" s="157"/>
      <c r="Q885" s="157"/>
      <c r="R885" s="157"/>
      <c r="S885" s="157"/>
      <c r="T885" s="157"/>
      <c r="U885" s="157"/>
      <c r="V885" s="157"/>
      <c r="W885" s="135"/>
      <c r="X885" s="135"/>
      <c r="Y885" s="135"/>
      <c r="Z885" s="135"/>
      <c r="AA885" s="135"/>
      <c r="AB885" s="135"/>
      <c r="AC885" s="135"/>
      <c r="AD885" s="135"/>
      <c r="AE885" s="135"/>
      <c r="AF885" s="135"/>
      <c r="AG885" s="135"/>
    </row>
    <row r="886" spans="15:33" ht="15.75" customHeight="1" x14ac:dyDescent="0.3">
      <c r="O886" s="135"/>
      <c r="P886" s="157"/>
      <c r="Q886" s="157"/>
      <c r="R886" s="157"/>
      <c r="S886" s="157"/>
      <c r="T886" s="157"/>
      <c r="U886" s="157"/>
      <c r="V886" s="157"/>
      <c r="W886" s="135"/>
      <c r="X886" s="135"/>
      <c r="Y886" s="135"/>
      <c r="Z886" s="135"/>
      <c r="AA886" s="135"/>
      <c r="AB886" s="135"/>
      <c r="AC886" s="135"/>
      <c r="AD886" s="135"/>
      <c r="AE886" s="135"/>
      <c r="AF886" s="135"/>
      <c r="AG886" s="135"/>
    </row>
    <row r="887" spans="15:33" ht="15.75" customHeight="1" x14ac:dyDescent="0.3">
      <c r="O887" s="135"/>
      <c r="P887" s="157"/>
      <c r="Q887" s="157"/>
      <c r="R887" s="157"/>
      <c r="S887" s="157"/>
      <c r="T887" s="157"/>
      <c r="U887" s="157"/>
      <c r="V887" s="157"/>
      <c r="W887" s="135"/>
      <c r="X887" s="135"/>
      <c r="Y887" s="135"/>
      <c r="Z887" s="135"/>
      <c r="AA887" s="135"/>
      <c r="AB887" s="135"/>
      <c r="AC887" s="135"/>
      <c r="AD887" s="135"/>
      <c r="AE887" s="135"/>
      <c r="AF887" s="135"/>
      <c r="AG887" s="135"/>
    </row>
    <row r="888" spans="15:33" ht="15.75" customHeight="1" x14ac:dyDescent="0.3">
      <c r="O888" s="135"/>
      <c r="P888" s="157"/>
      <c r="Q888" s="157"/>
      <c r="R888" s="157"/>
      <c r="S888" s="157"/>
      <c r="T888" s="157"/>
      <c r="U888" s="157"/>
      <c r="V888" s="157"/>
      <c r="W888" s="135"/>
      <c r="X888" s="135"/>
      <c r="Y888" s="135"/>
      <c r="Z888" s="135"/>
      <c r="AA888" s="135"/>
      <c r="AB888" s="135"/>
      <c r="AC888" s="135"/>
      <c r="AD888" s="135"/>
      <c r="AE888" s="135"/>
      <c r="AF888" s="135"/>
      <c r="AG888" s="135"/>
    </row>
    <row r="889" spans="15:33" ht="15.75" customHeight="1" x14ac:dyDescent="0.3">
      <c r="O889" s="135"/>
      <c r="P889" s="157"/>
      <c r="Q889" s="157"/>
      <c r="R889" s="157"/>
      <c r="S889" s="157"/>
      <c r="T889" s="157"/>
      <c r="U889" s="157"/>
      <c r="V889" s="157"/>
      <c r="W889" s="135"/>
      <c r="X889" s="135"/>
      <c r="Y889" s="135"/>
      <c r="Z889" s="135"/>
      <c r="AA889" s="135"/>
      <c r="AB889" s="135"/>
      <c r="AC889" s="135"/>
      <c r="AD889" s="135"/>
      <c r="AE889" s="135"/>
      <c r="AF889" s="135"/>
      <c r="AG889" s="135"/>
    </row>
    <row r="890" spans="15:33" ht="15.75" customHeight="1" x14ac:dyDescent="0.3">
      <c r="O890" s="135"/>
      <c r="P890" s="157"/>
      <c r="Q890" s="157"/>
      <c r="R890" s="157"/>
      <c r="S890" s="157"/>
      <c r="T890" s="157"/>
      <c r="U890" s="157"/>
      <c r="V890" s="157"/>
      <c r="W890" s="135"/>
      <c r="X890" s="135"/>
      <c r="Y890" s="135"/>
      <c r="Z890" s="135"/>
      <c r="AA890" s="135"/>
      <c r="AB890" s="135"/>
      <c r="AC890" s="135"/>
      <c r="AD890" s="135"/>
      <c r="AE890" s="135"/>
      <c r="AF890" s="135"/>
      <c r="AG890" s="135"/>
    </row>
    <row r="891" spans="15:33" ht="15.75" customHeight="1" x14ac:dyDescent="0.3">
      <c r="O891" s="135"/>
      <c r="P891" s="157"/>
      <c r="Q891" s="157"/>
      <c r="R891" s="157"/>
      <c r="S891" s="157"/>
      <c r="T891" s="157"/>
      <c r="U891" s="157"/>
      <c r="V891" s="157"/>
      <c r="W891" s="135"/>
      <c r="X891" s="135"/>
      <c r="Y891" s="135"/>
      <c r="Z891" s="135"/>
      <c r="AA891" s="135"/>
      <c r="AB891" s="135"/>
      <c r="AC891" s="135"/>
      <c r="AD891" s="135"/>
      <c r="AE891" s="135"/>
      <c r="AF891" s="135"/>
      <c r="AG891" s="135"/>
    </row>
    <row r="892" spans="15:33" ht="15.75" customHeight="1" x14ac:dyDescent="0.3">
      <c r="O892" s="135"/>
      <c r="P892" s="157"/>
      <c r="Q892" s="157"/>
      <c r="R892" s="157"/>
      <c r="S892" s="157"/>
      <c r="T892" s="157"/>
      <c r="U892" s="157"/>
      <c r="V892" s="157"/>
      <c r="W892" s="135"/>
      <c r="X892" s="135"/>
      <c r="Y892" s="135"/>
      <c r="Z892" s="135"/>
      <c r="AA892" s="135"/>
      <c r="AB892" s="135"/>
      <c r="AC892" s="135"/>
      <c r="AD892" s="135"/>
      <c r="AE892" s="135"/>
      <c r="AF892" s="135"/>
      <c r="AG892" s="135"/>
    </row>
    <row r="893" spans="15:33" ht="15.75" customHeight="1" x14ac:dyDescent="0.3">
      <c r="O893" s="135"/>
      <c r="P893" s="157"/>
      <c r="Q893" s="157"/>
      <c r="R893" s="157"/>
      <c r="S893" s="157"/>
      <c r="T893" s="157"/>
      <c r="U893" s="157"/>
      <c r="V893" s="157"/>
      <c r="W893" s="135"/>
      <c r="X893" s="135"/>
      <c r="Y893" s="135"/>
      <c r="Z893" s="135"/>
      <c r="AA893" s="135"/>
      <c r="AB893" s="135"/>
      <c r="AC893" s="135"/>
      <c r="AD893" s="135"/>
      <c r="AE893" s="135"/>
      <c r="AF893" s="135"/>
      <c r="AG893" s="135"/>
    </row>
    <row r="894" spans="15:33" ht="15.75" customHeight="1" x14ac:dyDescent="0.3">
      <c r="O894" s="135"/>
      <c r="P894" s="157"/>
      <c r="Q894" s="157"/>
      <c r="R894" s="157"/>
      <c r="S894" s="157"/>
      <c r="T894" s="157"/>
      <c r="U894" s="157"/>
      <c r="V894" s="157"/>
      <c r="W894" s="135"/>
      <c r="X894" s="135"/>
      <c r="Y894" s="135"/>
      <c r="Z894" s="135"/>
      <c r="AA894" s="135"/>
      <c r="AB894" s="135"/>
      <c r="AC894" s="135"/>
      <c r="AD894" s="135"/>
      <c r="AE894" s="135"/>
      <c r="AF894" s="135"/>
      <c r="AG894" s="135"/>
    </row>
    <row r="895" spans="15:33" ht="15.75" customHeight="1" x14ac:dyDescent="0.3">
      <c r="O895" s="135"/>
      <c r="P895" s="157"/>
      <c r="Q895" s="157"/>
      <c r="R895" s="157"/>
      <c r="S895" s="157"/>
      <c r="T895" s="157"/>
      <c r="U895" s="157"/>
      <c r="V895" s="157"/>
      <c r="W895" s="135"/>
      <c r="X895" s="135"/>
      <c r="Y895" s="135"/>
      <c r="Z895" s="135"/>
      <c r="AA895" s="135"/>
      <c r="AB895" s="135"/>
      <c r="AC895" s="135"/>
      <c r="AD895" s="135"/>
      <c r="AE895" s="135"/>
      <c r="AF895" s="135"/>
      <c r="AG895" s="135"/>
    </row>
    <row r="896" spans="15:33" ht="15.75" customHeight="1" x14ac:dyDescent="0.3">
      <c r="O896" s="135"/>
      <c r="P896" s="157"/>
      <c r="Q896" s="157"/>
      <c r="R896" s="157"/>
      <c r="S896" s="157"/>
      <c r="T896" s="157"/>
      <c r="U896" s="157"/>
      <c r="V896" s="157"/>
      <c r="W896" s="135"/>
      <c r="X896" s="135"/>
      <c r="Y896" s="135"/>
      <c r="Z896" s="135"/>
      <c r="AA896" s="135"/>
      <c r="AB896" s="135"/>
      <c r="AC896" s="135"/>
      <c r="AD896" s="135"/>
      <c r="AE896" s="135"/>
      <c r="AF896" s="135"/>
      <c r="AG896" s="135"/>
    </row>
    <row r="897" spans="15:33" ht="15.75" customHeight="1" x14ac:dyDescent="0.3">
      <c r="O897" s="135"/>
      <c r="P897" s="157"/>
      <c r="Q897" s="157"/>
      <c r="R897" s="157"/>
      <c r="S897" s="157"/>
      <c r="T897" s="157"/>
      <c r="U897" s="157"/>
      <c r="V897" s="157"/>
      <c r="W897" s="135"/>
      <c r="X897" s="135"/>
      <c r="Y897" s="135"/>
      <c r="Z897" s="135"/>
      <c r="AA897" s="135"/>
      <c r="AB897" s="135"/>
      <c r="AC897" s="135"/>
      <c r="AD897" s="135"/>
      <c r="AE897" s="135"/>
      <c r="AF897" s="135"/>
      <c r="AG897" s="135"/>
    </row>
    <row r="898" spans="15:33" ht="15.75" customHeight="1" x14ac:dyDescent="0.3">
      <c r="O898" s="135"/>
      <c r="P898" s="157"/>
      <c r="Q898" s="157"/>
      <c r="R898" s="157"/>
      <c r="S898" s="157"/>
      <c r="T898" s="157"/>
      <c r="U898" s="157"/>
      <c r="V898" s="157"/>
      <c r="W898" s="135"/>
      <c r="X898" s="135"/>
      <c r="Y898" s="135"/>
      <c r="Z898" s="135"/>
      <c r="AA898" s="135"/>
      <c r="AB898" s="135"/>
      <c r="AC898" s="135"/>
      <c r="AD898" s="135"/>
      <c r="AE898" s="135"/>
      <c r="AF898" s="135"/>
      <c r="AG898" s="135"/>
    </row>
    <row r="899" spans="15:33" ht="15.75" customHeight="1" x14ac:dyDescent="0.3">
      <c r="O899" s="135"/>
      <c r="P899" s="157"/>
      <c r="Q899" s="157"/>
      <c r="R899" s="157"/>
      <c r="S899" s="157"/>
      <c r="T899" s="157"/>
      <c r="U899" s="157"/>
      <c r="V899" s="157"/>
      <c r="W899" s="135"/>
      <c r="X899" s="135"/>
      <c r="Y899" s="135"/>
      <c r="Z899" s="135"/>
      <c r="AA899" s="135"/>
      <c r="AB899" s="135"/>
      <c r="AC899" s="135"/>
      <c r="AD899" s="135"/>
      <c r="AE899" s="135"/>
      <c r="AF899" s="135"/>
      <c r="AG899" s="135"/>
    </row>
    <row r="900" spans="15:33" ht="15.75" customHeight="1" x14ac:dyDescent="0.3">
      <c r="O900" s="135"/>
      <c r="P900" s="157"/>
      <c r="Q900" s="157"/>
      <c r="R900" s="157"/>
      <c r="S900" s="157"/>
      <c r="T900" s="157"/>
      <c r="U900" s="157"/>
      <c r="V900" s="157"/>
      <c r="W900" s="135"/>
      <c r="X900" s="135"/>
      <c r="Y900" s="135"/>
      <c r="Z900" s="135"/>
      <c r="AA900" s="135"/>
      <c r="AB900" s="135"/>
      <c r="AC900" s="135"/>
      <c r="AD900" s="135"/>
      <c r="AE900" s="135"/>
      <c r="AF900" s="135"/>
      <c r="AG900" s="135"/>
    </row>
    <row r="901" spans="15:33" ht="15.75" customHeight="1" x14ac:dyDescent="0.3">
      <c r="O901" s="135"/>
      <c r="P901" s="157"/>
      <c r="Q901" s="157"/>
      <c r="R901" s="157"/>
      <c r="S901" s="157"/>
      <c r="T901" s="157"/>
      <c r="U901" s="157"/>
      <c r="V901" s="157"/>
      <c r="W901" s="135"/>
      <c r="X901" s="135"/>
      <c r="Y901" s="135"/>
      <c r="Z901" s="135"/>
      <c r="AA901" s="135"/>
      <c r="AB901" s="135"/>
      <c r="AC901" s="135"/>
      <c r="AD901" s="135"/>
      <c r="AE901" s="135"/>
      <c r="AF901" s="135"/>
      <c r="AG901" s="135"/>
    </row>
    <row r="902" spans="15:33" ht="15.75" customHeight="1" x14ac:dyDescent="0.3">
      <c r="O902" s="135"/>
      <c r="P902" s="157"/>
      <c r="Q902" s="157"/>
      <c r="R902" s="157"/>
      <c r="S902" s="157"/>
      <c r="T902" s="157"/>
      <c r="U902" s="157"/>
      <c r="V902" s="157"/>
      <c r="W902" s="135"/>
      <c r="X902" s="135"/>
      <c r="Y902" s="135"/>
      <c r="Z902" s="135"/>
      <c r="AA902" s="135"/>
      <c r="AB902" s="135"/>
      <c r="AC902" s="135"/>
      <c r="AD902" s="135"/>
      <c r="AE902" s="135"/>
      <c r="AF902" s="135"/>
      <c r="AG902" s="135"/>
    </row>
    <row r="903" spans="15:33" ht="15.75" customHeight="1" x14ac:dyDescent="0.3">
      <c r="O903" s="135"/>
      <c r="P903" s="157"/>
      <c r="Q903" s="157"/>
      <c r="R903" s="157"/>
      <c r="S903" s="157"/>
      <c r="T903" s="157"/>
      <c r="U903" s="157"/>
      <c r="V903" s="157"/>
      <c r="W903" s="135"/>
      <c r="X903" s="135"/>
      <c r="Y903" s="135"/>
      <c r="Z903" s="135"/>
      <c r="AA903" s="135"/>
      <c r="AB903" s="135"/>
      <c r="AC903" s="135"/>
      <c r="AD903" s="135"/>
      <c r="AE903" s="135"/>
      <c r="AF903" s="135"/>
      <c r="AG903" s="135"/>
    </row>
    <row r="904" spans="15:33" ht="15.75" customHeight="1" x14ac:dyDescent="0.3">
      <c r="O904" s="135"/>
      <c r="P904" s="157"/>
      <c r="Q904" s="157"/>
      <c r="R904" s="157"/>
      <c r="S904" s="157"/>
      <c r="T904" s="157"/>
      <c r="U904" s="157"/>
      <c r="V904" s="157"/>
      <c r="W904" s="135"/>
      <c r="X904" s="135"/>
      <c r="Y904" s="135"/>
      <c r="Z904" s="135"/>
      <c r="AA904" s="135"/>
      <c r="AB904" s="135"/>
      <c r="AC904" s="135"/>
      <c r="AD904" s="135"/>
      <c r="AE904" s="135"/>
      <c r="AF904" s="135"/>
      <c r="AG904" s="135"/>
    </row>
    <row r="905" spans="15:33" ht="15.75" customHeight="1" x14ac:dyDescent="0.3">
      <c r="O905" s="135"/>
      <c r="P905" s="157"/>
      <c r="Q905" s="157"/>
      <c r="R905" s="157"/>
      <c r="S905" s="157"/>
      <c r="T905" s="157"/>
      <c r="U905" s="157"/>
      <c r="V905" s="157"/>
      <c r="W905" s="135"/>
      <c r="X905" s="135"/>
      <c r="Y905" s="135"/>
      <c r="Z905" s="135"/>
      <c r="AA905" s="135"/>
      <c r="AB905" s="135"/>
      <c r="AC905" s="135"/>
      <c r="AD905" s="135"/>
      <c r="AE905" s="135"/>
      <c r="AF905" s="135"/>
      <c r="AG905" s="135"/>
    </row>
    <row r="906" spans="15:33" ht="15.75" customHeight="1" x14ac:dyDescent="0.3">
      <c r="O906" s="135"/>
      <c r="P906" s="157"/>
      <c r="Q906" s="157"/>
      <c r="R906" s="157"/>
      <c r="S906" s="157"/>
      <c r="T906" s="157"/>
      <c r="U906" s="157"/>
      <c r="V906" s="157"/>
      <c r="W906" s="135"/>
      <c r="X906" s="135"/>
      <c r="Y906" s="135"/>
      <c r="Z906" s="135"/>
      <c r="AA906" s="135"/>
      <c r="AB906" s="135"/>
      <c r="AC906" s="135"/>
      <c r="AD906" s="135"/>
      <c r="AE906" s="135"/>
      <c r="AF906" s="135"/>
      <c r="AG906" s="135"/>
    </row>
    <row r="907" spans="15:33" ht="15.75" customHeight="1" x14ac:dyDescent="0.3">
      <c r="O907" s="135"/>
      <c r="P907" s="157"/>
      <c r="Q907" s="157"/>
      <c r="R907" s="157"/>
      <c r="S907" s="157"/>
      <c r="T907" s="157"/>
      <c r="U907" s="157"/>
      <c r="V907" s="157"/>
      <c r="W907" s="135"/>
      <c r="X907" s="135"/>
      <c r="Y907" s="135"/>
      <c r="Z907" s="135"/>
      <c r="AA907" s="135"/>
      <c r="AB907" s="135"/>
      <c r="AC907" s="135"/>
      <c r="AD907" s="135"/>
      <c r="AE907" s="135"/>
      <c r="AF907" s="135"/>
      <c r="AG907" s="135"/>
    </row>
    <row r="908" spans="15:33" ht="15.75" customHeight="1" x14ac:dyDescent="0.3">
      <c r="O908" s="135"/>
      <c r="P908" s="157"/>
      <c r="Q908" s="157"/>
      <c r="R908" s="157"/>
      <c r="S908" s="157"/>
      <c r="T908" s="157"/>
      <c r="U908" s="157"/>
      <c r="V908" s="157"/>
      <c r="W908" s="135"/>
      <c r="X908" s="135"/>
      <c r="Y908" s="135"/>
      <c r="Z908" s="135"/>
      <c r="AA908" s="135"/>
      <c r="AB908" s="135"/>
      <c r="AC908" s="135"/>
      <c r="AD908" s="135"/>
      <c r="AE908" s="135"/>
      <c r="AF908" s="135"/>
      <c r="AG908" s="135"/>
    </row>
    <row r="909" spans="15:33" ht="15.75" customHeight="1" x14ac:dyDescent="0.3">
      <c r="O909" s="135"/>
      <c r="P909" s="157"/>
      <c r="Q909" s="157"/>
      <c r="R909" s="157"/>
      <c r="S909" s="157"/>
      <c r="T909" s="157"/>
      <c r="U909" s="157"/>
      <c r="V909" s="157"/>
      <c r="W909" s="135"/>
      <c r="X909" s="135"/>
      <c r="Y909" s="135"/>
      <c r="Z909" s="135"/>
      <c r="AA909" s="135"/>
      <c r="AB909" s="135"/>
      <c r="AC909" s="135"/>
      <c r="AD909" s="135"/>
      <c r="AE909" s="135"/>
      <c r="AF909" s="135"/>
      <c r="AG909" s="135"/>
    </row>
    <row r="910" spans="15:33" ht="15.75" customHeight="1" x14ac:dyDescent="0.3">
      <c r="O910" s="135"/>
      <c r="P910" s="157"/>
      <c r="Q910" s="157"/>
      <c r="R910" s="157"/>
      <c r="S910" s="157"/>
      <c r="T910" s="157"/>
      <c r="U910" s="157"/>
      <c r="V910" s="157"/>
      <c r="W910" s="135"/>
      <c r="X910" s="135"/>
      <c r="Y910" s="135"/>
      <c r="Z910" s="135"/>
      <c r="AA910" s="135"/>
      <c r="AB910" s="135"/>
      <c r="AC910" s="135"/>
      <c r="AD910" s="135"/>
      <c r="AE910" s="135"/>
      <c r="AF910" s="135"/>
      <c r="AG910" s="135"/>
    </row>
    <row r="911" spans="15:33" ht="15.75" customHeight="1" x14ac:dyDescent="0.3">
      <c r="O911" s="135"/>
      <c r="P911" s="157"/>
      <c r="Q911" s="157"/>
      <c r="R911" s="157"/>
      <c r="S911" s="157"/>
      <c r="T911" s="157"/>
      <c r="U911" s="157"/>
      <c r="V911" s="157"/>
      <c r="W911" s="135"/>
      <c r="X911" s="135"/>
      <c r="Y911" s="135"/>
      <c r="Z911" s="135"/>
      <c r="AA911" s="135"/>
      <c r="AB911" s="135"/>
      <c r="AC911" s="135"/>
      <c r="AD911" s="135"/>
      <c r="AE911" s="135"/>
      <c r="AF911" s="135"/>
      <c r="AG911" s="135"/>
    </row>
    <row r="912" spans="15:33" ht="15.75" customHeight="1" x14ac:dyDescent="0.3">
      <c r="O912" s="135"/>
      <c r="P912" s="157"/>
      <c r="Q912" s="157"/>
      <c r="R912" s="157"/>
      <c r="S912" s="157"/>
      <c r="T912" s="157"/>
      <c r="U912" s="157"/>
      <c r="V912" s="157"/>
      <c r="W912" s="135"/>
      <c r="X912" s="135"/>
      <c r="Y912" s="135"/>
      <c r="Z912" s="135"/>
      <c r="AA912" s="135"/>
      <c r="AB912" s="135"/>
      <c r="AC912" s="135"/>
      <c r="AD912" s="135"/>
      <c r="AE912" s="135"/>
      <c r="AF912" s="135"/>
      <c r="AG912" s="135"/>
    </row>
    <row r="913" spans="15:33" ht="15.75" customHeight="1" x14ac:dyDescent="0.3">
      <c r="O913" s="135"/>
      <c r="P913" s="157"/>
      <c r="Q913" s="157"/>
      <c r="R913" s="157"/>
      <c r="S913" s="157"/>
      <c r="T913" s="157"/>
      <c r="U913" s="157"/>
      <c r="V913" s="157"/>
      <c r="W913" s="135"/>
      <c r="X913" s="135"/>
      <c r="Y913" s="135"/>
      <c r="Z913" s="135"/>
      <c r="AA913" s="135"/>
      <c r="AB913" s="135"/>
      <c r="AC913" s="135"/>
      <c r="AD913" s="135"/>
      <c r="AE913" s="135"/>
      <c r="AF913" s="135"/>
      <c r="AG913" s="135"/>
    </row>
    <row r="914" spans="15:33" ht="15.75" customHeight="1" x14ac:dyDescent="0.3">
      <c r="O914" s="135"/>
      <c r="P914" s="157"/>
      <c r="Q914" s="157"/>
      <c r="R914" s="157"/>
      <c r="S914" s="157"/>
      <c r="T914" s="157"/>
      <c r="U914" s="157"/>
      <c r="V914" s="157"/>
      <c r="W914" s="135"/>
      <c r="X914" s="135"/>
      <c r="Y914" s="135"/>
      <c r="Z914" s="135"/>
      <c r="AA914" s="135"/>
      <c r="AB914" s="135"/>
      <c r="AC914" s="135"/>
      <c r="AD914" s="135"/>
      <c r="AE914" s="135"/>
      <c r="AF914" s="135"/>
      <c r="AG914" s="135"/>
    </row>
    <row r="915" spans="15:33" ht="15.75" customHeight="1" x14ac:dyDescent="0.3">
      <c r="O915" s="135"/>
      <c r="P915" s="157"/>
      <c r="Q915" s="157"/>
      <c r="R915" s="157"/>
      <c r="S915" s="157"/>
      <c r="T915" s="157"/>
      <c r="U915" s="157"/>
      <c r="V915" s="157"/>
      <c r="W915" s="135"/>
      <c r="X915" s="135"/>
      <c r="Y915" s="135"/>
      <c r="Z915" s="135"/>
      <c r="AA915" s="135"/>
      <c r="AB915" s="135"/>
      <c r="AC915" s="135"/>
      <c r="AD915" s="135"/>
      <c r="AE915" s="135"/>
      <c r="AF915" s="135"/>
      <c r="AG915" s="135"/>
    </row>
    <row r="916" spans="15:33" ht="15.75" customHeight="1" x14ac:dyDescent="0.3">
      <c r="O916" s="135"/>
      <c r="P916" s="157"/>
      <c r="Q916" s="157"/>
      <c r="R916" s="157"/>
      <c r="S916" s="157"/>
      <c r="T916" s="157"/>
      <c r="U916" s="157"/>
      <c r="V916" s="157"/>
      <c r="W916" s="135"/>
      <c r="X916" s="135"/>
      <c r="Y916" s="135"/>
      <c r="Z916" s="135"/>
      <c r="AA916" s="135"/>
      <c r="AB916" s="135"/>
      <c r="AC916" s="135"/>
      <c r="AD916" s="135"/>
      <c r="AE916" s="135"/>
      <c r="AF916" s="135"/>
      <c r="AG916" s="135"/>
    </row>
    <row r="917" spans="15:33" ht="15.75" customHeight="1" x14ac:dyDescent="0.3">
      <c r="O917" s="135"/>
      <c r="P917" s="157"/>
      <c r="Q917" s="157"/>
      <c r="R917" s="157"/>
      <c r="S917" s="157"/>
      <c r="T917" s="157"/>
      <c r="U917" s="157"/>
      <c r="V917" s="157"/>
      <c r="W917" s="135"/>
      <c r="X917" s="135"/>
      <c r="Y917" s="135"/>
      <c r="Z917" s="135"/>
      <c r="AA917" s="135"/>
      <c r="AB917" s="135"/>
      <c r="AC917" s="135"/>
      <c r="AD917" s="135"/>
      <c r="AE917" s="135"/>
      <c r="AF917" s="135"/>
      <c r="AG917" s="135"/>
    </row>
    <row r="918" spans="15:33" ht="15.75" customHeight="1" x14ac:dyDescent="0.3">
      <c r="O918" s="135"/>
      <c r="P918" s="157"/>
      <c r="Q918" s="157"/>
      <c r="R918" s="157"/>
      <c r="S918" s="157"/>
      <c r="T918" s="157"/>
      <c r="U918" s="157"/>
      <c r="V918" s="157"/>
      <c r="W918" s="135"/>
      <c r="X918" s="135"/>
      <c r="Y918" s="135"/>
      <c r="Z918" s="135"/>
      <c r="AA918" s="135"/>
      <c r="AB918" s="135"/>
      <c r="AC918" s="135"/>
      <c r="AD918" s="135"/>
      <c r="AE918" s="135"/>
      <c r="AF918" s="135"/>
      <c r="AG918" s="135"/>
    </row>
    <row r="919" spans="15:33" ht="15.75" customHeight="1" x14ac:dyDescent="0.3">
      <c r="O919" s="135"/>
      <c r="P919" s="157"/>
      <c r="Q919" s="157"/>
      <c r="R919" s="157"/>
      <c r="S919" s="157"/>
      <c r="T919" s="157"/>
      <c r="U919" s="157"/>
      <c r="V919" s="157"/>
      <c r="W919" s="135"/>
      <c r="X919" s="135"/>
      <c r="Y919" s="135"/>
      <c r="Z919" s="135"/>
      <c r="AA919" s="135"/>
      <c r="AB919" s="135"/>
      <c r="AC919" s="135"/>
      <c r="AD919" s="135"/>
      <c r="AE919" s="135"/>
      <c r="AF919" s="135"/>
      <c r="AG919" s="135"/>
    </row>
    <row r="920" spans="15:33" ht="15.75" customHeight="1" x14ac:dyDescent="0.3">
      <c r="O920" s="135"/>
      <c r="P920" s="157"/>
      <c r="Q920" s="157"/>
      <c r="R920" s="157"/>
      <c r="S920" s="157"/>
      <c r="T920" s="157"/>
      <c r="U920" s="157"/>
      <c r="V920" s="157"/>
      <c r="W920" s="135"/>
      <c r="X920" s="135"/>
      <c r="Y920" s="135"/>
      <c r="Z920" s="135"/>
      <c r="AA920" s="135"/>
      <c r="AB920" s="135"/>
      <c r="AC920" s="135"/>
      <c r="AD920" s="135"/>
      <c r="AE920" s="135"/>
      <c r="AF920" s="135"/>
      <c r="AG920" s="135"/>
    </row>
    <row r="921" spans="15:33" ht="15.75" customHeight="1" x14ac:dyDescent="0.3">
      <c r="O921" s="135"/>
      <c r="P921" s="157"/>
      <c r="Q921" s="157"/>
      <c r="R921" s="157"/>
      <c r="S921" s="157"/>
      <c r="T921" s="157"/>
      <c r="U921" s="157"/>
      <c r="V921" s="157"/>
      <c r="W921" s="135"/>
      <c r="X921" s="135"/>
      <c r="Y921" s="135"/>
      <c r="Z921" s="135"/>
      <c r="AA921" s="135"/>
      <c r="AB921" s="135"/>
      <c r="AC921" s="135"/>
      <c r="AD921" s="135"/>
      <c r="AE921" s="135"/>
      <c r="AF921" s="135"/>
      <c r="AG921" s="135"/>
    </row>
    <row r="922" spans="15:33" ht="15.75" customHeight="1" x14ac:dyDescent="0.3">
      <c r="O922" s="135"/>
      <c r="P922" s="157"/>
      <c r="Q922" s="157"/>
      <c r="R922" s="157"/>
      <c r="S922" s="157"/>
      <c r="T922" s="157"/>
      <c r="U922" s="157"/>
      <c r="V922" s="157"/>
      <c r="W922" s="135"/>
      <c r="X922" s="135"/>
      <c r="Y922" s="135"/>
      <c r="Z922" s="135"/>
      <c r="AA922" s="135"/>
      <c r="AB922" s="135"/>
      <c r="AC922" s="135"/>
      <c r="AD922" s="135"/>
      <c r="AE922" s="135"/>
      <c r="AF922" s="135"/>
      <c r="AG922" s="135"/>
    </row>
    <row r="923" spans="15:33" ht="15.75" customHeight="1" x14ac:dyDescent="0.3">
      <c r="O923" s="135"/>
      <c r="P923" s="157"/>
      <c r="Q923" s="157"/>
      <c r="R923" s="157"/>
      <c r="S923" s="157"/>
      <c r="T923" s="157"/>
      <c r="U923" s="157"/>
      <c r="V923" s="157"/>
      <c r="W923" s="135"/>
      <c r="X923" s="135"/>
      <c r="Y923" s="135"/>
      <c r="Z923" s="135"/>
      <c r="AA923" s="135"/>
      <c r="AB923" s="135"/>
      <c r="AC923" s="135"/>
      <c r="AD923" s="135"/>
      <c r="AE923" s="135"/>
      <c r="AF923" s="135"/>
      <c r="AG923" s="135"/>
    </row>
    <row r="924" spans="15:33" ht="15.75" customHeight="1" x14ac:dyDescent="0.3">
      <c r="O924" s="135"/>
      <c r="P924" s="157"/>
      <c r="Q924" s="157"/>
      <c r="R924" s="157"/>
      <c r="S924" s="157"/>
      <c r="T924" s="157"/>
      <c r="U924" s="157"/>
      <c r="V924" s="157"/>
      <c r="W924" s="135"/>
      <c r="X924" s="135"/>
      <c r="Y924" s="135"/>
      <c r="Z924" s="135"/>
      <c r="AA924" s="135"/>
      <c r="AB924" s="135"/>
      <c r="AC924" s="135"/>
      <c r="AD924" s="135"/>
      <c r="AE924" s="135"/>
      <c r="AF924" s="135"/>
      <c r="AG924" s="135"/>
    </row>
    <row r="925" spans="15:33" ht="15.75" customHeight="1" x14ac:dyDescent="0.3">
      <c r="O925" s="135"/>
      <c r="P925" s="157"/>
      <c r="Q925" s="157"/>
      <c r="R925" s="157"/>
      <c r="S925" s="157"/>
      <c r="T925" s="157"/>
      <c r="U925" s="157"/>
      <c r="V925" s="157"/>
      <c r="W925" s="135"/>
      <c r="X925" s="135"/>
      <c r="Y925" s="135"/>
      <c r="Z925" s="135"/>
      <c r="AA925" s="135"/>
      <c r="AB925" s="135"/>
      <c r="AC925" s="135"/>
      <c r="AD925" s="135"/>
      <c r="AE925" s="135"/>
      <c r="AF925" s="135"/>
      <c r="AG925" s="135"/>
    </row>
    <row r="926" spans="15:33" ht="15.75" customHeight="1" x14ac:dyDescent="0.3">
      <c r="O926" s="135"/>
      <c r="P926" s="157"/>
      <c r="Q926" s="157"/>
      <c r="R926" s="157"/>
      <c r="S926" s="157"/>
      <c r="T926" s="157"/>
      <c r="U926" s="157"/>
      <c r="V926" s="157"/>
      <c r="W926" s="135"/>
      <c r="X926" s="135"/>
      <c r="Y926" s="135"/>
      <c r="Z926" s="135"/>
      <c r="AA926" s="135"/>
      <c r="AB926" s="135"/>
      <c r="AC926" s="135"/>
      <c r="AD926" s="135"/>
      <c r="AE926" s="135"/>
      <c r="AF926" s="135"/>
      <c r="AG926" s="135"/>
    </row>
    <row r="927" spans="15:33" ht="15.75" customHeight="1" x14ac:dyDescent="0.3">
      <c r="O927" s="135"/>
      <c r="P927" s="157"/>
      <c r="Q927" s="157"/>
      <c r="R927" s="157"/>
      <c r="S927" s="157"/>
      <c r="T927" s="157"/>
      <c r="U927" s="157"/>
      <c r="V927" s="157"/>
      <c r="W927" s="135"/>
      <c r="X927" s="135"/>
      <c r="Y927" s="135"/>
      <c r="Z927" s="135"/>
      <c r="AA927" s="135"/>
      <c r="AB927" s="135"/>
      <c r="AC927" s="135"/>
      <c r="AD927" s="135"/>
      <c r="AE927" s="135"/>
      <c r="AF927" s="135"/>
      <c r="AG927" s="135"/>
    </row>
    <row r="928" spans="15:33" ht="15.75" customHeight="1" x14ac:dyDescent="0.3">
      <c r="O928" s="135"/>
      <c r="P928" s="157"/>
      <c r="Q928" s="157"/>
      <c r="R928" s="157"/>
      <c r="S928" s="157"/>
      <c r="T928" s="157"/>
      <c r="U928" s="157"/>
      <c r="V928" s="157"/>
      <c r="W928" s="135"/>
      <c r="X928" s="135"/>
      <c r="Y928" s="135"/>
      <c r="Z928" s="135"/>
      <c r="AA928" s="135"/>
      <c r="AB928" s="135"/>
      <c r="AC928" s="135"/>
      <c r="AD928" s="135"/>
      <c r="AE928" s="135"/>
      <c r="AF928" s="135"/>
      <c r="AG928" s="135"/>
    </row>
    <row r="929" spans="15:33" ht="15.75" customHeight="1" x14ac:dyDescent="0.3">
      <c r="O929" s="135"/>
      <c r="P929" s="157"/>
      <c r="Q929" s="157"/>
      <c r="R929" s="157"/>
      <c r="S929" s="157"/>
      <c r="T929" s="157"/>
      <c r="U929" s="157"/>
      <c r="V929" s="157"/>
      <c r="W929" s="135"/>
      <c r="X929" s="135"/>
      <c r="Y929" s="135"/>
      <c r="Z929" s="135"/>
      <c r="AA929" s="135"/>
      <c r="AB929" s="135"/>
      <c r="AC929" s="135"/>
      <c r="AD929" s="135"/>
      <c r="AE929" s="135"/>
      <c r="AF929" s="135"/>
      <c r="AG929" s="135"/>
    </row>
    <row r="930" spans="15:33" ht="15.75" customHeight="1" x14ac:dyDescent="0.3">
      <c r="O930" s="135"/>
      <c r="P930" s="157"/>
      <c r="Q930" s="157"/>
      <c r="R930" s="157"/>
      <c r="S930" s="157"/>
      <c r="T930" s="157"/>
      <c r="U930" s="157"/>
      <c r="V930" s="157"/>
      <c r="W930" s="135"/>
      <c r="X930" s="135"/>
      <c r="Y930" s="135"/>
      <c r="Z930" s="135"/>
      <c r="AA930" s="135"/>
      <c r="AB930" s="135"/>
      <c r="AC930" s="135"/>
      <c r="AD930" s="135"/>
      <c r="AE930" s="135"/>
      <c r="AF930" s="135"/>
      <c r="AG930" s="135"/>
    </row>
    <row r="931" spans="15:33" ht="15.75" customHeight="1" x14ac:dyDescent="0.3">
      <c r="O931" s="135"/>
      <c r="P931" s="157"/>
      <c r="Q931" s="157"/>
      <c r="R931" s="157"/>
      <c r="S931" s="157"/>
      <c r="T931" s="157"/>
      <c r="U931" s="157"/>
      <c r="V931" s="157"/>
      <c r="W931" s="135"/>
      <c r="X931" s="135"/>
      <c r="Y931" s="135"/>
      <c r="Z931" s="135"/>
      <c r="AA931" s="135"/>
      <c r="AB931" s="135"/>
      <c r="AC931" s="135"/>
      <c r="AD931" s="135"/>
      <c r="AE931" s="135"/>
      <c r="AF931" s="135"/>
      <c r="AG931" s="135"/>
    </row>
    <row r="932" spans="15:33" ht="15.75" customHeight="1" x14ac:dyDescent="0.3">
      <c r="O932" s="135"/>
      <c r="P932" s="157"/>
      <c r="Q932" s="157"/>
      <c r="R932" s="157"/>
      <c r="S932" s="157"/>
      <c r="T932" s="157"/>
      <c r="U932" s="157"/>
      <c r="V932" s="157"/>
      <c r="W932" s="135"/>
      <c r="X932" s="135"/>
      <c r="Y932" s="135"/>
      <c r="Z932" s="135"/>
      <c r="AA932" s="135"/>
      <c r="AB932" s="135"/>
      <c r="AC932" s="135"/>
      <c r="AD932" s="135"/>
      <c r="AE932" s="135"/>
      <c r="AF932" s="135"/>
      <c r="AG932" s="135"/>
    </row>
    <row r="933" spans="15:33" ht="15.75" customHeight="1" x14ac:dyDescent="0.3">
      <c r="O933" s="135"/>
      <c r="P933" s="157"/>
      <c r="Q933" s="157"/>
      <c r="R933" s="157"/>
      <c r="S933" s="157"/>
      <c r="T933" s="157"/>
      <c r="U933" s="157"/>
      <c r="V933" s="157"/>
      <c r="W933" s="135"/>
      <c r="X933" s="135"/>
      <c r="Y933" s="135"/>
      <c r="Z933" s="135"/>
      <c r="AA933" s="135"/>
      <c r="AB933" s="135"/>
      <c r="AC933" s="135"/>
      <c r="AD933" s="135"/>
      <c r="AE933" s="135"/>
      <c r="AF933" s="135"/>
      <c r="AG933" s="135"/>
    </row>
    <row r="934" spans="15:33" ht="15.75" customHeight="1" x14ac:dyDescent="0.3">
      <c r="O934" s="135"/>
      <c r="P934" s="157"/>
      <c r="Q934" s="157"/>
      <c r="R934" s="157"/>
      <c r="S934" s="157"/>
      <c r="T934" s="157"/>
      <c r="U934" s="157"/>
      <c r="V934" s="157"/>
      <c r="W934" s="135"/>
      <c r="X934" s="135"/>
      <c r="Y934" s="135"/>
      <c r="Z934" s="135"/>
      <c r="AA934" s="135"/>
      <c r="AB934" s="135"/>
      <c r="AC934" s="135"/>
      <c r="AD934" s="135"/>
      <c r="AE934" s="135"/>
      <c r="AF934" s="135"/>
      <c r="AG934" s="135"/>
    </row>
    <row r="935" spans="15:33" ht="15.75" customHeight="1" x14ac:dyDescent="0.3">
      <c r="O935" s="135"/>
      <c r="P935" s="157"/>
      <c r="Q935" s="157"/>
      <c r="R935" s="157"/>
      <c r="S935" s="157"/>
      <c r="T935" s="157"/>
      <c r="U935" s="157"/>
      <c r="V935" s="157"/>
      <c r="W935" s="135"/>
      <c r="X935" s="135"/>
      <c r="Y935" s="135"/>
      <c r="Z935" s="135"/>
      <c r="AA935" s="135"/>
      <c r="AB935" s="135"/>
      <c r="AC935" s="135"/>
      <c r="AD935" s="135"/>
      <c r="AE935" s="135"/>
      <c r="AF935" s="135"/>
      <c r="AG935" s="135"/>
    </row>
    <row r="936" spans="15:33" ht="15.75" customHeight="1" x14ac:dyDescent="0.3">
      <c r="O936" s="135"/>
      <c r="P936" s="157"/>
      <c r="Q936" s="157"/>
      <c r="R936" s="157"/>
      <c r="S936" s="157"/>
      <c r="T936" s="157"/>
      <c r="U936" s="157"/>
      <c r="V936" s="157"/>
      <c r="W936" s="135"/>
      <c r="X936" s="135"/>
      <c r="Y936" s="135"/>
      <c r="Z936" s="135"/>
      <c r="AA936" s="135"/>
      <c r="AB936" s="135"/>
      <c r="AC936" s="135"/>
      <c r="AD936" s="135"/>
      <c r="AE936" s="135"/>
      <c r="AF936" s="135"/>
      <c r="AG936" s="135"/>
    </row>
    <row r="937" spans="15:33" ht="15.75" customHeight="1" x14ac:dyDescent="0.3">
      <c r="O937" s="135"/>
      <c r="P937" s="157"/>
      <c r="Q937" s="157"/>
      <c r="R937" s="157"/>
      <c r="S937" s="157"/>
      <c r="T937" s="157"/>
      <c r="U937" s="157"/>
      <c r="V937" s="157"/>
      <c r="W937" s="135"/>
      <c r="X937" s="135"/>
      <c r="Y937" s="135"/>
      <c r="Z937" s="135"/>
      <c r="AA937" s="135"/>
      <c r="AB937" s="135"/>
      <c r="AC937" s="135"/>
      <c r="AD937" s="135"/>
      <c r="AE937" s="135"/>
      <c r="AF937" s="135"/>
      <c r="AG937" s="135"/>
    </row>
    <row r="938" spans="15:33" ht="15.75" customHeight="1" x14ac:dyDescent="0.3">
      <c r="O938" s="135"/>
      <c r="P938" s="157"/>
      <c r="Q938" s="157"/>
      <c r="R938" s="157"/>
      <c r="S938" s="157"/>
      <c r="T938" s="157"/>
      <c r="U938" s="157"/>
      <c r="V938" s="157"/>
      <c r="W938" s="135"/>
      <c r="X938" s="135"/>
      <c r="Y938" s="135"/>
      <c r="Z938" s="135"/>
      <c r="AA938" s="135"/>
      <c r="AB938" s="135"/>
      <c r="AC938" s="135"/>
      <c r="AD938" s="135"/>
      <c r="AE938" s="135"/>
      <c r="AF938" s="135"/>
      <c r="AG938" s="135"/>
    </row>
    <row r="939" spans="15:33" ht="15.75" customHeight="1" x14ac:dyDescent="0.3">
      <c r="O939" s="135"/>
      <c r="P939" s="157"/>
      <c r="Q939" s="157"/>
      <c r="R939" s="157"/>
      <c r="S939" s="157"/>
      <c r="T939" s="157"/>
      <c r="U939" s="157"/>
      <c r="V939" s="157"/>
      <c r="W939" s="135"/>
      <c r="X939" s="135"/>
      <c r="Y939" s="135"/>
      <c r="Z939" s="135"/>
      <c r="AA939" s="135"/>
      <c r="AB939" s="135"/>
      <c r="AC939" s="135"/>
      <c r="AD939" s="135"/>
      <c r="AE939" s="135"/>
      <c r="AF939" s="135"/>
      <c r="AG939" s="135"/>
    </row>
    <row r="940" spans="15:33" ht="15.75" customHeight="1" x14ac:dyDescent="0.3">
      <c r="O940" s="135"/>
      <c r="P940" s="157"/>
      <c r="Q940" s="157"/>
      <c r="R940" s="157"/>
      <c r="S940" s="157"/>
      <c r="T940" s="157"/>
      <c r="U940" s="157"/>
      <c r="V940" s="157"/>
      <c r="W940" s="135"/>
      <c r="X940" s="135"/>
      <c r="Y940" s="135"/>
      <c r="Z940" s="135"/>
      <c r="AA940" s="135"/>
      <c r="AB940" s="135"/>
      <c r="AC940" s="135"/>
      <c r="AD940" s="135"/>
      <c r="AE940" s="135"/>
      <c r="AF940" s="135"/>
      <c r="AG940" s="135"/>
    </row>
    <row r="941" spans="15:33" ht="15.75" customHeight="1" x14ac:dyDescent="0.3">
      <c r="O941" s="135"/>
      <c r="P941" s="157"/>
      <c r="Q941" s="157"/>
      <c r="R941" s="157"/>
      <c r="S941" s="157"/>
      <c r="T941" s="157"/>
      <c r="U941" s="157"/>
      <c r="V941" s="157"/>
      <c r="W941" s="135"/>
      <c r="X941" s="135"/>
      <c r="Y941" s="135"/>
      <c r="Z941" s="135"/>
      <c r="AA941" s="135"/>
      <c r="AB941" s="135"/>
      <c r="AC941" s="135"/>
      <c r="AD941" s="135"/>
      <c r="AE941" s="135"/>
      <c r="AF941" s="135"/>
      <c r="AG941" s="135"/>
    </row>
    <row r="942" spans="15:33" ht="15.75" customHeight="1" x14ac:dyDescent="0.3">
      <c r="O942" s="135"/>
      <c r="P942" s="157"/>
      <c r="Q942" s="157"/>
      <c r="R942" s="157"/>
      <c r="S942" s="157"/>
      <c r="T942" s="157"/>
      <c r="U942" s="157"/>
      <c r="V942" s="157"/>
      <c r="W942" s="135"/>
      <c r="X942" s="135"/>
      <c r="Y942" s="135"/>
      <c r="Z942" s="135"/>
      <c r="AA942" s="135"/>
      <c r="AB942" s="135"/>
      <c r="AC942" s="135"/>
      <c r="AD942" s="135"/>
      <c r="AE942" s="135"/>
      <c r="AF942" s="135"/>
      <c r="AG942" s="135"/>
    </row>
    <row r="943" spans="15:33" ht="15.75" customHeight="1" x14ac:dyDescent="0.3">
      <c r="O943" s="135"/>
      <c r="P943" s="157"/>
      <c r="Q943" s="157"/>
      <c r="R943" s="157"/>
      <c r="S943" s="157"/>
      <c r="T943" s="157"/>
      <c r="U943" s="157"/>
      <c r="V943" s="157"/>
      <c r="W943" s="135"/>
      <c r="X943" s="135"/>
      <c r="Y943" s="135"/>
      <c r="Z943" s="135"/>
      <c r="AA943" s="135"/>
      <c r="AB943" s="135"/>
      <c r="AC943" s="135"/>
      <c r="AD943" s="135"/>
      <c r="AE943" s="135"/>
      <c r="AF943" s="135"/>
      <c r="AG943" s="135"/>
    </row>
    <row r="944" spans="15:33" ht="15.75" customHeight="1" x14ac:dyDescent="0.3">
      <c r="O944" s="135"/>
      <c r="P944" s="157"/>
      <c r="Q944" s="157"/>
      <c r="R944" s="157"/>
      <c r="S944" s="157"/>
      <c r="T944" s="157"/>
      <c r="U944" s="157"/>
      <c r="V944" s="157"/>
      <c r="W944" s="135"/>
      <c r="X944" s="135"/>
      <c r="Y944" s="135"/>
      <c r="Z944" s="135"/>
      <c r="AA944" s="135"/>
      <c r="AB944" s="135"/>
      <c r="AC944" s="135"/>
      <c r="AD944" s="135"/>
      <c r="AE944" s="135"/>
      <c r="AF944" s="135"/>
      <c r="AG944" s="135"/>
    </row>
    <row r="945" spans="15:33" ht="15.75" customHeight="1" x14ac:dyDescent="0.3">
      <c r="O945" s="135"/>
      <c r="P945" s="157"/>
      <c r="Q945" s="157"/>
      <c r="R945" s="157"/>
      <c r="S945" s="157"/>
      <c r="T945" s="157"/>
      <c r="U945" s="157"/>
      <c r="V945" s="157"/>
      <c r="W945" s="135"/>
      <c r="X945" s="135"/>
      <c r="Y945" s="135"/>
      <c r="Z945" s="135"/>
      <c r="AA945" s="135"/>
      <c r="AB945" s="135"/>
      <c r="AC945" s="135"/>
      <c r="AD945" s="135"/>
      <c r="AE945" s="135"/>
      <c r="AF945" s="135"/>
      <c r="AG945" s="135"/>
    </row>
    <row r="946" spans="15:33" ht="15.75" customHeight="1" x14ac:dyDescent="0.3">
      <c r="O946" s="135"/>
      <c r="P946" s="157"/>
      <c r="Q946" s="157"/>
      <c r="R946" s="157"/>
      <c r="S946" s="157"/>
      <c r="T946" s="157"/>
      <c r="U946" s="157"/>
      <c r="V946" s="157"/>
      <c r="W946" s="135"/>
      <c r="X946" s="135"/>
      <c r="Y946" s="135"/>
      <c r="Z946" s="135"/>
      <c r="AA946" s="135"/>
      <c r="AB946" s="135"/>
      <c r="AC946" s="135"/>
      <c r="AD946" s="135"/>
      <c r="AE946" s="135"/>
      <c r="AF946" s="135"/>
      <c r="AG946" s="135"/>
    </row>
    <row r="947" spans="15:33" ht="15.75" customHeight="1" x14ac:dyDescent="0.3">
      <c r="O947" s="135"/>
      <c r="P947" s="157"/>
      <c r="Q947" s="157"/>
      <c r="R947" s="157"/>
      <c r="S947" s="157"/>
      <c r="T947" s="157"/>
      <c r="U947" s="157"/>
      <c r="V947" s="157"/>
      <c r="W947" s="135"/>
      <c r="X947" s="135"/>
      <c r="Y947" s="135"/>
      <c r="Z947" s="135"/>
      <c r="AA947" s="135"/>
      <c r="AB947" s="135"/>
      <c r="AC947" s="135"/>
      <c r="AD947" s="135"/>
      <c r="AE947" s="135"/>
      <c r="AF947" s="135"/>
      <c r="AG947" s="135"/>
    </row>
    <row r="948" spans="15:33" ht="15.75" customHeight="1" x14ac:dyDescent="0.3">
      <c r="O948" s="135"/>
      <c r="P948" s="157"/>
      <c r="Q948" s="157"/>
      <c r="R948" s="157"/>
      <c r="S948" s="157"/>
      <c r="T948" s="157"/>
      <c r="U948" s="157"/>
      <c r="V948" s="157"/>
      <c r="W948" s="135"/>
      <c r="X948" s="135"/>
      <c r="Y948" s="135"/>
      <c r="Z948" s="135"/>
      <c r="AA948" s="135"/>
      <c r="AB948" s="135"/>
      <c r="AC948" s="135"/>
      <c r="AD948" s="135"/>
      <c r="AE948" s="135"/>
      <c r="AF948" s="135"/>
      <c r="AG948" s="135"/>
    </row>
    <row r="949" spans="15:33" ht="15.75" customHeight="1" x14ac:dyDescent="0.3">
      <c r="O949" s="135"/>
      <c r="P949" s="157"/>
      <c r="Q949" s="157"/>
      <c r="R949" s="157"/>
      <c r="S949" s="157"/>
      <c r="T949" s="157"/>
      <c r="U949" s="157"/>
      <c r="V949" s="157"/>
      <c r="W949" s="135"/>
      <c r="X949" s="135"/>
      <c r="Y949" s="135"/>
      <c r="Z949" s="135"/>
      <c r="AA949" s="135"/>
      <c r="AB949" s="135"/>
      <c r="AC949" s="135"/>
      <c r="AD949" s="135"/>
      <c r="AE949" s="135"/>
      <c r="AF949" s="135"/>
      <c r="AG949" s="135"/>
    </row>
    <row r="950" spans="15:33" ht="15.75" customHeight="1" x14ac:dyDescent="0.3">
      <c r="O950" s="135"/>
      <c r="P950" s="157"/>
      <c r="Q950" s="157"/>
      <c r="R950" s="157"/>
      <c r="S950" s="157"/>
      <c r="T950" s="157"/>
      <c r="U950" s="157"/>
      <c r="V950" s="157"/>
      <c r="W950" s="135"/>
      <c r="X950" s="135"/>
      <c r="Y950" s="135"/>
      <c r="Z950" s="135"/>
      <c r="AA950" s="135"/>
      <c r="AB950" s="135"/>
      <c r="AC950" s="135"/>
      <c r="AD950" s="135"/>
      <c r="AE950" s="135"/>
      <c r="AF950" s="135"/>
      <c r="AG950" s="135"/>
    </row>
    <row r="951" spans="15:33" ht="15.75" customHeight="1" x14ac:dyDescent="0.3">
      <c r="O951" s="135"/>
      <c r="P951" s="157"/>
      <c r="Q951" s="157"/>
      <c r="R951" s="157"/>
      <c r="S951" s="157"/>
      <c r="T951" s="157"/>
      <c r="U951" s="157"/>
      <c r="V951" s="157"/>
      <c r="W951" s="135"/>
      <c r="X951" s="135"/>
      <c r="Y951" s="135"/>
      <c r="Z951" s="135"/>
      <c r="AA951" s="135"/>
      <c r="AB951" s="135"/>
      <c r="AC951" s="135"/>
      <c r="AD951" s="135"/>
      <c r="AE951" s="135"/>
      <c r="AF951" s="135"/>
      <c r="AG951" s="135"/>
    </row>
    <row r="952" spans="15:33" ht="15.75" customHeight="1" x14ac:dyDescent="0.3">
      <c r="O952" s="135"/>
      <c r="P952" s="157"/>
      <c r="Q952" s="157"/>
      <c r="R952" s="157"/>
      <c r="S952" s="157"/>
      <c r="T952" s="157"/>
      <c r="U952" s="157"/>
      <c r="V952" s="157"/>
      <c r="W952" s="135"/>
      <c r="X952" s="135"/>
      <c r="Y952" s="135"/>
      <c r="Z952" s="135"/>
      <c r="AA952" s="135"/>
      <c r="AB952" s="135"/>
      <c r="AC952" s="135"/>
      <c r="AD952" s="135"/>
      <c r="AE952" s="135"/>
      <c r="AF952" s="135"/>
      <c r="AG952" s="135"/>
    </row>
    <row r="953" spans="15:33" ht="15.75" customHeight="1" x14ac:dyDescent="0.3">
      <c r="O953" s="135"/>
      <c r="P953" s="157"/>
      <c r="Q953" s="157"/>
      <c r="R953" s="157"/>
      <c r="S953" s="157"/>
      <c r="T953" s="157"/>
      <c r="U953" s="157"/>
      <c r="V953" s="157"/>
      <c r="W953" s="135"/>
      <c r="X953" s="135"/>
      <c r="Y953" s="135"/>
      <c r="Z953" s="135"/>
      <c r="AA953" s="135"/>
      <c r="AB953" s="135"/>
      <c r="AC953" s="135"/>
      <c r="AD953" s="135"/>
      <c r="AE953" s="135"/>
      <c r="AF953" s="135"/>
      <c r="AG953" s="135"/>
    </row>
    <row r="954" spans="15:33" ht="15.75" customHeight="1" x14ac:dyDescent="0.3">
      <c r="O954" s="135"/>
      <c r="P954" s="157"/>
      <c r="Q954" s="157"/>
      <c r="R954" s="157"/>
      <c r="S954" s="157"/>
      <c r="T954" s="157"/>
      <c r="U954" s="157"/>
      <c r="V954" s="157"/>
      <c r="W954" s="135"/>
      <c r="X954" s="135"/>
      <c r="Y954" s="135"/>
      <c r="Z954" s="135"/>
      <c r="AA954" s="135"/>
      <c r="AB954" s="135"/>
      <c r="AC954" s="135"/>
      <c r="AD954" s="135"/>
      <c r="AE954" s="135"/>
      <c r="AF954" s="135"/>
      <c r="AG954" s="135"/>
    </row>
    <row r="955" spans="15:33" ht="15.75" customHeight="1" x14ac:dyDescent="0.3">
      <c r="O955" s="135"/>
      <c r="P955" s="157"/>
      <c r="Q955" s="157"/>
      <c r="R955" s="157"/>
      <c r="S955" s="157"/>
      <c r="T955" s="157"/>
      <c r="U955" s="157"/>
      <c r="V955" s="157"/>
      <c r="W955" s="135"/>
      <c r="X955" s="135"/>
      <c r="Y955" s="135"/>
      <c r="Z955" s="135"/>
      <c r="AA955" s="135"/>
      <c r="AB955" s="135"/>
      <c r="AC955" s="135"/>
      <c r="AD955" s="135"/>
      <c r="AE955" s="135"/>
      <c r="AF955" s="135"/>
      <c r="AG955" s="135"/>
    </row>
    <row r="956" spans="15:33" ht="15.75" customHeight="1" x14ac:dyDescent="0.3">
      <c r="O956" s="135"/>
      <c r="P956" s="157"/>
      <c r="Q956" s="157"/>
      <c r="R956" s="157"/>
      <c r="S956" s="157"/>
      <c r="T956" s="157"/>
      <c r="U956" s="157"/>
      <c r="V956" s="157"/>
      <c r="W956" s="135"/>
      <c r="X956" s="135"/>
      <c r="Y956" s="135"/>
      <c r="Z956" s="135"/>
      <c r="AA956" s="135"/>
      <c r="AB956" s="135"/>
      <c r="AC956" s="135"/>
      <c r="AD956" s="135"/>
      <c r="AE956" s="135"/>
      <c r="AF956" s="135"/>
      <c r="AG956" s="135"/>
    </row>
    <row r="957" spans="15:33" ht="15.75" customHeight="1" x14ac:dyDescent="0.3">
      <c r="O957" s="135"/>
      <c r="P957" s="157"/>
      <c r="Q957" s="157"/>
      <c r="R957" s="157"/>
      <c r="S957" s="157"/>
      <c r="T957" s="157"/>
      <c r="U957" s="157"/>
      <c r="V957" s="157"/>
      <c r="W957" s="135"/>
      <c r="X957" s="135"/>
      <c r="Y957" s="135"/>
      <c r="Z957" s="135"/>
      <c r="AA957" s="135"/>
      <c r="AB957" s="135"/>
      <c r="AC957" s="135"/>
      <c r="AD957" s="135"/>
      <c r="AE957" s="135"/>
      <c r="AF957" s="135"/>
      <c r="AG957" s="135"/>
    </row>
    <row r="958" spans="15:33" ht="15.75" customHeight="1" x14ac:dyDescent="0.3">
      <c r="O958" s="135"/>
      <c r="P958" s="157"/>
      <c r="Q958" s="157"/>
      <c r="R958" s="157"/>
      <c r="S958" s="157"/>
      <c r="T958" s="157"/>
      <c r="U958" s="157"/>
      <c r="V958" s="157"/>
      <c r="W958" s="135"/>
      <c r="X958" s="135"/>
      <c r="Y958" s="135"/>
      <c r="Z958" s="135"/>
      <c r="AA958" s="135"/>
      <c r="AB958" s="135"/>
      <c r="AC958" s="135"/>
      <c r="AD958" s="135"/>
      <c r="AE958" s="135"/>
      <c r="AF958" s="135"/>
      <c r="AG958" s="135"/>
    </row>
    <row r="959" spans="15:33" ht="15.75" customHeight="1" x14ac:dyDescent="0.3">
      <c r="O959" s="135"/>
      <c r="P959" s="157"/>
      <c r="Q959" s="157"/>
      <c r="R959" s="157"/>
      <c r="S959" s="157"/>
      <c r="T959" s="157"/>
      <c r="U959" s="157"/>
      <c r="V959" s="157"/>
      <c r="W959" s="135"/>
      <c r="X959" s="135"/>
      <c r="Y959" s="135"/>
      <c r="Z959" s="135"/>
      <c r="AA959" s="135"/>
      <c r="AB959" s="135"/>
      <c r="AC959" s="135"/>
      <c r="AD959" s="135"/>
      <c r="AE959" s="135"/>
      <c r="AF959" s="135"/>
      <c r="AG959" s="135"/>
    </row>
    <row r="960" spans="15:33" ht="15.75" customHeight="1" x14ac:dyDescent="0.3">
      <c r="O960" s="135"/>
      <c r="P960" s="157"/>
      <c r="Q960" s="157"/>
      <c r="R960" s="157"/>
      <c r="S960" s="157"/>
      <c r="T960" s="157"/>
      <c r="U960" s="157"/>
      <c r="V960" s="157"/>
      <c r="W960" s="135"/>
      <c r="X960" s="135"/>
      <c r="Y960" s="135"/>
      <c r="Z960" s="135"/>
      <c r="AA960" s="135"/>
      <c r="AB960" s="135"/>
      <c r="AC960" s="135"/>
      <c r="AD960" s="135"/>
      <c r="AE960" s="135"/>
      <c r="AF960" s="135"/>
      <c r="AG960" s="135"/>
    </row>
    <row r="961" spans="15:33" ht="15.75" customHeight="1" x14ac:dyDescent="0.3">
      <c r="O961" s="135"/>
      <c r="P961" s="157"/>
      <c r="Q961" s="157"/>
      <c r="R961" s="157"/>
      <c r="S961" s="157"/>
      <c r="T961" s="157"/>
      <c r="U961" s="157"/>
      <c r="V961" s="157"/>
      <c r="W961" s="135"/>
      <c r="X961" s="135"/>
      <c r="Y961" s="135"/>
      <c r="Z961" s="135"/>
      <c r="AA961" s="135"/>
      <c r="AB961" s="135"/>
      <c r="AC961" s="135"/>
      <c r="AD961" s="135"/>
      <c r="AE961" s="135"/>
      <c r="AF961" s="135"/>
      <c r="AG961" s="135"/>
    </row>
    <row r="962" spans="15:33" ht="15.75" customHeight="1" x14ac:dyDescent="0.3">
      <c r="O962" s="135"/>
      <c r="P962" s="157"/>
      <c r="Q962" s="157"/>
      <c r="R962" s="157"/>
      <c r="S962" s="157"/>
      <c r="T962" s="157"/>
      <c r="U962" s="157"/>
      <c r="V962" s="157"/>
      <c r="W962" s="135"/>
      <c r="X962" s="135"/>
      <c r="Y962" s="135"/>
      <c r="Z962" s="135"/>
      <c r="AA962" s="135"/>
      <c r="AB962" s="135"/>
      <c r="AC962" s="135"/>
      <c r="AD962" s="135"/>
      <c r="AE962" s="135"/>
      <c r="AF962" s="135"/>
      <c r="AG962" s="135"/>
    </row>
    <row r="963" spans="15:33" ht="15.75" customHeight="1" x14ac:dyDescent="0.3">
      <c r="O963" s="135"/>
      <c r="P963" s="157"/>
      <c r="Q963" s="157"/>
      <c r="R963" s="157"/>
      <c r="S963" s="157"/>
      <c r="T963" s="157"/>
      <c r="U963" s="157"/>
      <c r="V963" s="157"/>
      <c r="W963" s="135"/>
      <c r="X963" s="135"/>
      <c r="Y963" s="135"/>
      <c r="Z963" s="135"/>
      <c r="AA963" s="135"/>
      <c r="AB963" s="135"/>
      <c r="AC963" s="135"/>
      <c r="AD963" s="135"/>
      <c r="AE963" s="135"/>
      <c r="AF963" s="135"/>
      <c r="AG963" s="135"/>
    </row>
    <row r="964" spans="15:33" ht="15.75" customHeight="1" x14ac:dyDescent="0.3">
      <c r="O964" s="135"/>
      <c r="P964" s="157"/>
      <c r="Q964" s="157"/>
      <c r="R964" s="157"/>
      <c r="S964" s="157"/>
      <c r="T964" s="157"/>
      <c r="U964" s="157"/>
      <c r="V964" s="157"/>
      <c r="W964" s="135"/>
      <c r="X964" s="135"/>
      <c r="Y964" s="135"/>
      <c r="Z964" s="135"/>
      <c r="AA964" s="135"/>
      <c r="AB964" s="135"/>
      <c r="AC964" s="135"/>
      <c r="AD964" s="135"/>
      <c r="AE964" s="135"/>
      <c r="AF964" s="135"/>
      <c r="AG964" s="135"/>
    </row>
    <row r="965" spans="15:33" ht="15.75" customHeight="1" x14ac:dyDescent="0.3">
      <c r="O965" s="135"/>
      <c r="P965" s="157"/>
      <c r="Q965" s="157"/>
      <c r="R965" s="157"/>
      <c r="S965" s="157"/>
      <c r="T965" s="157"/>
      <c r="U965" s="157"/>
      <c r="V965" s="157"/>
      <c r="W965" s="135"/>
      <c r="X965" s="135"/>
      <c r="Y965" s="135"/>
      <c r="Z965" s="135"/>
      <c r="AA965" s="135"/>
      <c r="AB965" s="135"/>
      <c r="AC965" s="135"/>
      <c r="AD965" s="135"/>
      <c r="AE965" s="135"/>
      <c r="AF965" s="135"/>
      <c r="AG965" s="135"/>
    </row>
    <row r="966" spans="15:33" ht="15.75" customHeight="1" x14ac:dyDescent="0.3">
      <c r="O966" s="135"/>
      <c r="P966" s="157"/>
      <c r="Q966" s="157"/>
      <c r="R966" s="157"/>
      <c r="S966" s="157"/>
      <c r="T966" s="157"/>
      <c r="U966" s="157"/>
      <c r="V966" s="157"/>
      <c r="W966" s="135"/>
      <c r="X966" s="135"/>
      <c r="Y966" s="135"/>
      <c r="Z966" s="135"/>
      <c r="AA966" s="135"/>
      <c r="AB966" s="135"/>
      <c r="AC966" s="135"/>
      <c r="AD966" s="135"/>
      <c r="AE966" s="135"/>
      <c r="AF966" s="135"/>
      <c r="AG966" s="135"/>
    </row>
    <row r="967" spans="15:33" ht="15.75" customHeight="1" x14ac:dyDescent="0.3">
      <c r="O967" s="135"/>
      <c r="P967" s="157"/>
      <c r="Q967" s="157"/>
      <c r="R967" s="157"/>
      <c r="S967" s="157"/>
      <c r="T967" s="157"/>
      <c r="U967" s="157"/>
      <c r="V967" s="157"/>
      <c r="W967" s="135"/>
      <c r="X967" s="135"/>
      <c r="Y967" s="135"/>
      <c r="Z967" s="135"/>
      <c r="AA967" s="135"/>
      <c r="AB967" s="135"/>
      <c r="AC967" s="135"/>
      <c r="AD967" s="135"/>
      <c r="AE967" s="135"/>
      <c r="AF967" s="135"/>
      <c r="AG967" s="135"/>
    </row>
    <row r="968" spans="15:33" ht="15.75" customHeight="1" x14ac:dyDescent="0.3">
      <c r="O968" s="135"/>
      <c r="P968" s="157"/>
      <c r="Q968" s="157"/>
      <c r="R968" s="157"/>
      <c r="S968" s="157"/>
      <c r="T968" s="157"/>
      <c r="U968" s="157"/>
      <c r="V968" s="157"/>
      <c r="W968" s="135"/>
      <c r="X968" s="135"/>
      <c r="Y968" s="135"/>
      <c r="Z968" s="135"/>
      <c r="AA968" s="135"/>
      <c r="AB968" s="135"/>
      <c r="AC968" s="135"/>
      <c r="AD968" s="135"/>
      <c r="AE968" s="135"/>
      <c r="AF968" s="135"/>
      <c r="AG968" s="135"/>
    </row>
    <row r="969" spans="15:33" ht="15.75" customHeight="1" x14ac:dyDescent="0.3">
      <c r="O969" s="135"/>
      <c r="P969" s="157"/>
      <c r="Q969" s="157"/>
      <c r="R969" s="157"/>
      <c r="S969" s="157"/>
      <c r="T969" s="157"/>
      <c r="U969" s="157"/>
      <c r="V969" s="157"/>
      <c r="W969" s="135"/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</row>
    <row r="970" spans="15:33" ht="15.75" customHeight="1" x14ac:dyDescent="0.3">
      <c r="O970" s="135"/>
      <c r="P970" s="157"/>
      <c r="Q970" s="157"/>
      <c r="R970" s="157"/>
      <c r="S970" s="157"/>
      <c r="T970" s="157"/>
      <c r="U970" s="157"/>
      <c r="V970" s="157"/>
      <c r="W970" s="135"/>
      <c r="X970" s="135"/>
      <c r="Y970" s="135"/>
      <c r="Z970" s="135"/>
      <c r="AA970" s="135"/>
      <c r="AB970" s="135"/>
      <c r="AC970" s="135"/>
      <c r="AD970" s="135"/>
      <c r="AE970" s="135"/>
      <c r="AF970" s="135"/>
      <c r="AG970" s="135"/>
    </row>
    <row r="971" spans="15:33" ht="15.75" customHeight="1" x14ac:dyDescent="0.3">
      <c r="O971" s="135"/>
      <c r="P971" s="157"/>
      <c r="Q971" s="157"/>
      <c r="R971" s="157"/>
      <c r="S971" s="157"/>
      <c r="T971" s="157"/>
      <c r="U971" s="157"/>
      <c r="V971" s="157"/>
      <c r="W971" s="135"/>
      <c r="X971" s="135"/>
      <c r="Y971" s="135"/>
      <c r="Z971" s="135"/>
      <c r="AA971" s="135"/>
      <c r="AB971" s="135"/>
      <c r="AC971" s="135"/>
      <c r="AD971" s="135"/>
      <c r="AE971" s="135"/>
      <c r="AF971" s="135"/>
      <c r="AG971" s="135"/>
    </row>
    <row r="972" spans="15:33" ht="15.75" customHeight="1" x14ac:dyDescent="0.3">
      <c r="O972" s="135"/>
      <c r="P972" s="157"/>
      <c r="Q972" s="157"/>
      <c r="R972" s="157"/>
      <c r="S972" s="157"/>
      <c r="T972" s="157"/>
      <c r="U972" s="157"/>
      <c r="V972" s="157"/>
      <c r="W972" s="135"/>
      <c r="X972" s="135"/>
      <c r="Y972" s="135"/>
      <c r="Z972" s="135"/>
      <c r="AA972" s="135"/>
      <c r="AB972" s="135"/>
      <c r="AC972" s="135"/>
      <c r="AD972" s="135"/>
      <c r="AE972" s="135"/>
      <c r="AF972" s="135"/>
      <c r="AG972" s="135"/>
    </row>
    <row r="973" spans="15:33" ht="15.75" customHeight="1" x14ac:dyDescent="0.3">
      <c r="O973" s="135"/>
      <c r="P973" s="157"/>
      <c r="Q973" s="157"/>
      <c r="R973" s="157"/>
      <c r="S973" s="157"/>
      <c r="T973" s="157"/>
      <c r="U973" s="157"/>
      <c r="V973" s="157"/>
      <c r="W973" s="135"/>
      <c r="X973" s="135"/>
      <c r="Y973" s="135"/>
      <c r="Z973" s="135"/>
      <c r="AA973" s="135"/>
      <c r="AB973" s="135"/>
      <c r="AC973" s="135"/>
      <c r="AD973" s="135"/>
      <c r="AE973" s="135"/>
      <c r="AF973" s="135"/>
      <c r="AG973" s="135"/>
    </row>
    <row r="974" spans="15:33" ht="15.75" customHeight="1" x14ac:dyDescent="0.3">
      <c r="O974" s="135"/>
      <c r="P974" s="157"/>
      <c r="Q974" s="157"/>
      <c r="R974" s="157"/>
      <c r="S974" s="157"/>
      <c r="T974" s="157"/>
      <c r="U974" s="157"/>
      <c r="V974" s="157"/>
      <c r="W974" s="135"/>
      <c r="X974" s="135"/>
      <c r="Y974" s="135"/>
      <c r="Z974" s="135"/>
      <c r="AA974" s="135"/>
      <c r="AB974" s="135"/>
      <c r="AC974" s="135"/>
      <c r="AD974" s="135"/>
      <c r="AE974" s="135"/>
      <c r="AF974" s="135"/>
      <c r="AG974" s="135"/>
    </row>
    <row r="975" spans="15:33" ht="15.75" customHeight="1" x14ac:dyDescent="0.3">
      <c r="O975" s="135"/>
      <c r="P975" s="157"/>
      <c r="Q975" s="157"/>
      <c r="R975" s="157"/>
      <c r="S975" s="157"/>
      <c r="T975" s="157"/>
      <c r="U975" s="157"/>
      <c r="V975" s="157"/>
      <c r="W975" s="135"/>
      <c r="X975" s="135"/>
      <c r="Y975" s="135"/>
      <c r="Z975" s="135"/>
      <c r="AA975" s="135"/>
      <c r="AB975" s="135"/>
      <c r="AC975" s="135"/>
      <c r="AD975" s="135"/>
      <c r="AE975" s="135"/>
      <c r="AF975" s="135"/>
      <c r="AG975" s="135"/>
    </row>
    <row r="976" spans="15:33" ht="15.75" customHeight="1" x14ac:dyDescent="0.3">
      <c r="O976" s="135"/>
      <c r="P976" s="157"/>
      <c r="Q976" s="157"/>
      <c r="R976" s="157"/>
      <c r="S976" s="157"/>
      <c r="T976" s="157"/>
      <c r="U976" s="157"/>
      <c r="V976" s="157"/>
      <c r="W976" s="135"/>
      <c r="X976" s="135"/>
      <c r="Y976" s="135"/>
      <c r="Z976" s="135"/>
      <c r="AA976" s="135"/>
      <c r="AB976" s="135"/>
      <c r="AC976" s="135"/>
      <c r="AD976" s="135"/>
      <c r="AE976" s="135"/>
      <c r="AF976" s="135"/>
      <c r="AG976" s="135"/>
    </row>
    <row r="977" spans="15:33" ht="15.75" customHeight="1" x14ac:dyDescent="0.3">
      <c r="O977" s="135"/>
      <c r="P977" s="157"/>
      <c r="Q977" s="157"/>
      <c r="R977" s="157"/>
      <c r="S977" s="157"/>
      <c r="T977" s="157"/>
      <c r="U977" s="157"/>
      <c r="V977" s="157"/>
      <c r="W977" s="135"/>
      <c r="X977" s="135"/>
      <c r="Y977" s="135"/>
      <c r="Z977" s="135"/>
      <c r="AA977" s="135"/>
      <c r="AB977" s="135"/>
      <c r="AC977" s="135"/>
      <c r="AD977" s="135"/>
      <c r="AE977" s="135"/>
      <c r="AF977" s="135"/>
      <c r="AG977" s="135"/>
    </row>
    <row r="978" spans="15:33" ht="15.75" customHeight="1" x14ac:dyDescent="0.3">
      <c r="O978" s="135"/>
      <c r="P978" s="157"/>
      <c r="Q978" s="157"/>
      <c r="R978" s="157"/>
      <c r="S978" s="157"/>
      <c r="T978" s="157"/>
      <c r="U978" s="157"/>
      <c r="V978" s="157"/>
      <c r="W978" s="135"/>
      <c r="X978" s="135"/>
      <c r="Y978" s="135"/>
      <c r="Z978" s="135"/>
      <c r="AA978" s="135"/>
      <c r="AB978" s="135"/>
      <c r="AC978" s="135"/>
      <c r="AD978" s="135"/>
      <c r="AE978" s="135"/>
      <c r="AF978" s="135"/>
      <c r="AG978" s="135"/>
    </row>
    <row r="979" spans="15:33" ht="15.75" customHeight="1" x14ac:dyDescent="0.3">
      <c r="O979" s="135"/>
      <c r="P979" s="157"/>
      <c r="Q979" s="157"/>
      <c r="R979" s="157"/>
      <c r="S979" s="157"/>
      <c r="T979" s="157"/>
      <c r="U979" s="157"/>
      <c r="V979" s="157"/>
      <c r="W979" s="135"/>
      <c r="X979" s="135"/>
      <c r="Y979" s="135"/>
      <c r="Z979" s="135"/>
      <c r="AA979" s="135"/>
      <c r="AB979" s="135"/>
      <c r="AC979" s="135"/>
      <c r="AD979" s="135"/>
      <c r="AE979" s="135"/>
      <c r="AF979" s="135"/>
      <c r="AG979" s="135"/>
    </row>
    <row r="980" spans="15:33" ht="15.75" customHeight="1" x14ac:dyDescent="0.3">
      <c r="O980" s="135"/>
      <c r="P980" s="157"/>
      <c r="Q980" s="157"/>
      <c r="R980" s="157"/>
      <c r="S980" s="157"/>
      <c r="T980" s="157"/>
      <c r="U980" s="157"/>
      <c r="V980" s="157"/>
      <c r="W980" s="135"/>
      <c r="X980" s="135"/>
      <c r="Y980" s="135"/>
      <c r="Z980" s="135"/>
      <c r="AA980" s="135"/>
      <c r="AB980" s="135"/>
      <c r="AC980" s="135"/>
      <c r="AD980" s="135"/>
      <c r="AE980" s="135"/>
      <c r="AF980" s="135"/>
      <c r="AG980" s="135"/>
    </row>
    <row r="981" spans="15:33" ht="15.75" customHeight="1" x14ac:dyDescent="0.3">
      <c r="O981" s="135"/>
      <c r="P981" s="157"/>
      <c r="Q981" s="157"/>
      <c r="R981" s="157"/>
      <c r="S981" s="157"/>
      <c r="T981" s="157"/>
      <c r="U981" s="157"/>
      <c r="V981" s="157"/>
      <c r="W981" s="135"/>
      <c r="X981" s="135"/>
      <c r="Y981" s="135"/>
      <c r="Z981" s="135"/>
      <c r="AA981" s="135"/>
      <c r="AB981" s="135"/>
      <c r="AC981" s="135"/>
      <c r="AD981" s="135"/>
      <c r="AE981" s="135"/>
      <c r="AF981" s="135"/>
      <c r="AG981" s="135"/>
    </row>
    <row r="982" spans="15:33" ht="15.75" customHeight="1" x14ac:dyDescent="0.3">
      <c r="O982" s="135"/>
      <c r="P982" s="157"/>
      <c r="Q982" s="157"/>
      <c r="R982" s="157"/>
      <c r="S982" s="157"/>
      <c r="T982" s="157"/>
      <c r="U982" s="157"/>
      <c r="V982" s="157"/>
      <c r="W982" s="135"/>
      <c r="X982" s="135"/>
      <c r="Y982" s="135"/>
      <c r="Z982" s="135"/>
      <c r="AA982" s="135"/>
      <c r="AB982" s="135"/>
      <c r="AC982" s="135"/>
      <c r="AD982" s="135"/>
      <c r="AE982" s="135"/>
      <c r="AF982" s="135"/>
      <c r="AG982" s="135"/>
    </row>
    <row r="983" spans="15:33" ht="15.75" customHeight="1" x14ac:dyDescent="0.3">
      <c r="O983" s="135"/>
      <c r="P983" s="157"/>
      <c r="Q983" s="157"/>
      <c r="R983" s="157"/>
      <c r="S983" s="157"/>
      <c r="T983" s="157"/>
      <c r="U983" s="157"/>
      <c r="V983" s="157"/>
      <c r="W983" s="135"/>
      <c r="X983" s="135"/>
      <c r="Y983" s="135"/>
      <c r="Z983" s="135"/>
      <c r="AA983" s="135"/>
      <c r="AB983" s="135"/>
      <c r="AC983" s="135"/>
      <c r="AD983" s="135"/>
      <c r="AE983" s="135"/>
      <c r="AF983" s="135"/>
      <c r="AG983" s="135"/>
    </row>
    <row r="984" spans="15:33" ht="15.75" customHeight="1" x14ac:dyDescent="0.3">
      <c r="O984" s="135"/>
      <c r="P984" s="157"/>
      <c r="Q984" s="157"/>
      <c r="R984" s="157"/>
      <c r="S984" s="157"/>
      <c r="T984" s="157"/>
      <c r="U984" s="157"/>
      <c r="V984" s="157"/>
      <c r="W984" s="135"/>
      <c r="X984" s="135"/>
      <c r="Y984" s="135"/>
      <c r="Z984" s="135"/>
      <c r="AA984" s="135"/>
      <c r="AB984" s="135"/>
      <c r="AC984" s="135"/>
      <c r="AD984" s="135"/>
      <c r="AE984" s="135"/>
      <c r="AF984" s="135"/>
      <c r="AG984" s="135"/>
    </row>
    <row r="985" spans="15:33" ht="15.75" customHeight="1" x14ac:dyDescent="0.3">
      <c r="O985" s="135"/>
      <c r="P985" s="157"/>
      <c r="Q985" s="157"/>
      <c r="R985" s="157"/>
      <c r="S985" s="157"/>
      <c r="T985" s="157"/>
      <c r="U985" s="157"/>
      <c r="V985" s="157"/>
      <c r="W985" s="135"/>
      <c r="X985" s="135"/>
      <c r="Y985" s="135"/>
      <c r="Z985" s="135"/>
      <c r="AA985" s="135"/>
      <c r="AB985" s="135"/>
      <c r="AC985" s="135"/>
      <c r="AD985" s="135"/>
      <c r="AE985" s="135"/>
      <c r="AF985" s="135"/>
      <c r="AG985" s="135"/>
    </row>
    <row r="986" spans="15:33" ht="15.75" customHeight="1" x14ac:dyDescent="0.3">
      <c r="O986" s="135"/>
      <c r="P986" s="157"/>
      <c r="Q986" s="157"/>
      <c r="R986" s="157"/>
      <c r="S986" s="157"/>
      <c r="T986" s="157"/>
      <c r="U986" s="157"/>
      <c r="V986" s="157"/>
      <c r="W986" s="135"/>
      <c r="X986" s="135"/>
      <c r="Y986" s="135"/>
      <c r="Z986" s="135"/>
      <c r="AA986" s="135"/>
      <c r="AB986" s="135"/>
      <c r="AC986" s="135"/>
      <c r="AD986" s="135"/>
      <c r="AE986" s="135"/>
      <c r="AF986" s="135"/>
      <c r="AG986" s="135"/>
    </row>
    <row r="987" spans="15:33" ht="15.75" customHeight="1" x14ac:dyDescent="0.3">
      <c r="O987" s="135"/>
      <c r="P987" s="157"/>
      <c r="Q987" s="157"/>
      <c r="R987" s="157"/>
      <c r="S987" s="157"/>
      <c r="T987" s="157"/>
      <c r="U987" s="157"/>
      <c r="V987" s="157"/>
      <c r="W987" s="135"/>
      <c r="X987" s="135"/>
      <c r="Y987" s="135"/>
      <c r="Z987" s="135"/>
      <c r="AA987" s="135"/>
      <c r="AB987" s="135"/>
      <c r="AC987" s="135"/>
      <c r="AD987" s="135"/>
      <c r="AE987" s="135"/>
      <c r="AF987" s="135"/>
      <c r="AG987" s="135"/>
    </row>
    <row r="988" spans="15:33" ht="15.75" customHeight="1" x14ac:dyDescent="0.3">
      <c r="O988" s="135"/>
      <c r="P988" s="157"/>
      <c r="Q988" s="157"/>
      <c r="R988" s="157"/>
      <c r="S988" s="157"/>
      <c r="T988" s="157"/>
      <c r="U988" s="157"/>
      <c r="V988" s="157"/>
      <c r="W988" s="135"/>
      <c r="X988" s="135"/>
      <c r="Y988" s="135"/>
      <c r="Z988" s="135"/>
      <c r="AA988" s="135"/>
      <c r="AB988" s="135"/>
      <c r="AC988" s="135"/>
      <c r="AD988" s="135"/>
      <c r="AE988" s="135"/>
      <c r="AF988" s="135"/>
      <c r="AG988" s="135"/>
    </row>
    <row r="989" spans="15:33" ht="15.75" customHeight="1" x14ac:dyDescent="0.3">
      <c r="O989" s="135"/>
      <c r="P989" s="157"/>
      <c r="Q989" s="157"/>
      <c r="R989" s="157"/>
      <c r="S989" s="157"/>
      <c r="T989" s="157"/>
      <c r="U989" s="157"/>
      <c r="V989" s="157"/>
      <c r="W989" s="135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</row>
    <row r="990" spans="15:33" ht="15.75" customHeight="1" x14ac:dyDescent="0.3">
      <c r="O990" s="135"/>
      <c r="P990" s="157"/>
      <c r="Q990" s="157"/>
      <c r="R990" s="157"/>
      <c r="S990" s="157"/>
      <c r="T990" s="157"/>
      <c r="U990" s="157"/>
      <c r="V990" s="157"/>
      <c r="W990" s="135"/>
      <c r="X990" s="135"/>
      <c r="Y990" s="135"/>
      <c r="Z990" s="135"/>
      <c r="AA990" s="135"/>
      <c r="AB990" s="135"/>
      <c r="AC990" s="135"/>
      <c r="AD990" s="135"/>
      <c r="AE990" s="135"/>
      <c r="AF990" s="135"/>
      <c r="AG990" s="135"/>
    </row>
    <row r="991" spans="15:33" ht="15.75" customHeight="1" x14ac:dyDescent="0.3">
      <c r="O991" s="135"/>
      <c r="P991" s="157"/>
      <c r="Q991" s="157"/>
      <c r="R991" s="157"/>
      <c r="S991" s="157"/>
      <c r="T991" s="157"/>
      <c r="U991" s="157"/>
      <c r="V991" s="157"/>
      <c r="W991" s="135"/>
      <c r="X991" s="135"/>
      <c r="Y991" s="135"/>
      <c r="Z991" s="135"/>
      <c r="AA991" s="135"/>
      <c r="AB991" s="135"/>
      <c r="AC991" s="135"/>
      <c r="AD991" s="135"/>
      <c r="AE991" s="135"/>
      <c r="AF991" s="135"/>
      <c r="AG991" s="135"/>
    </row>
    <row r="992" spans="15:33" ht="15.75" customHeight="1" x14ac:dyDescent="0.3">
      <c r="O992" s="135"/>
      <c r="P992" s="157"/>
      <c r="Q992" s="157"/>
      <c r="R992" s="157"/>
      <c r="S992" s="157"/>
      <c r="T992" s="157"/>
      <c r="U992" s="157"/>
      <c r="V992" s="157"/>
      <c r="W992" s="135"/>
      <c r="X992" s="135"/>
      <c r="Y992" s="135"/>
      <c r="Z992" s="135"/>
      <c r="AA992" s="135"/>
      <c r="AB992" s="135"/>
      <c r="AC992" s="135"/>
      <c r="AD992" s="135"/>
      <c r="AE992" s="135"/>
      <c r="AF992" s="135"/>
      <c r="AG992" s="135"/>
    </row>
    <row r="993" spans="15:33" ht="15.75" customHeight="1" x14ac:dyDescent="0.3">
      <c r="O993" s="135"/>
      <c r="P993" s="157"/>
      <c r="Q993" s="157"/>
      <c r="R993" s="157"/>
      <c r="S993" s="157"/>
      <c r="T993" s="157"/>
      <c r="U993" s="157"/>
      <c r="V993" s="157"/>
      <c r="W993" s="135"/>
      <c r="X993" s="135"/>
      <c r="Y993" s="135"/>
      <c r="Z993" s="135"/>
      <c r="AA993" s="135"/>
      <c r="AB993" s="135"/>
      <c r="AC993" s="135"/>
      <c r="AD993" s="135"/>
      <c r="AE993" s="135"/>
      <c r="AF993" s="135"/>
      <c r="AG993" s="135"/>
    </row>
    <row r="994" spans="15:33" ht="15.75" customHeight="1" x14ac:dyDescent="0.3">
      <c r="O994" s="135"/>
      <c r="P994" s="157"/>
      <c r="Q994" s="157"/>
      <c r="R994" s="157"/>
      <c r="S994" s="157"/>
      <c r="T994" s="157"/>
      <c r="U994" s="157"/>
      <c r="V994" s="157"/>
      <c r="W994" s="135"/>
      <c r="X994" s="135"/>
      <c r="Y994" s="135"/>
      <c r="Z994" s="135"/>
      <c r="AA994" s="135"/>
      <c r="AB994" s="135"/>
      <c r="AC994" s="135"/>
      <c r="AD994" s="135"/>
      <c r="AE994" s="135"/>
      <c r="AF994" s="135"/>
      <c r="AG994" s="135"/>
    </row>
    <row r="995" spans="15:33" ht="15.75" customHeight="1" x14ac:dyDescent="0.3">
      <c r="O995" s="135"/>
      <c r="P995" s="157"/>
      <c r="Q995" s="157"/>
      <c r="R995" s="157"/>
      <c r="S995" s="157"/>
      <c r="T995" s="157"/>
      <c r="U995" s="157"/>
      <c r="V995" s="157"/>
      <c r="W995" s="135"/>
      <c r="X995" s="135"/>
      <c r="Y995" s="135"/>
      <c r="Z995" s="135"/>
      <c r="AA995" s="135"/>
      <c r="AB995" s="135"/>
      <c r="AC995" s="135"/>
      <c r="AD995" s="135"/>
      <c r="AE995" s="135"/>
      <c r="AF995" s="135"/>
      <c r="AG995" s="135"/>
    </row>
    <row r="996" spans="15:33" ht="15.75" customHeight="1" x14ac:dyDescent="0.3">
      <c r="O996" s="135"/>
      <c r="P996" s="157"/>
      <c r="Q996" s="157"/>
      <c r="R996" s="157"/>
      <c r="S996" s="157"/>
      <c r="T996" s="157"/>
      <c r="U996" s="157"/>
      <c r="V996" s="157"/>
      <c r="W996" s="135"/>
      <c r="X996" s="135"/>
      <c r="Y996" s="135"/>
      <c r="Z996" s="135"/>
      <c r="AA996" s="135"/>
      <c r="AB996" s="135"/>
      <c r="AC996" s="135"/>
      <c r="AD996" s="135"/>
      <c r="AE996" s="135"/>
      <c r="AF996" s="135"/>
      <c r="AG996" s="135"/>
    </row>
    <row r="997" spans="15:33" ht="15.75" customHeight="1" x14ac:dyDescent="0.3">
      <c r="O997" s="135"/>
      <c r="P997" s="157"/>
      <c r="Q997" s="157"/>
      <c r="R997" s="157"/>
      <c r="S997" s="157"/>
      <c r="T997" s="157"/>
      <c r="U997" s="157"/>
      <c r="V997" s="157"/>
      <c r="W997" s="135"/>
      <c r="X997" s="135"/>
      <c r="Y997" s="135"/>
      <c r="Z997" s="135"/>
      <c r="AA997" s="135"/>
      <c r="AB997" s="135"/>
      <c r="AC997" s="135"/>
      <c r="AD997" s="135"/>
      <c r="AE997" s="135"/>
      <c r="AF997" s="135"/>
      <c r="AG997" s="135"/>
    </row>
    <row r="998" spans="15:33" ht="15.75" customHeight="1" x14ac:dyDescent="0.3">
      <c r="O998" s="135"/>
      <c r="P998" s="157"/>
      <c r="Q998" s="157"/>
      <c r="R998" s="157"/>
      <c r="S998" s="157"/>
      <c r="T998" s="157"/>
      <c r="U998" s="157"/>
      <c r="V998" s="157"/>
      <c r="W998" s="135"/>
      <c r="X998" s="135"/>
      <c r="Y998" s="135"/>
      <c r="Z998" s="135"/>
      <c r="AA998" s="135"/>
      <c r="AB998" s="135"/>
      <c r="AC998" s="135"/>
      <c r="AD998" s="135"/>
      <c r="AE998" s="135"/>
      <c r="AF998" s="135"/>
      <c r="AG998" s="135"/>
    </row>
    <row r="999" spans="15:33" ht="15.75" customHeight="1" x14ac:dyDescent="0.3">
      <c r="O999" s="135"/>
      <c r="P999" s="157"/>
      <c r="Q999" s="157"/>
      <c r="R999" s="157"/>
      <c r="S999" s="157"/>
      <c r="T999" s="157"/>
      <c r="U999" s="157"/>
      <c r="V999" s="157"/>
      <c r="W999" s="135"/>
      <c r="X999" s="135"/>
      <c r="Y999" s="135"/>
      <c r="Z999" s="135"/>
      <c r="AA999" s="135"/>
      <c r="AB999" s="135"/>
      <c r="AC999" s="135"/>
      <c r="AD999" s="135"/>
      <c r="AE999" s="135"/>
      <c r="AF999" s="135"/>
      <c r="AG999" s="135"/>
    </row>
    <row r="1000" spans="15:33" ht="15.75" customHeight="1" x14ac:dyDescent="0.3">
      <c r="O1000" s="135"/>
      <c r="P1000" s="157"/>
      <c r="Q1000" s="157"/>
      <c r="R1000" s="157"/>
      <c r="S1000" s="157"/>
      <c r="T1000" s="157"/>
      <c r="U1000" s="157"/>
      <c r="V1000" s="157"/>
      <c r="W1000" s="135"/>
      <c r="X1000" s="135"/>
      <c r="Y1000" s="135"/>
      <c r="Z1000" s="135"/>
      <c r="AA1000" s="135"/>
      <c r="AB1000" s="135"/>
      <c r="AC1000" s="135"/>
      <c r="AD1000" s="135"/>
      <c r="AE1000" s="135"/>
      <c r="AF1000" s="135"/>
      <c r="AG1000" s="135"/>
    </row>
  </sheetData>
  <autoFilter ref="F1:F201" xr:uid="{00000000-0009-0000-0000-000008000000}"/>
  <mergeCells count="40">
    <mergeCell ref="AA3:AA4"/>
    <mergeCell ref="AB3:AB4"/>
    <mergeCell ref="A1:E1"/>
    <mergeCell ref="A2:A5"/>
    <mergeCell ref="B2:B5"/>
    <mergeCell ref="C2:C5"/>
    <mergeCell ref="D2:D5"/>
    <mergeCell ref="M2:M5"/>
    <mergeCell ref="L3:L4"/>
    <mergeCell ref="U3:U4"/>
    <mergeCell ref="V3:V4"/>
    <mergeCell ref="X3:X4"/>
    <mergeCell ref="Y3:Y4"/>
    <mergeCell ref="Z3:Z4"/>
    <mergeCell ref="P2:V2"/>
    <mergeCell ref="X2:AC2"/>
    <mergeCell ref="AF2:AG2"/>
    <mergeCell ref="F3:F4"/>
    <mergeCell ref="G3:G4"/>
    <mergeCell ref="H3:H4"/>
    <mergeCell ref="I3:I4"/>
    <mergeCell ref="J3:J4"/>
    <mergeCell ref="K3:K4"/>
    <mergeCell ref="P3:P4"/>
    <mergeCell ref="Q3:Q4"/>
    <mergeCell ref="R3:R4"/>
    <mergeCell ref="S3:S4"/>
    <mergeCell ref="T3:T4"/>
    <mergeCell ref="AC3:AC4"/>
    <mergeCell ref="AD3:AD4"/>
    <mergeCell ref="B165:E165"/>
    <mergeCell ref="B180:E180"/>
    <mergeCell ref="B195:E195"/>
    <mergeCell ref="E2:E5"/>
    <mergeCell ref="B6:E6"/>
    <mergeCell ref="B43:E43"/>
    <mergeCell ref="B64:E64"/>
    <mergeCell ref="B76:E76"/>
    <mergeCell ref="B97:E97"/>
    <mergeCell ref="B138:E138"/>
  </mergeCells>
  <pageMargins left="0.70866141732283472" right="0.70866141732283472" top="0.74803149606299213" bottom="0.74803149606299213" header="0" footer="0"/>
  <pageSetup paperSize="9" orientation="portrait"/>
  <rowBreaks count="2" manualBreakCount="2">
    <brk id="179" man="1"/>
    <brk id="6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AJ1000"/>
  <sheetViews>
    <sheetView workbookViewId="0"/>
  </sheetViews>
  <sheetFormatPr defaultColWidth="14.44140625" defaultRowHeight="15" customHeight="1" x14ac:dyDescent="0.3"/>
  <cols>
    <col min="1" max="1" width="8.6640625" customWidth="1"/>
    <col min="2" max="4" width="13.44140625" customWidth="1"/>
    <col min="5" max="5" width="8.6640625" customWidth="1"/>
    <col min="6" max="7" width="10.88671875" customWidth="1"/>
    <col min="8" max="14" width="8.6640625" customWidth="1"/>
    <col min="15" max="15" width="36.44140625" customWidth="1"/>
    <col min="16" max="16" width="18.88671875" customWidth="1"/>
    <col min="17" max="17" width="9.44140625" customWidth="1"/>
    <col min="18" max="19" width="8.6640625" customWidth="1"/>
    <col min="20" max="20" width="36.44140625" customWidth="1"/>
    <col min="21" max="21" width="18.88671875" customWidth="1"/>
    <col min="22" max="22" width="8.88671875" customWidth="1"/>
    <col min="23" max="25" width="8.6640625" customWidth="1"/>
    <col min="26" max="26" width="5.33203125" customWidth="1"/>
    <col min="27" max="27" width="36.88671875" customWidth="1"/>
    <col min="28" max="28" width="9.6640625" customWidth="1"/>
    <col min="29" max="29" width="13.44140625" customWidth="1"/>
    <col min="30" max="30" width="16.88671875" customWidth="1"/>
    <col min="31" max="31" width="13.44140625" customWidth="1"/>
    <col min="32" max="32" width="8.88671875" customWidth="1"/>
    <col min="33" max="33" width="50.5546875" customWidth="1"/>
    <col min="34" max="35" width="8.6640625" customWidth="1"/>
    <col min="36" max="36" width="50.5546875" customWidth="1"/>
  </cols>
  <sheetData>
    <row r="1" spans="1:36" ht="14.4" x14ac:dyDescent="0.3">
      <c r="AC1" s="4">
        <v>35</v>
      </c>
      <c r="AD1" s="109">
        <f>35/45*100</f>
        <v>77.777777777777786</v>
      </c>
      <c r="AE1" s="4">
        <v>12.5</v>
      </c>
    </row>
    <row r="2" spans="1:36" ht="14.4" x14ac:dyDescent="0.3">
      <c r="Z2" s="236" t="s">
        <v>632</v>
      </c>
      <c r="AA2" s="235"/>
      <c r="AB2" s="235"/>
      <c r="AC2" s="235"/>
      <c r="AD2" s="235"/>
      <c r="AE2" s="235"/>
      <c r="AF2" s="235"/>
      <c r="AG2" s="235"/>
    </row>
    <row r="3" spans="1:36" ht="42.75" customHeight="1" x14ac:dyDescent="0.3">
      <c r="A3" s="214"/>
      <c r="B3" s="126" t="s">
        <v>528</v>
      </c>
      <c r="C3" s="126" t="s">
        <v>528</v>
      </c>
      <c r="D3" s="215" t="s">
        <v>633</v>
      </c>
      <c r="E3" s="1" t="s">
        <v>518</v>
      </c>
      <c r="F3" s="137" t="s">
        <v>634</v>
      </c>
      <c r="G3" s="1" t="s">
        <v>258</v>
      </c>
      <c r="H3" s="214"/>
      <c r="I3" s="214"/>
      <c r="J3" s="214"/>
      <c r="K3" s="214"/>
      <c r="L3" s="214"/>
      <c r="M3" s="214"/>
      <c r="N3" s="214"/>
      <c r="O3" s="137" t="s">
        <v>635</v>
      </c>
      <c r="P3" s="214" t="s">
        <v>513</v>
      </c>
      <c r="Q3" s="214" t="s">
        <v>513</v>
      </c>
      <c r="R3" s="214"/>
      <c r="S3" s="214"/>
      <c r="T3" s="137" t="s">
        <v>635</v>
      </c>
      <c r="U3" s="214" t="s">
        <v>514</v>
      </c>
      <c r="V3" s="214" t="s">
        <v>514</v>
      </c>
      <c r="W3" s="214"/>
      <c r="X3" s="214"/>
      <c r="Y3" s="214"/>
      <c r="Z3" s="5" t="s">
        <v>0</v>
      </c>
      <c r="AA3" s="5" t="s">
        <v>264</v>
      </c>
      <c r="AB3" s="5" t="s">
        <v>265</v>
      </c>
      <c r="AC3" s="126" t="s">
        <v>267</v>
      </c>
      <c r="AD3" s="126" t="s">
        <v>268</v>
      </c>
      <c r="AE3" s="126" t="s">
        <v>636</v>
      </c>
      <c r="AF3" s="5" t="s">
        <v>518</v>
      </c>
      <c r="AG3" s="5" t="s">
        <v>637</v>
      </c>
      <c r="AH3" s="214"/>
      <c r="AI3" s="214"/>
      <c r="AJ3" s="214"/>
    </row>
    <row r="4" spans="1:36" ht="14.25" customHeight="1" x14ac:dyDescent="0.3">
      <c r="B4" s="114">
        <v>29.82</v>
      </c>
      <c r="C4" s="114">
        <f t="shared" ref="C4:C161" si="0">+B4/45*100</f>
        <v>66.266666666666666</v>
      </c>
      <c r="D4" s="107">
        <f t="shared" ref="D4:D161" si="1">100-C4</f>
        <v>33.733333333333334</v>
      </c>
      <c r="E4" s="107">
        <v>62.2</v>
      </c>
      <c r="F4" s="216" t="s">
        <v>638</v>
      </c>
      <c r="G4" s="14">
        <v>148</v>
      </c>
      <c r="H4" s="217" t="str">
        <f t="shared" ref="H4:H161" si="2">IF(AND($B4&lt;27,$E4&lt;55),"Rehab J.I",IF(AND($B4&lt;=36,$E4&lt;=69),"Perbaikan",IF(AND($B4&lt;=40.5,$E4&gt;=55),"Perawatan","Rutin")))</f>
        <v>Perbaikan</v>
      </c>
      <c r="J4" s="109"/>
      <c r="K4" s="217" t="s">
        <v>639</v>
      </c>
      <c r="L4" s="14">
        <v>54</v>
      </c>
      <c r="O4" s="4" t="s">
        <v>640</v>
      </c>
      <c r="P4" s="101">
        <f t="shared" ref="P4:P7" si="3">+Q4/$Q$8</f>
        <v>7.3033707865168537E-2</v>
      </c>
      <c r="Q4" s="4">
        <f>+COUNT(AF43,AF45,AF68,AF71,AF76:AF77,AF116,AF119,AF138,AF140,AF152,AF174,AF177)</f>
        <v>13</v>
      </c>
      <c r="T4" s="4" t="s">
        <v>640</v>
      </c>
      <c r="U4" s="101">
        <f t="shared" ref="U4:U5" si="4">V4/$V$8</f>
        <v>6.1910631372361302E-2</v>
      </c>
      <c r="V4" s="100">
        <f>+SUM(AB43,AB45,AB68,AB71,AB76:AB77,AB116,AB119,AB138,AB140,AB152,AB174,AB177)</f>
        <v>10347</v>
      </c>
      <c r="Z4" s="111">
        <v>1</v>
      </c>
      <c r="AA4" s="111" t="s">
        <v>273</v>
      </c>
      <c r="AB4" s="111">
        <v>1000</v>
      </c>
      <c r="AC4" s="112">
        <v>30</v>
      </c>
      <c r="AD4" s="112">
        <f t="shared" ref="AD4:AD181" si="5">+AC4/45*100</f>
        <v>66.666666666666657</v>
      </c>
      <c r="AE4" s="112">
        <v>9.6300000000000008</v>
      </c>
      <c r="AF4" s="112">
        <v>69.759999999999991</v>
      </c>
      <c r="AG4" s="111" t="s">
        <v>641</v>
      </c>
    </row>
    <row r="5" spans="1:36" ht="14.25" customHeight="1" x14ac:dyDescent="0.3">
      <c r="B5" s="114">
        <v>29.92</v>
      </c>
      <c r="C5" s="114">
        <f t="shared" si="0"/>
        <v>66.488888888888894</v>
      </c>
      <c r="D5" s="107">
        <f t="shared" si="1"/>
        <v>33.511111111111106</v>
      </c>
      <c r="E5" s="107">
        <v>61.88</v>
      </c>
      <c r="F5" s="216" t="s">
        <v>638</v>
      </c>
      <c r="G5" s="14">
        <v>156</v>
      </c>
      <c r="H5" s="217" t="str">
        <f t="shared" si="2"/>
        <v>Perbaikan</v>
      </c>
      <c r="K5" s="217" t="s">
        <v>639</v>
      </c>
      <c r="L5" s="14">
        <v>23</v>
      </c>
      <c r="O5" s="4" t="s">
        <v>642</v>
      </c>
      <c r="P5" s="101">
        <f t="shared" si="3"/>
        <v>0.15730337078651685</v>
      </c>
      <c r="Q5" s="4">
        <f>+COUNT(AF10,AF21,AF28,AF30,AF54:AF55,AF58,AF60,AF62,AF64,AF73:AF75,AF87,AF99,AF101,AF103,AF117,AF129,AF147:AF149,AF151,AF156,AF162,AF167,AF180:AF181)</f>
        <v>28</v>
      </c>
      <c r="T5" s="4" t="s">
        <v>642</v>
      </c>
      <c r="U5" s="101">
        <f t="shared" si="4"/>
        <v>0.16488559666842181</v>
      </c>
      <c r="V5" s="100">
        <f>+SUM(AB10,AB21,AB28,AB30,AB54:AB55,AB58,AB60,AB62,AB64,AB73:AB75,AB87,AB99,AB101,AB103,AB117,AB129,AB147:AB149,AB151,AB156,AB162,AB167,AB180:AB181)</f>
        <v>27557</v>
      </c>
      <c r="Z5" s="111">
        <v>2</v>
      </c>
      <c r="AA5" s="111" t="s">
        <v>277</v>
      </c>
      <c r="AB5" s="111">
        <v>1403</v>
      </c>
      <c r="AC5" s="112">
        <v>21.53</v>
      </c>
      <c r="AD5" s="112">
        <f t="shared" si="5"/>
        <v>47.844444444444449</v>
      </c>
      <c r="AE5" s="112">
        <v>14.91</v>
      </c>
      <c r="AF5" s="112">
        <v>66.84</v>
      </c>
      <c r="AG5" s="111" t="s">
        <v>641</v>
      </c>
      <c r="AH5" s="31"/>
      <c r="AI5" s="4">
        <v>1</v>
      </c>
      <c r="AJ5" s="4" t="s">
        <v>640</v>
      </c>
    </row>
    <row r="6" spans="1:36" ht="14.25" customHeight="1" x14ac:dyDescent="0.3">
      <c r="B6" s="114">
        <v>30.26</v>
      </c>
      <c r="C6" s="114">
        <f t="shared" si="0"/>
        <v>67.244444444444454</v>
      </c>
      <c r="D6" s="107">
        <f t="shared" si="1"/>
        <v>32.755555555555546</v>
      </c>
      <c r="E6" s="115">
        <v>63.050000000000004</v>
      </c>
      <c r="F6" s="216" t="s">
        <v>638</v>
      </c>
      <c r="G6" s="117">
        <v>1212</v>
      </c>
      <c r="H6" s="217" t="str">
        <f t="shared" si="2"/>
        <v>Perbaikan</v>
      </c>
      <c r="K6" s="217" t="s">
        <v>639</v>
      </c>
      <c r="L6" s="14">
        <v>42</v>
      </c>
      <c r="O6" s="4" t="s">
        <v>641</v>
      </c>
      <c r="P6" s="101">
        <f t="shared" si="3"/>
        <v>0.7528089887640449</v>
      </c>
      <c r="Q6" s="4">
        <f>+COUNT(AF4:AF9,AF11:AF20,AF22:AF27,AF29,AF31:AF41,AF44,AF46:AF53,AF56:AF57,AF59,AF61,AF63,AF65:AF67,AF69:AF70,AF72,AF78:AF79,AF81:AF86,AF88:AF98,AF100,AF102,AF104:AF105,AF107:AF115,AF118,AF120:AF128,AF130:AF137,AF139,AF141:AF146,AF150,AF153:AF155,AF157:AF161,AF163:AF166,AF168:AF173,AF175:AF176,AF178:AF179)</f>
        <v>134</v>
      </c>
      <c r="T6" s="4" t="s">
        <v>641</v>
      </c>
      <c r="U6" s="101">
        <f t="shared" ref="U6:U7" si="6">+V6/$V$8</f>
        <v>0.73609449045043318</v>
      </c>
      <c r="V6" s="100">
        <f>+SUM(AB4:AB9,AB11:AB20,AB22:AB27,AB29,AB31:AB41,AB44,AB46:AB53,AB56:AB57,AB59,AB61,AB63,AB65:AB67,AB69:AB70,AB72,AB78:AB79,AB81:AB86,AB88:AB98,AB100,AB102,AB104:AB105,AB107:AB115,AB118,AB120:AB128,AB130:AB137,AB139,AB141:AB146,AB150,AB153:AB155,AB157:AB161,AB163:AB166,AB168:AB173,AB175:AB176,AB178:AB179)</f>
        <v>123022</v>
      </c>
      <c r="Z6" s="111">
        <v>3</v>
      </c>
      <c r="AA6" s="111" t="s">
        <v>280</v>
      </c>
      <c r="AB6" s="111">
        <v>1370</v>
      </c>
      <c r="AC6" s="112">
        <v>30.94</v>
      </c>
      <c r="AD6" s="112">
        <f t="shared" si="5"/>
        <v>68.75555555555556</v>
      </c>
      <c r="AE6" s="112">
        <v>15</v>
      </c>
      <c r="AF6" s="112">
        <v>76.819999999999993</v>
      </c>
      <c r="AG6" s="111" t="s">
        <v>641</v>
      </c>
      <c r="AI6" s="4">
        <v>2</v>
      </c>
      <c r="AJ6" s="4" t="s">
        <v>643</v>
      </c>
    </row>
    <row r="7" spans="1:36" ht="14.25" customHeight="1" x14ac:dyDescent="0.3">
      <c r="B7" s="114">
        <v>28.65</v>
      </c>
      <c r="C7" s="114">
        <f t="shared" si="0"/>
        <v>63.666666666666657</v>
      </c>
      <c r="D7" s="107">
        <f t="shared" si="1"/>
        <v>36.333333333333343</v>
      </c>
      <c r="E7" s="107">
        <v>60.78</v>
      </c>
      <c r="F7" s="216" t="s">
        <v>638</v>
      </c>
      <c r="G7" s="14">
        <v>20</v>
      </c>
      <c r="H7" s="217" t="str">
        <f t="shared" si="2"/>
        <v>Perbaikan</v>
      </c>
      <c r="K7" s="217" t="s">
        <v>639</v>
      </c>
      <c r="L7" s="117">
        <v>1763</v>
      </c>
      <c r="O7" s="4" t="s">
        <v>644</v>
      </c>
      <c r="P7" s="101">
        <f t="shared" si="3"/>
        <v>1.6853932584269662E-2</v>
      </c>
      <c r="Q7" s="4">
        <f>+COUNT(AF42,AF80,AF106)</f>
        <v>3</v>
      </c>
      <c r="T7" s="4" t="s">
        <v>644</v>
      </c>
      <c r="U7" s="101">
        <f t="shared" si="6"/>
        <v>3.710928150878369E-2</v>
      </c>
      <c r="V7" s="4">
        <f>+SUM(AB42,AB80,AB106)</f>
        <v>6202</v>
      </c>
      <c r="Z7" s="111">
        <v>4</v>
      </c>
      <c r="AA7" s="111" t="s">
        <v>282</v>
      </c>
      <c r="AB7" s="111">
        <v>1787</v>
      </c>
      <c r="AC7" s="112">
        <v>27.97</v>
      </c>
      <c r="AD7" s="112">
        <f t="shared" si="5"/>
        <v>62.155555555555551</v>
      </c>
      <c r="AE7" s="112">
        <v>12.78</v>
      </c>
      <c r="AF7" s="112">
        <v>59.97</v>
      </c>
      <c r="AG7" s="111" t="s">
        <v>641</v>
      </c>
      <c r="AI7" s="4">
        <v>3</v>
      </c>
      <c r="AJ7" s="4" t="s">
        <v>641</v>
      </c>
    </row>
    <row r="8" spans="1:36" ht="14.25" customHeight="1" x14ac:dyDescent="0.3">
      <c r="B8" s="114">
        <v>19.29</v>
      </c>
      <c r="C8" s="114">
        <f t="shared" si="0"/>
        <v>42.866666666666667</v>
      </c>
      <c r="D8" s="107">
        <f t="shared" si="1"/>
        <v>57.133333333333333</v>
      </c>
      <c r="E8" s="107">
        <v>54.06</v>
      </c>
      <c r="F8" s="218" t="s">
        <v>645</v>
      </c>
      <c r="G8" s="14">
        <v>527</v>
      </c>
      <c r="H8" s="217" t="str">
        <f t="shared" si="2"/>
        <v>Rehab J.I</v>
      </c>
      <c r="K8" s="217" t="s">
        <v>639</v>
      </c>
      <c r="L8" s="117">
        <v>2946</v>
      </c>
      <c r="P8" s="101">
        <f t="shared" ref="P8:Q8" si="7">SUM(P4:P7)</f>
        <v>1</v>
      </c>
      <c r="Q8" s="4">
        <f t="shared" si="7"/>
        <v>178</v>
      </c>
      <c r="U8" s="101">
        <f t="shared" ref="U8:V8" si="8">SUM(U4:U7)</f>
        <v>1</v>
      </c>
      <c r="V8" s="100">
        <f t="shared" si="8"/>
        <v>167128</v>
      </c>
      <c r="Z8" s="111">
        <v>5</v>
      </c>
      <c r="AA8" s="111" t="s">
        <v>285</v>
      </c>
      <c r="AB8" s="111">
        <v>1096</v>
      </c>
      <c r="AC8" s="112">
        <v>25.69</v>
      </c>
      <c r="AD8" s="112">
        <f t="shared" si="5"/>
        <v>57.088888888888889</v>
      </c>
      <c r="AE8" s="112">
        <v>13</v>
      </c>
      <c r="AF8" s="112">
        <v>65.28</v>
      </c>
      <c r="AG8" s="111" t="s">
        <v>641</v>
      </c>
      <c r="AH8" s="31"/>
      <c r="AI8" s="4">
        <v>4</v>
      </c>
      <c r="AJ8" s="4" t="s">
        <v>644</v>
      </c>
    </row>
    <row r="9" spans="1:36" ht="14.25" customHeight="1" x14ac:dyDescent="0.3">
      <c r="B9" s="114">
        <v>23.97</v>
      </c>
      <c r="C9" s="114">
        <f t="shared" si="0"/>
        <v>53.266666666666666</v>
      </c>
      <c r="D9" s="107">
        <f t="shared" si="1"/>
        <v>46.733333333333334</v>
      </c>
      <c r="E9" s="107">
        <v>59.179999999999993</v>
      </c>
      <c r="F9" s="218" t="s">
        <v>645</v>
      </c>
      <c r="G9" s="14">
        <v>457</v>
      </c>
      <c r="H9" s="217" t="str">
        <f t="shared" si="2"/>
        <v>Perbaikan</v>
      </c>
      <c r="K9" s="217" t="s">
        <v>639</v>
      </c>
      <c r="L9" s="14">
        <v>1637</v>
      </c>
      <c r="Z9" s="111">
        <v>6</v>
      </c>
      <c r="AA9" s="111" t="s">
        <v>287</v>
      </c>
      <c r="AB9" s="111">
        <v>1727</v>
      </c>
      <c r="AC9" s="112">
        <v>29.38</v>
      </c>
      <c r="AD9" s="112">
        <f t="shared" si="5"/>
        <v>65.288888888888891</v>
      </c>
      <c r="AE9" s="112">
        <v>13.2</v>
      </c>
      <c r="AF9" s="112">
        <v>65.88</v>
      </c>
      <c r="AG9" s="111" t="s">
        <v>641</v>
      </c>
    </row>
    <row r="10" spans="1:36" ht="14.25" customHeight="1" x14ac:dyDescent="0.3">
      <c r="B10" s="114">
        <v>29.45</v>
      </c>
      <c r="C10" s="114">
        <f t="shared" si="0"/>
        <v>65.444444444444443</v>
      </c>
      <c r="D10" s="107">
        <f t="shared" si="1"/>
        <v>34.555555555555557</v>
      </c>
      <c r="E10" s="107">
        <v>61.43</v>
      </c>
      <c r="F10" s="218" t="s">
        <v>638</v>
      </c>
      <c r="G10" s="14">
        <v>107</v>
      </c>
      <c r="H10" s="217" t="str">
        <f t="shared" si="2"/>
        <v>Perbaikan</v>
      </c>
      <c r="K10" s="217" t="s">
        <v>639</v>
      </c>
      <c r="L10" s="117">
        <v>1086</v>
      </c>
      <c r="Z10" s="111">
        <v>7</v>
      </c>
      <c r="AA10" s="111" t="s">
        <v>289</v>
      </c>
      <c r="AB10" s="111">
        <v>1378</v>
      </c>
      <c r="AC10" s="112">
        <v>23.96</v>
      </c>
      <c r="AD10" s="112">
        <f t="shared" si="5"/>
        <v>53.244444444444447</v>
      </c>
      <c r="AE10" s="112">
        <v>9</v>
      </c>
      <c r="AF10" s="112">
        <v>62.7</v>
      </c>
      <c r="AG10" s="111" t="s">
        <v>643</v>
      </c>
      <c r="AH10" s="31"/>
    </row>
    <row r="11" spans="1:36" ht="14.25" customHeight="1" x14ac:dyDescent="0.3">
      <c r="B11" s="114">
        <v>28.57</v>
      </c>
      <c r="C11" s="114">
        <f t="shared" si="0"/>
        <v>63.488888888888894</v>
      </c>
      <c r="D11" s="107">
        <f t="shared" si="1"/>
        <v>36.511111111111106</v>
      </c>
      <c r="E11" s="107">
        <v>61.320000000000007</v>
      </c>
      <c r="F11" s="218" t="s">
        <v>638</v>
      </c>
      <c r="G11" s="14">
        <v>39</v>
      </c>
      <c r="H11" s="217" t="str">
        <f t="shared" si="2"/>
        <v>Perbaikan</v>
      </c>
      <c r="K11" s="217" t="s">
        <v>639</v>
      </c>
      <c r="L11" s="14">
        <v>1812</v>
      </c>
      <c r="Z11" s="111">
        <v>8</v>
      </c>
      <c r="AA11" s="111" t="s">
        <v>291</v>
      </c>
      <c r="AB11" s="111">
        <v>1763</v>
      </c>
      <c r="AC11" s="112">
        <v>33.18</v>
      </c>
      <c r="AD11" s="112">
        <f t="shared" si="5"/>
        <v>73.733333333333334</v>
      </c>
      <c r="AE11" s="112">
        <v>14.47</v>
      </c>
      <c r="AF11" s="112">
        <v>72.05</v>
      </c>
      <c r="AG11" s="111" t="s">
        <v>641</v>
      </c>
    </row>
    <row r="12" spans="1:36" ht="14.25" customHeight="1" x14ac:dyDescent="0.3">
      <c r="B12" s="114">
        <v>28.48</v>
      </c>
      <c r="C12" s="114">
        <f t="shared" si="0"/>
        <v>63.288888888888891</v>
      </c>
      <c r="D12" s="107">
        <f t="shared" si="1"/>
        <v>36.711111111111109</v>
      </c>
      <c r="E12" s="107">
        <v>61.419999999999995</v>
      </c>
      <c r="F12" s="218" t="s">
        <v>638</v>
      </c>
      <c r="G12" s="14">
        <v>282</v>
      </c>
      <c r="H12" s="217" t="str">
        <f t="shared" si="2"/>
        <v>Perbaikan</v>
      </c>
      <c r="K12" s="217" t="s">
        <v>639</v>
      </c>
      <c r="L12" s="14">
        <v>1182</v>
      </c>
      <c r="Z12" s="111">
        <v>9</v>
      </c>
      <c r="AA12" s="111" t="s">
        <v>294</v>
      </c>
      <c r="AB12" s="111">
        <v>1637</v>
      </c>
      <c r="AC12" s="112">
        <v>32</v>
      </c>
      <c r="AD12" s="112">
        <f t="shared" si="5"/>
        <v>71.111111111111114</v>
      </c>
      <c r="AE12" s="112">
        <v>12.5</v>
      </c>
      <c r="AF12" s="112">
        <v>74.990000000000009</v>
      </c>
      <c r="AG12" s="111" t="s">
        <v>641</v>
      </c>
    </row>
    <row r="13" spans="1:36" ht="14.25" customHeight="1" x14ac:dyDescent="0.3">
      <c r="B13" s="114">
        <v>31.96</v>
      </c>
      <c r="C13" s="114">
        <f t="shared" si="0"/>
        <v>71.022222222222226</v>
      </c>
      <c r="D13" s="107">
        <f t="shared" si="1"/>
        <v>28.977777777777774</v>
      </c>
      <c r="E13" s="107">
        <v>63.730000000000004</v>
      </c>
      <c r="F13" s="218" t="s">
        <v>638</v>
      </c>
      <c r="G13" s="14">
        <v>726</v>
      </c>
      <c r="H13" s="217" t="str">
        <f t="shared" si="2"/>
        <v>Perbaikan</v>
      </c>
      <c r="K13" s="217" t="s">
        <v>639</v>
      </c>
      <c r="L13" s="14">
        <v>445</v>
      </c>
      <c r="Z13" s="111">
        <v>10</v>
      </c>
      <c r="AA13" s="111" t="s">
        <v>297</v>
      </c>
      <c r="AB13" s="111">
        <v>1086</v>
      </c>
      <c r="AC13" s="112">
        <v>30</v>
      </c>
      <c r="AD13" s="112">
        <f t="shared" si="5"/>
        <v>66.666666666666657</v>
      </c>
      <c r="AE13" s="112">
        <v>13.42</v>
      </c>
      <c r="AF13" s="112">
        <v>73.820000000000007</v>
      </c>
      <c r="AG13" s="111" t="s">
        <v>641</v>
      </c>
    </row>
    <row r="14" spans="1:36" ht="14.25" customHeight="1" x14ac:dyDescent="0.3">
      <c r="B14" s="114">
        <v>27.57</v>
      </c>
      <c r="C14" s="114">
        <f t="shared" si="0"/>
        <v>61.266666666666666</v>
      </c>
      <c r="D14" s="107">
        <f t="shared" si="1"/>
        <v>38.733333333333334</v>
      </c>
      <c r="E14" s="107">
        <v>59.63</v>
      </c>
      <c r="F14" s="218" t="s">
        <v>638</v>
      </c>
      <c r="G14" s="14">
        <v>63</v>
      </c>
      <c r="H14" s="217" t="str">
        <f t="shared" si="2"/>
        <v>Perbaikan</v>
      </c>
      <c r="K14" s="217" t="s">
        <v>639</v>
      </c>
      <c r="L14" s="117">
        <v>2522</v>
      </c>
      <c r="Z14" s="111">
        <v>11</v>
      </c>
      <c r="AA14" s="111" t="s">
        <v>299</v>
      </c>
      <c r="AB14" s="111">
        <v>1094</v>
      </c>
      <c r="AC14" s="112">
        <v>32.119999999999997</v>
      </c>
      <c r="AD14" s="112">
        <f t="shared" si="5"/>
        <v>71.37777777777778</v>
      </c>
      <c r="AE14" s="112">
        <v>10.7</v>
      </c>
      <c r="AF14" s="112">
        <v>70.819999999999993</v>
      </c>
      <c r="AG14" s="111" t="s">
        <v>641</v>
      </c>
    </row>
    <row r="15" spans="1:36" ht="14.25" customHeight="1" x14ac:dyDescent="0.3">
      <c r="B15" s="114">
        <v>28.39</v>
      </c>
      <c r="C15" s="114">
        <f t="shared" si="0"/>
        <v>63.088888888888896</v>
      </c>
      <c r="D15" s="107">
        <f t="shared" si="1"/>
        <v>36.911111111111104</v>
      </c>
      <c r="E15" s="107">
        <v>61.63</v>
      </c>
      <c r="F15" s="218" t="s">
        <v>638</v>
      </c>
      <c r="G15" s="14">
        <v>70</v>
      </c>
      <c r="H15" s="217" t="str">
        <f t="shared" si="2"/>
        <v>Perbaikan</v>
      </c>
      <c r="K15" s="217" t="s">
        <v>639</v>
      </c>
      <c r="L15" s="13">
        <v>1370</v>
      </c>
      <c r="Z15" s="111">
        <v>12</v>
      </c>
      <c r="AA15" s="111" t="s">
        <v>301</v>
      </c>
      <c r="AB15" s="111">
        <v>1867</v>
      </c>
      <c r="AC15" s="112">
        <v>33.119999999999997</v>
      </c>
      <c r="AD15" s="112">
        <f t="shared" si="5"/>
        <v>73.599999999999994</v>
      </c>
      <c r="AE15" s="112">
        <v>11.6</v>
      </c>
      <c r="AF15" s="112">
        <v>78.72</v>
      </c>
      <c r="AG15" s="111" t="s">
        <v>641</v>
      </c>
    </row>
    <row r="16" spans="1:36" ht="14.25" customHeight="1" x14ac:dyDescent="0.3">
      <c r="B16" s="114">
        <v>22.16</v>
      </c>
      <c r="C16" s="114">
        <f t="shared" si="0"/>
        <v>49.244444444444447</v>
      </c>
      <c r="D16" s="107">
        <f t="shared" si="1"/>
        <v>50.755555555555553</v>
      </c>
      <c r="E16" s="107">
        <v>59.910000000000011</v>
      </c>
      <c r="F16" s="218" t="s">
        <v>645</v>
      </c>
      <c r="G16" s="14">
        <v>53</v>
      </c>
      <c r="H16" s="217" t="str">
        <f t="shared" si="2"/>
        <v>Perbaikan</v>
      </c>
      <c r="K16" s="217" t="s">
        <v>639</v>
      </c>
      <c r="L16" s="116">
        <v>1449</v>
      </c>
      <c r="Z16" s="111">
        <v>13</v>
      </c>
      <c r="AA16" s="111" t="s">
        <v>303</v>
      </c>
      <c r="AB16" s="111">
        <v>1088</v>
      </c>
      <c r="AC16" s="112">
        <v>21.64</v>
      </c>
      <c r="AD16" s="112">
        <f t="shared" si="5"/>
        <v>48.088888888888889</v>
      </c>
      <c r="AE16" s="112">
        <v>14.86</v>
      </c>
      <c r="AF16" s="112">
        <v>67.100000000000009</v>
      </c>
      <c r="AG16" s="111" t="s">
        <v>641</v>
      </c>
      <c r="AH16" s="31"/>
    </row>
    <row r="17" spans="2:34" ht="14.25" customHeight="1" x14ac:dyDescent="0.3">
      <c r="B17" s="114">
        <v>27.55</v>
      </c>
      <c r="C17" s="114">
        <f t="shared" si="0"/>
        <v>61.222222222222221</v>
      </c>
      <c r="D17" s="107">
        <f t="shared" si="1"/>
        <v>38.777777777777779</v>
      </c>
      <c r="E17" s="107">
        <v>56.850000000000009</v>
      </c>
      <c r="F17" s="218" t="s">
        <v>638</v>
      </c>
      <c r="G17" s="14">
        <v>193</v>
      </c>
      <c r="H17" s="217" t="str">
        <f t="shared" si="2"/>
        <v>Perbaikan</v>
      </c>
      <c r="K17" s="217" t="s">
        <v>639</v>
      </c>
      <c r="L17" s="116">
        <v>1057</v>
      </c>
      <c r="Z17" s="111">
        <v>14</v>
      </c>
      <c r="AA17" s="111" t="s">
        <v>305</v>
      </c>
      <c r="AB17" s="111">
        <v>1920</v>
      </c>
      <c r="AC17" s="112">
        <v>22.26</v>
      </c>
      <c r="AD17" s="112">
        <f t="shared" si="5"/>
        <v>49.466666666666669</v>
      </c>
      <c r="AE17" s="112">
        <v>13</v>
      </c>
      <c r="AF17" s="112">
        <v>65.430000000000007</v>
      </c>
      <c r="AG17" s="111" t="s">
        <v>641</v>
      </c>
      <c r="AH17" s="31"/>
    </row>
    <row r="18" spans="2:34" ht="14.4" x14ac:dyDescent="0.3">
      <c r="B18" s="114">
        <v>27.88</v>
      </c>
      <c r="C18" s="114">
        <f t="shared" si="0"/>
        <v>61.955555555555556</v>
      </c>
      <c r="D18" s="107">
        <f t="shared" si="1"/>
        <v>38.044444444444444</v>
      </c>
      <c r="E18" s="107">
        <v>53.14</v>
      </c>
      <c r="F18" s="218" t="s">
        <v>638</v>
      </c>
      <c r="G18" s="14">
        <v>455</v>
      </c>
      <c r="H18" s="217" t="str">
        <f t="shared" si="2"/>
        <v>Perbaikan</v>
      </c>
      <c r="K18" s="217" t="s">
        <v>639</v>
      </c>
      <c r="L18" s="116">
        <v>1393</v>
      </c>
      <c r="Z18" s="111">
        <v>15</v>
      </c>
      <c r="AA18" s="111" t="s">
        <v>308</v>
      </c>
      <c r="AB18" s="111">
        <v>1262</v>
      </c>
      <c r="AC18" s="112">
        <v>23.34</v>
      </c>
      <c r="AD18" s="112">
        <f t="shared" si="5"/>
        <v>51.86666666666666</v>
      </c>
      <c r="AE18" s="112">
        <v>13.36</v>
      </c>
      <c r="AF18" s="112">
        <v>68.260000000000005</v>
      </c>
      <c r="AG18" s="111" t="s">
        <v>641</v>
      </c>
      <c r="AH18" s="31"/>
    </row>
    <row r="19" spans="2:34" ht="14.4" x14ac:dyDescent="0.3">
      <c r="B19" s="114">
        <v>27.18</v>
      </c>
      <c r="C19" s="114">
        <f t="shared" si="0"/>
        <v>60.4</v>
      </c>
      <c r="D19" s="107">
        <f t="shared" si="1"/>
        <v>39.6</v>
      </c>
      <c r="E19" s="107">
        <v>59.58</v>
      </c>
      <c r="F19" s="218" t="s">
        <v>638</v>
      </c>
      <c r="G19" s="14">
        <v>16</v>
      </c>
      <c r="H19" s="217" t="str">
        <f t="shared" si="2"/>
        <v>Perbaikan</v>
      </c>
      <c r="K19" s="217" t="s">
        <v>639</v>
      </c>
      <c r="L19" s="13">
        <v>1447</v>
      </c>
      <c r="Z19" s="111">
        <v>16</v>
      </c>
      <c r="AA19" s="111" t="s">
        <v>310</v>
      </c>
      <c r="AB19" s="111">
        <v>2188</v>
      </c>
      <c r="AC19" s="112">
        <v>30.37</v>
      </c>
      <c r="AD19" s="112">
        <f t="shared" si="5"/>
        <v>67.48888888888888</v>
      </c>
      <c r="AE19" s="112">
        <v>13.02</v>
      </c>
      <c r="AF19" s="112">
        <v>73.72</v>
      </c>
      <c r="AG19" s="111" t="s">
        <v>641</v>
      </c>
    </row>
    <row r="20" spans="2:34" ht="14.4" x14ac:dyDescent="0.3">
      <c r="B20" s="114">
        <v>22.54</v>
      </c>
      <c r="C20" s="114">
        <f t="shared" si="0"/>
        <v>50.088888888888881</v>
      </c>
      <c r="D20" s="107">
        <f t="shared" si="1"/>
        <v>49.911111111111119</v>
      </c>
      <c r="E20" s="107">
        <v>54.64</v>
      </c>
      <c r="F20" s="218" t="s">
        <v>645</v>
      </c>
      <c r="G20" s="14">
        <v>32</v>
      </c>
      <c r="H20" s="217" t="str">
        <f t="shared" si="2"/>
        <v>Rehab J.I</v>
      </c>
      <c r="K20" s="217" t="s">
        <v>639</v>
      </c>
      <c r="L20" s="116">
        <v>1239</v>
      </c>
      <c r="Z20" s="111">
        <v>17</v>
      </c>
      <c r="AA20" s="111" t="s">
        <v>312</v>
      </c>
      <c r="AB20" s="111">
        <v>1239</v>
      </c>
      <c r="AC20" s="112">
        <v>30</v>
      </c>
      <c r="AD20" s="112">
        <f t="shared" si="5"/>
        <v>66.666666666666657</v>
      </c>
      <c r="AE20" s="112">
        <v>14.53</v>
      </c>
      <c r="AF20" s="112">
        <v>75.42</v>
      </c>
      <c r="AG20" s="111" t="s">
        <v>641</v>
      </c>
    </row>
    <row r="21" spans="2:34" ht="15.75" customHeight="1" x14ac:dyDescent="0.3">
      <c r="B21" s="114">
        <v>27.43</v>
      </c>
      <c r="C21" s="114">
        <f t="shared" si="0"/>
        <v>60.955555555555549</v>
      </c>
      <c r="D21" s="107">
        <f t="shared" si="1"/>
        <v>39.044444444444451</v>
      </c>
      <c r="E21" s="107">
        <v>61.73</v>
      </c>
      <c r="F21" s="218" t="s">
        <v>638</v>
      </c>
      <c r="G21" s="14">
        <v>46</v>
      </c>
      <c r="H21" s="217" t="str">
        <f t="shared" si="2"/>
        <v>Perbaikan</v>
      </c>
      <c r="K21" s="217" t="s">
        <v>639</v>
      </c>
      <c r="L21" s="116">
        <v>1244</v>
      </c>
      <c r="Z21" s="111">
        <v>18</v>
      </c>
      <c r="AA21" s="111" t="s">
        <v>315</v>
      </c>
      <c r="AB21" s="111">
        <v>2323</v>
      </c>
      <c r="AC21" s="112">
        <v>20.18</v>
      </c>
      <c r="AD21" s="112">
        <f t="shared" si="5"/>
        <v>44.844444444444441</v>
      </c>
      <c r="AE21" s="112">
        <v>12.05</v>
      </c>
      <c r="AF21" s="112">
        <v>62.86</v>
      </c>
      <c r="AG21" s="111" t="s">
        <v>643</v>
      </c>
      <c r="AH21" s="31"/>
    </row>
    <row r="22" spans="2:34" ht="15.75" customHeight="1" x14ac:dyDescent="0.3">
      <c r="B22" s="114">
        <v>21.83</v>
      </c>
      <c r="C22" s="114">
        <f t="shared" si="0"/>
        <v>48.511111111111106</v>
      </c>
      <c r="D22" s="107">
        <f t="shared" si="1"/>
        <v>51.488888888888894</v>
      </c>
      <c r="E22" s="107">
        <v>53.64</v>
      </c>
      <c r="F22" s="218" t="s">
        <v>645</v>
      </c>
      <c r="G22" s="14">
        <v>59</v>
      </c>
      <c r="H22" s="217" t="str">
        <f t="shared" si="2"/>
        <v>Rehab J.I</v>
      </c>
      <c r="K22" s="217" t="s">
        <v>639</v>
      </c>
      <c r="L22" s="116">
        <v>2188</v>
      </c>
      <c r="Z22" s="111">
        <v>19</v>
      </c>
      <c r="AA22" s="111" t="s">
        <v>317</v>
      </c>
      <c r="AB22" s="111">
        <v>1447</v>
      </c>
      <c r="AC22" s="112">
        <v>28.1</v>
      </c>
      <c r="AD22" s="112">
        <f t="shared" si="5"/>
        <v>62.44444444444445</v>
      </c>
      <c r="AE22" s="112">
        <v>11.53</v>
      </c>
      <c r="AF22" s="112">
        <v>69.7</v>
      </c>
      <c r="AG22" s="111" t="s">
        <v>641</v>
      </c>
    </row>
    <row r="23" spans="2:34" ht="15.75" customHeight="1" x14ac:dyDescent="0.3">
      <c r="B23" s="114">
        <v>28.83</v>
      </c>
      <c r="C23" s="114">
        <f t="shared" si="0"/>
        <v>64.066666666666663</v>
      </c>
      <c r="D23" s="107">
        <f t="shared" si="1"/>
        <v>35.933333333333337</v>
      </c>
      <c r="E23" s="107">
        <v>61.69</v>
      </c>
      <c r="F23" s="218" t="s">
        <v>638</v>
      </c>
      <c r="G23" s="14">
        <v>119</v>
      </c>
      <c r="H23" s="217" t="str">
        <f t="shared" si="2"/>
        <v>Perbaikan</v>
      </c>
      <c r="K23" s="217" t="s">
        <v>639</v>
      </c>
      <c r="L23" s="116">
        <v>2056</v>
      </c>
      <c r="Z23" s="111">
        <v>20</v>
      </c>
      <c r="AA23" s="111" t="s">
        <v>320</v>
      </c>
      <c r="AB23" s="111">
        <v>2056</v>
      </c>
      <c r="AC23" s="112">
        <v>28.8</v>
      </c>
      <c r="AD23" s="112">
        <f t="shared" si="5"/>
        <v>64</v>
      </c>
      <c r="AE23" s="112">
        <v>10.56</v>
      </c>
      <c r="AF23" s="112">
        <v>69.569999999999993</v>
      </c>
      <c r="AG23" s="111" t="s">
        <v>641</v>
      </c>
    </row>
    <row r="24" spans="2:34" ht="15.75" customHeight="1" x14ac:dyDescent="0.3">
      <c r="B24" s="114">
        <v>21.53</v>
      </c>
      <c r="C24" s="114">
        <f t="shared" si="0"/>
        <v>47.844444444444449</v>
      </c>
      <c r="D24" s="107">
        <f t="shared" si="1"/>
        <v>52.155555555555551</v>
      </c>
      <c r="E24" s="107">
        <v>65.039999999999992</v>
      </c>
      <c r="F24" s="218" t="s">
        <v>645</v>
      </c>
      <c r="G24" s="14">
        <v>165</v>
      </c>
      <c r="H24" s="217" t="str">
        <f t="shared" si="2"/>
        <v>Perbaikan</v>
      </c>
      <c r="K24" s="217" t="s">
        <v>639</v>
      </c>
      <c r="L24" s="13">
        <v>1088</v>
      </c>
      <c r="Z24" s="111">
        <v>21</v>
      </c>
      <c r="AA24" s="111" t="s">
        <v>322</v>
      </c>
      <c r="AB24" s="111">
        <v>1879</v>
      </c>
      <c r="AC24" s="112">
        <v>32.979999999999997</v>
      </c>
      <c r="AD24" s="112">
        <f t="shared" si="5"/>
        <v>73.288888888888877</v>
      </c>
      <c r="AE24" s="112">
        <v>13.37</v>
      </c>
      <c r="AF24" s="112">
        <v>79.739999999999995</v>
      </c>
      <c r="AG24" s="111" t="s">
        <v>641</v>
      </c>
    </row>
    <row r="25" spans="2:34" ht="15.75" customHeight="1" x14ac:dyDescent="0.3">
      <c r="B25" s="114">
        <v>17.97</v>
      </c>
      <c r="C25" s="114">
        <f t="shared" si="0"/>
        <v>39.93333333333333</v>
      </c>
      <c r="D25" s="107">
        <f t="shared" si="1"/>
        <v>60.06666666666667</v>
      </c>
      <c r="E25" s="107">
        <v>53.709999999999994</v>
      </c>
      <c r="F25" s="218" t="s">
        <v>645</v>
      </c>
      <c r="G25" s="14">
        <v>551</v>
      </c>
      <c r="H25" s="217" t="str">
        <f t="shared" si="2"/>
        <v>Rehab J.I</v>
      </c>
      <c r="K25" s="217" t="s">
        <v>639</v>
      </c>
      <c r="L25" s="13">
        <v>309</v>
      </c>
      <c r="Z25" s="111">
        <v>22</v>
      </c>
      <c r="AA25" s="111" t="s">
        <v>325</v>
      </c>
      <c r="AB25" s="111">
        <v>1244</v>
      </c>
      <c r="AC25" s="112">
        <v>32.25</v>
      </c>
      <c r="AD25" s="112">
        <f t="shared" si="5"/>
        <v>71.666666666666671</v>
      </c>
      <c r="AE25" s="112">
        <v>14.66</v>
      </c>
      <c r="AF25" s="112">
        <v>77.930000000000007</v>
      </c>
      <c r="AG25" s="111" t="s">
        <v>641</v>
      </c>
    </row>
    <row r="26" spans="2:34" ht="15.75" customHeight="1" x14ac:dyDescent="0.3">
      <c r="B26" s="114">
        <v>24.75</v>
      </c>
      <c r="C26" s="114">
        <f t="shared" si="0"/>
        <v>55.000000000000007</v>
      </c>
      <c r="D26" s="107">
        <f t="shared" si="1"/>
        <v>44.999999999999993</v>
      </c>
      <c r="E26" s="107">
        <v>64.820000000000007</v>
      </c>
      <c r="F26" s="218" t="s">
        <v>645</v>
      </c>
      <c r="G26" s="14">
        <v>69</v>
      </c>
      <c r="H26" s="217" t="str">
        <f t="shared" si="2"/>
        <v>Perbaikan</v>
      </c>
      <c r="K26" s="217" t="s">
        <v>639</v>
      </c>
      <c r="L26" s="13">
        <v>63</v>
      </c>
      <c r="Z26" s="111">
        <v>23</v>
      </c>
      <c r="AA26" s="111" t="s">
        <v>327</v>
      </c>
      <c r="AB26" s="111">
        <v>1393</v>
      </c>
      <c r="AC26" s="112">
        <v>33.1</v>
      </c>
      <c r="AD26" s="112">
        <f t="shared" si="5"/>
        <v>73.555555555555557</v>
      </c>
      <c r="AE26" s="112">
        <v>14.2</v>
      </c>
      <c r="AF26" s="112">
        <v>78.069999999999993</v>
      </c>
      <c r="AG26" s="111" t="s">
        <v>641</v>
      </c>
    </row>
    <row r="27" spans="2:34" ht="15.75" customHeight="1" x14ac:dyDescent="0.3">
      <c r="B27" s="114">
        <v>29.82</v>
      </c>
      <c r="C27" s="114">
        <f t="shared" si="0"/>
        <v>66.266666666666666</v>
      </c>
      <c r="D27" s="107">
        <f t="shared" si="1"/>
        <v>33.733333333333334</v>
      </c>
      <c r="E27" s="107">
        <v>70.33</v>
      </c>
      <c r="F27" s="218" t="s">
        <v>638</v>
      </c>
      <c r="G27" s="14">
        <v>54</v>
      </c>
      <c r="H27" s="217" t="str">
        <f t="shared" si="2"/>
        <v>Perawatan</v>
      </c>
      <c r="K27" s="217" t="s">
        <v>639</v>
      </c>
      <c r="L27" s="29">
        <v>777</v>
      </c>
      <c r="Z27" s="111">
        <v>24</v>
      </c>
      <c r="AA27" s="111" t="s">
        <v>329</v>
      </c>
      <c r="AB27" s="111">
        <v>1523</v>
      </c>
      <c r="AC27" s="112">
        <v>32.229999999999997</v>
      </c>
      <c r="AD27" s="112">
        <f t="shared" si="5"/>
        <v>71.62222222222222</v>
      </c>
      <c r="AE27" s="112">
        <v>5.29</v>
      </c>
      <c r="AF27" s="112">
        <v>59.639999999999993</v>
      </c>
      <c r="AG27" s="111" t="s">
        <v>641</v>
      </c>
    </row>
    <row r="28" spans="2:34" ht="15.75" customHeight="1" x14ac:dyDescent="0.3">
      <c r="B28" s="114">
        <v>29.66</v>
      </c>
      <c r="C28" s="114">
        <f t="shared" si="0"/>
        <v>65.911111111111111</v>
      </c>
      <c r="D28" s="107">
        <f t="shared" si="1"/>
        <v>34.088888888888889</v>
      </c>
      <c r="E28" s="107">
        <v>71.19</v>
      </c>
      <c r="F28" s="218" t="s">
        <v>638</v>
      </c>
      <c r="G28" s="14">
        <v>23</v>
      </c>
      <c r="H28" s="217" t="str">
        <f t="shared" si="2"/>
        <v>Perawatan</v>
      </c>
      <c r="K28" s="217" t="s">
        <v>639</v>
      </c>
      <c r="L28" s="13">
        <v>1499</v>
      </c>
      <c r="Z28" s="111">
        <v>25</v>
      </c>
      <c r="AA28" s="111" t="s">
        <v>331</v>
      </c>
      <c r="AB28" s="111">
        <v>1736</v>
      </c>
      <c r="AC28" s="112">
        <v>24.43</v>
      </c>
      <c r="AD28" s="112">
        <f t="shared" si="5"/>
        <v>54.288888888888884</v>
      </c>
      <c r="AE28" s="112">
        <v>11.81</v>
      </c>
      <c r="AF28" s="112">
        <v>55.480000000000004</v>
      </c>
      <c r="AG28" s="111" t="s">
        <v>643</v>
      </c>
      <c r="AH28" s="31"/>
    </row>
    <row r="29" spans="2:34" ht="15.75" customHeight="1" x14ac:dyDescent="0.3">
      <c r="B29" s="114">
        <v>28.87</v>
      </c>
      <c r="C29" s="114">
        <f t="shared" si="0"/>
        <v>64.155555555555551</v>
      </c>
      <c r="D29" s="107">
        <f t="shared" si="1"/>
        <v>35.844444444444449</v>
      </c>
      <c r="E29" s="107">
        <v>70.02000000000001</v>
      </c>
      <c r="F29" s="218" t="s">
        <v>638</v>
      </c>
      <c r="G29" s="14">
        <v>42</v>
      </c>
      <c r="H29" s="217" t="str">
        <f t="shared" si="2"/>
        <v>Perawatan</v>
      </c>
      <c r="K29" s="217" t="s">
        <v>639</v>
      </c>
      <c r="L29" s="116">
        <v>1523</v>
      </c>
      <c r="Z29" s="111">
        <v>26</v>
      </c>
      <c r="AA29" s="111" t="s">
        <v>334</v>
      </c>
      <c r="AB29" s="111">
        <v>1074</v>
      </c>
      <c r="AC29" s="112">
        <v>27.37</v>
      </c>
      <c r="AD29" s="112">
        <f t="shared" si="5"/>
        <v>60.822222222222223</v>
      </c>
      <c r="AE29" s="112">
        <v>10.6</v>
      </c>
      <c r="AF29" s="112">
        <v>65.790000000000006</v>
      </c>
      <c r="AG29" s="111" t="s">
        <v>641</v>
      </c>
    </row>
    <row r="30" spans="2:34" ht="15.75" customHeight="1" x14ac:dyDescent="0.3">
      <c r="B30" s="114">
        <v>13.8</v>
      </c>
      <c r="C30" s="114">
        <f t="shared" si="0"/>
        <v>30.666666666666671</v>
      </c>
      <c r="D30" s="107">
        <f t="shared" si="1"/>
        <v>69.333333333333329</v>
      </c>
      <c r="E30" s="107">
        <v>55.02</v>
      </c>
      <c r="F30" s="218" t="s">
        <v>645</v>
      </c>
      <c r="G30" s="14">
        <v>51</v>
      </c>
      <c r="H30" s="217" t="str">
        <f t="shared" si="2"/>
        <v>Perbaikan</v>
      </c>
      <c r="K30" s="217" t="s">
        <v>639</v>
      </c>
      <c r="L30" s="116">
        <v>2462</v>
      </c>
      <c r="Z30" s="111">
        <v>27</v>
      </c>
      <c r="AA30" s="111" t="s">
        <v>336</v>
      </c>
      <c r="AB30" s="111">
        <v>1074</v>
      </c>
      <c r="AC30" s="112">
        <v>23.65</v>
      </c>
      <c r="AD30" s="112">
        <f t="shared" si="5"/>
        <v>52.555555555555557</v>
      </c>
      <c r="AE30" s="112">
        <v>10.16</v>
      </c>
      <c r="AF30" s="112">
        <v>57.150000000000006</v>
      </c>
      <c r="AG30" s="111" t="s">
        <v>643</v>
      </c>
      <c r="AH30" s="31"/>
    </row>
    <row r="31" spans="2:34" ht="15.75" customHeight="1" x14ac:dyDescent="0.3">
      <c r="B31" s="114">
        <v>27.48</v>
      </c>
      <c r="C31" s="114">
        <f t="shared" si="0"/>
        <v>61.06666666666667</v>
      </c>
      <c r="D31" s="107">
        <f t="shared" si="1"/>
        <v>38.93333333333333</v>
      </c>
      <c r="E31" s="107">
        <v>69</v>
      </c>
      <c r="F31" s="218" t="s">
        <v>638</v>
      </c>
      <c r="G31" s="14">
        <v>82</v>
      </c>
      <c r="H31" s="217" t="str">
        <f t="shared" si="2"/>
        <v>Perbaikan</v>
      </c>
      <c r="K31" s="217" t="s">
        <v>646</v>
      </c>
      <c r="L31" s="14">
        <v>148</v>
      </c>
      <c r="Z31" s="111">
        <v>28</v>
      </c>
      <c r="AA31" s="111" t="s">
        <v>338</v>
      </c>
      <c r="AB31" s="111">
        <v>1499</v>
      </c>
      <c r="AC31" s="112">
        <v>27.53</v>
      </c>
      <c r="AD31" s="112">
        <f t="shared" si="5"/>
        <v>61.177777777777777</v>
      </c>
      <c r="AE31" s="112">
        <v>15</v>
      </c>
      <c r="AF31" s="112">
        <v>73.600000000000009</v>
      </c>
      <c r="AG31" s="111" t="s">
        <v>641</v>
      </c>
    </row>
    <row r="32" spans="2:34" ht="15.75" customHeight="1" x14ac:dyDescent="0.3">
      <c r="B32" s="114">
        <v>24.65</v>
      </c>
      <c r="C32" s="114">
        <f t="shared" si="0"/>
        <v>54.777777777777771</v>
      </c>
      <c r="D32" s="107">
        <f t="shared" si="1"/>
        <v>45.222222222222229</v>
      </c>
      <c r="E32" s="107">
        <v>66.22</v>
      </c>
      <c r="F32" s="218" t="s">
        <v>645</v>
      </c>
      <c r="G32" s="14">
        <v>62</v>
      </c>
      <c r="H32" s="217" t="str">
        <f t="shared" si="2"/>
        <v>Perbaikan</v>
      </c>
      <c r="K32" s="217" t="s">
        <v>646</v>
      </c>
      <c r="L32" s="14">
        <v>156</v>
      </c>
      <c r="Z32" s="111">
        <v>29</v>
      </c>
      <c r="AA32" s="111" t="s">
        <v>340</v>
      </c>
      <c r="AB32" s="111">
        <v>2184</v>
      </c>
      <c r="AC32" s="112">
        <v>34</v>
      </c>
      <c r="AD32" s="112">
        <f t="shared" si="5"/>
        <v>75.555555555555557</v>
      </c>
      <c r="AE32" s="112">
        <v>13</v>
      </c>
      <c r="AF32" s="112">
        <v>71.16</v>
      </c>
      <c r="AG32" s="111" t="s">
        <v>641</v>
      </c>
    </row>
    <row r="33" spans="2:34" ht="15.75" customHeight="1" x14ac:dyDescent="0.3">
      <c r="B33" s="114">
        <v>26.65</v>
      </c>
      <c r="C33" s="114">
        <f t="shared" si="0"/>
        <v>59.222222222222221</v>
      </c>
      <c r="D33" s="107">
        <f t="shared" si="1"/>
        <v>40.777777777777779</v>
      </c>
      <c r="E33" s="107">
        <v>67.819999999999993</v>
      </c>
      <c r="F33" s="218" t="s">
        <v>645</v>
      </c>
      <c r="G33" s="14">
        <v>56</v>
      </c>
      <c r="H33" s="217" t="str">
        <f t="shared" si="2"/>
        <v>Perbaikan</v>
      </c>
      <c r="K33" s="217" t="s">
        <v>646</v>
      </c>
      <c r="L33" s="117">
        <v>1212</v>
      </c>
      <c r="Z33" s="111">
        <v>30</v>
      </c>
      <c r="AA33" s="111" t="s">
        <v>343</v>
      </c>
      <c r="AB33" s="111">
        <v>1523</v>
      </c>
      <c r="AC33" s="112">
        <v>31.88</v>
      </c>
      <c r="AD33" s="112">
        <f t="shared" si="5"/>
        <v>70.844444444444449</v>
      </c>
      <c r="AE33" s="112">
        <v>13</v>
      </c>
      <c r="AF33" s="112">
        <v>72.089999999999989</v>
      </c>
      <c r="AG33" s="111" t="s">
        <v>641</v>
      </c>
    </row>
    <row r="34" spans="2:34" ht="15.75" customHeight="1" x14ac:dyDescent="0.3">
      <c r="B34" s="114">
        <v>17.25</v>
      </c>
      <c r="C34" s="114">
        <f t="shared" si="0"/>
        <v>38.333333333333336</v>
      </c>
      <c r="D34" s="107">
        <f t="shared" si="1"/>
        <v>61.666666666666664</v>
      </c>
      <c r="E34" s="107">
        <v>58.83</v>
      </c>
      <c r="F34" s="218" t="s">
        <v>645</v>
      </c>
      <c r="G34" s="14">
        <v>38</v>
      </c>
      <c r="H34" s="217" t="str">
        <f t="shared" si="2"/>
        <v>Perbaikan</v>
      </c>
      <c r="K34" s="217" t="s">
        <v>646</v>
      </c>
      <c r="L34" s="14">
        <v>20</v>
      </c>
      <c r="Z34" s="111">
        <v>31</v>
      </c>
      <c r="AA34" s="111" t="s">
        <v>345</v>
      </c>
      <c r="AB34" s="111">
        <v>1744</v>
      </c>
      <c r="AC34" s="112">
        <v>31.21</v>
      </c>
      <c r="AD34" s="112">
        <f t="shared" si="5"/>
        <v>69.355555555555554</v>
      </c>
      <c r="AE34" s="112">
        <v>11.54</v>
      </c>
      <c r="AF34" s="112">
        <v>62.41</v>
      </c>
      <c r="AG34" s="111" t="s">
        <v>641</v>
      </c>
    </row>
    <row r="35" spans="2:34" ht="15.75" customHeight="1" x14ac:dyDescent="0.3">
      <c r="B35" s="105">
        <v>25.3</v>
      </c>
      <c r="C35" s="114">
        <f t="shared" si="0"/>
        <v>56.222222222222229</v>
      </c>
      <c r="D35" s="107">
        <f t="shared" si="1"/>
        <v>43.777777777777771</v>
      </c>
      <c r="E35" s="107">
        <v>64.81</v>
      </c>
      <c r="F35" s="218" t="s">
        <v>645</v>
      </c>
      <c r="G35" s="14">
        <v>45</v>
      </c>
      <c r="H35" s="217" t="str">
        <f t="shared" si="2"/>
        <v>Perbaikan</v>
      </c>
      <c r="K35" s="217" t="s">
        <v>646</v>
      </c>
      <c r="L35" s="14">
        <v>457</v>
      </c>
      <c r="Z35" s="111">
        <v>32</v>
      </c>
      <c r="AA35" s="111" t="s">
        <v>347</v>
      </c>
      <c r="AB35" s="111">
        <v>1126</v>
      </c>
      <c r="AC35" s="112">
        <v>32.32</v>
      </c>
      <c r="AD35" s="112">
        <f t="shared" si="5"/>
        <v>71.822222222222223</v>
      </c>
      <c r="AE35" s="112">
        <v>13.28</v>
      </c>
      <c r="AF35" s="112">
        <v>69.77000000000001</v>
      </c>
      <c r="AG35" s="111" t="s">
        <v>641</v>
      </c>
    </row>
    <row r="36" spans="2:34" ht="15.75" customHeight="1" x14ac:dyDescent="0.3">
      <c r="B36" s="114">
        <v>19.7</v>
      </c>
      <c r="C36" s="114">
        <f t="shared" si="0"/>
        <v>43.777777777777779</v>
      </c>
      <c r="D36" s="107">
        <f t="shared" si="1"/>
        <v>56.222222222222221</v>
      </c>
      <c r="E36" s="107">
        <v>52.57</v>
      </c>
      <c r="F36" s="218" t="s">
        <v>645</v>
      </c>
      <c r="G36" s="14">
        <v>461</v>
      </c>
      <c r="H36" s="217" t="str">
        <f t="shared" si="2"/>
        <v>Rehab J.I</v>
      </c>
      <c r="K36" s="217" t="s">
        <v>646</v>
      </c>
      <c r="L36" s="14">
        <v>107</v>
      </c>
      <c r="Z36" s="111">
        <v>33</v>
      </c>
      <c r="AA36" s="111" t="s">
        <v>349</v>
      </c>
      <c r="AB36" s="111">
        <v>1909</v>
      </c>
      <c r="AC36" s="112">
        <v>28.37</v>
      </c>
      <c r="AD36" s="112">
        <f t="shared" si="5"/>
        <v>63.044444444444444</v>
      </c>
      <c r="AE36" s="112">
        <v>11.03</v>
      </c>
      <c r="AF36" s="112">
        <v>59.48</v>
      </c>
      <c r="AG36" s="111" t="s">
        <v>641</v>
      </c>
    </row>
    <row r="37" spans="2:34" ht="15.75" customHeight="1" x14ac:dyDescent="0.3">
      <c r="B37" s="105">
        <v>36.72</v>
      </c>
      <c r="C37" s="114">
        <f t="shared" si="0"/>
        <v>81.599999999999994</v>
      </c>
      <c r="D37" s="107">
        <f t="shared" si="1"/>
        <v>18.400000000000006</v>
      </c>
      <c r="E37" s="115">
        <v>69.789999999999992</v>
      </c>
      <c r="F37" s="218" t="s">
        <v>647</v>
      </c>
      <c r="G37" s="117">
        <v>1763</v>
      </c>
      <c r="H37" s="217" t="str">
        <f t="shared" si="2"/>
        <v>Perawatan</v>
      </c>
      <c r="K37" s="217" t="s">
        <v>646</v>
      </c>
      <c r="L37" s="14">
        <v>39</v>
      </c>
      <c r="Z37" s="111">
        <v>34</v>
      </c>
      <c r="AA37" s="111" t="s">
        <v>352</v>
      </c>
      <c r="AB37" s="111">
        <v>1513</v>
      </c>
      <c r="AC37" s="112">
        <v>23.99</v>
      </c>
      <c r="AD37" s="112">
        <f t="shared" si="5"/>
        <v>53.31111111111111</v>
      </c>
      <c r="AE37" s="112">
        <v>14.58</v>
      </c>
      <c r="AF37" s="112">
        <v>62.42</v>
      </c>
      <c r="AG37" s="111" t="s">
        <v>641</v>
      </c>
      <c r="AH37" s="31"/>
    </row>
    <row r="38" spans="2:34" ht="15.75" customHeight="1" x14ac:dyDescent="0.3">
      <c r="B38" s="114">
        <v>23.96</v>
      </c>
      <c r="C38" s="114">
        <f t="shared" si="0"/>
        <v>53.244444444444447</v>
      </c>
      <c r="D38" s="107">
        <f t="shared" si="1"/>
        <v>46.755555555555553</v>
      </c>
      <c r="E38" s="107">
        <v>62.7</v>
      </c>
      <c r="F38" s="218" t="s">
        <v>645</v>
      </c>
      <c r="G38" s="14">
        <v>1378</v>
      </c>
      <c r="H38" s="217" t="str">
        <f t="shared" si="2"/>
        <v>Perbaikan</v>
      </c>
      <c r="K38" s="217" t="s">
        <v>646</v>
      </c>
      <c r="L38" s="14">
        <v>282</v>
      </c>
      <c r="Z38" s="111">
        <v>35</v>
      </c>
      <c r="AA38" s="111" t="s">
        <v>354</v>
      </c>
      <c r="AB38" s="111">
        <v>1843</v>
      </c>
      <c r="AC38" s="112">
        <v>31</v>
      </c>
      <c r="AD38" s="112">
        <f t="shared" si="5"/>
        <v>68.888888888888886</v>
      </c>
      <c r="AE38" s="112">
        <v>12.03</v>
      </c>
      <c r="AF38" s="112">
        <v>64.95</v>
      </c>
      <c r="AG38" s="111" t="s">
        <v>641</v>
      </c>
    </row>
    <row r="39" spans="2:34" ht="15.75" customHeight="1" x14ac:dyDescent="0.3">
      <c r="B39" s="114">
        <v>25.99</v>
      </c>
      <c r="C39" s="114">
        <f t="shared" si="0"/>
        <v>57.755555555555546</v>
      </c>
      <c r="D39" s="107">
        <f t="shared" si="1"/>
        <v>42.244444444444454</v>
      </c>
      <c r="E39" s="115">
        <v>57.33</v>
      </c>
      <c r="F39" s="218" t="s">
        <v>645</v>
      </c>
      <c r="G39" s="117">
        <v>1926</v>
      </c>
      <c r="H39" s="217" t="str">
        <f t="shared" si="2"/>
        <v>Perbaikan</v>
      </c>
      <c r="K39" s="217" t="s">
        <v>646</v>
      </c>
      <c r="L39" s="14">
        <v>726</v>
      </c>
      <c r="Z39" s="111">
        <v>36</v>
      </c>
      <c r="AA39" s="111" t="s">
        <v>356</v>
      </c>
      <c r="AB39" s="111">
        <v>1613</v>
      </c>
      <c r="AC39" s="112">
        <v>28.11</v>
      </c>
      <c r="AD39" s="112">
        <f t="shared" si="5"/>
        <v>62.466666666666669</v>
      </c>
      <c r="AE39" s="112">
        <v>11.89</v>
      </c>
      <c r="AF39" s="112">
        <v>54</v>
      </c>
      <c r="AG39" s="111" t="s">
        <v>641</v>
      </c>
      <c r="AH39" s="31"/>
    </row>
    <row r="40" spans="2:34" ht="15.75" customHeight="1" x14ac:dyDescent="0.3">
      <c r="B40" s="105">
        <v>38.83</v>
      </c>
      <c r="C40" s="114">
        <f t="shared" si="0"/>
        <v>86.288888888888877</v>
      </c>
      <c r="D40" s="107">
        <f t="shared" si="1"/>
        <v>13.711111111111123</v>
      </c>
      <c r="E40" s="115">
        <v>68.309999999999988</v>
      </c>
      <c r="F40" s="218" t="s">
        <v>647</v>
      </c>
      <c r="G40" s="117">
        <v>2946</v>
      </c>
      <c r="H40" s="217" t="str">
        <f t="shared" si="2"/>
        <v>Perawatan</v>
      </c>
      <c r="K40" s="217" t="s">
        <v>646</v>
      </c>
      <c r="L40" s="14">
        <v>63</v>
      </c>
      <c r="Z40" s="111">
        <v>37</v>
      </c>
      <c r="AA40" s="111" t="s">
        <v>358</v>
      </c>
      <c r="AB40" s="111">
        <v>1057</v>
      </c>
      <c r="AC40" s="112">
        <v>31.79</v>
      </c>
      <c r="AD40" s="112">
        <f t="shared" si="5"/>
        <v>70.644444444444446</v>
      </c>
      <c r="AE40" s="112">
        <v>13.64</v>
      </c>
      <c r="AF40" s="112">
        <v>72.59</v>
      </c>
      <c r="AG40" s="111" t="s">
        <v>641</v>
      </c>
    </row>
    <row r="41" spans="2:34" ht="15.75" customHeight="1" x14ac:dyDescent="0.3">
      <c r="B41" s="114">
        <v>22</v>
      </c>
      <c r="C41" s="114">
        <f t="shared" si="0"/>
        <v>48.888888888888886</v>
      </c>
      <c r="D41" s="107">
        <f t="shared" si="1"/>
        <v>51.111111111111114</v>
      </c>
      <c r="E41" s="107">
        <v>66.209999999999994</v>
      </c>
      <c r="F41" s="218" t="s">
        <v>645</v>
      </c>
      <c r="G41" s="14">
        <v>369</v>
      </c>
      <c r="H41" s="217" t="str">
        <f t="shared" si="2"/>
        <v>Perbaikan</v>
      </c>
      <c r="K41" s="217" t="s">
        <v>646</v>
      </c>
      <c r="L41" s="14">
        <v>70</v>
      </c>
      <c r="Z41" s="111">
        <v>38</v>
      </c>
      <c r="AA41" s="111" t="s">
        <v>360</v>
      </c>
      <c r="AB41" s="111">
        <v>1008</v>
      </c>
      <c r="AC41" s="112">
        <v>30.41</v>
      </c>
      <c r="AD41" s="112">
        <f t="shared" si="5"/>
        <v>67.577777777777783</v>
      </c>
      <c r="AE41" s="112">
        <v>12.27</v>
      </c>
      <c r="AF41" s="112">
        <v>63</v>
      </c>
      <c r="AG41" s="111" t="s">
        <v>641</v>
      </c>
    </row>
    <row r="42" spans="2:34" ht="15.75" customHeight="1" x14ac:dyDescent="0.3">
      <c r="B42" s="114">
        <v>13.45</v>
      </c>
      <c r="C42" s="114">
        <f t="shared" si="0"/>
        <v>29.888888888888886</v>
      </c>
      <c r="D42" s="107">
        <f t="shared" si="1"/>
        <v>70.111111111111114</v>
      </c>
      <c r="E42" s="107">
        <v>57.11</v>
      </c>
      <c r="F42" s="218" t="s">
        <v>645</v>
      </c>
      <c r="G42" s="14">
        <v>281</v>
      </c>
      <c r="H42" s="217" t="str">
        <f t="shared" si="2"/>
        <v>Perbaikan</v>
      </c>
      <c r="K42" s="217" t="s">
        <v>646</v>
      </c>
      <c r="L42" s="14">
        <v>53</v>
      </c>
      <c r="Z42" s="111">
        <v>39</v>
      </c>
      <c r="AA42" s="111" t="s">
        <v>361</v>
      </c>
      <c r="AB42" s="111">
        <v>1449</v>
      </c>
      <c r="AC42" s="112">
        <v>37.79</v>
      </c>
      <c r="AD42" s="112">
        <f t="shared" si="5"/>
        <v>83.977777777777774</v>
      </c>
      <c r="AE42" s="112">
        <v>13.5</v>
      </c>
      <c r="AF42" s="112">
        <v>76.89</v>
      </c>
      <c r="AG42" s="111" t="s">
        <v>644</v>
      </c>
    </row>
    <row r="43" spans="2:34" ht="15.75" customHeight="1" x14ac:dyDescent="0.3">
      <c r="B43" s="114">
        <v>23.79</v>
      </c>
      <c r="C43" s="114">
        <f t="shared" si="0"/>
        <v>52.86666666666666</v>
      </c>
      <c r="D43" s="107">
        <f t="shared" si="1"/>
        <v>47.13333333333334</v>
      </c>
      <c r="E43" s="107">
        <v>68.47</v>
      </c>
      <c r="F43" s="218" t="s">
        <v>645</v>
      </c>
      <c r="G43" s="14">
        <v>332</v>
      </c>
      <c r="H43" s="217" t="str">
        <f t="shared" si="2"/>
        <v>Perbaikan</v>
      </c>
      <c r="K43" s="217" t="s">
        <v>646</v>
      </c>
      <c r="L43" s="14">
        <v>193</v>
      </c>
      <c r="Z43" s="111">
        <v>40</v>
      </c>
      <c r="AA43" s="111" t="s">
        <v>323</v>
      </c>
      <c r="AB43" s="111">
        <v>1085</v>
      </c>
      <c r="AC43" s="112">
        <v>20.16</v>
      </c>
      <c r="AD43" s="112">
        <f t="shared" si="5"/>
        <v>44.800000000000004</v>
      </c>
      <c r="AE43" s="112">
        <v>5.41</v>
      </c>
      <c r="AF43" s="112">
        <v>39.17</v>
      </c>
      <c r="AG43" s="111" t="s">
        <v>640</v>
      </c>
    </row>
    <row r="44" spans="2:34" ht="15.75" customHeight="1" x14ac:dyDescent="0.3">
      <c r="B44" s="114">
        <v>28.53</v>
      </c>
      <c r="C44" s="114">
        <f t="shared" si="0"/>
        <v>63.4</v>
      </c>
      <c r="D44" s="107">
        <f t="shared" si="1"/>
        <v>36.6</v>
      </c>
      <c r="E44" s="107">
        <v>68.36999999999999</v>
      </c>
      <c r="F44" s="218" t="s">
        <v>638</v>
      </c>
      <c r="G44" s="14">
        <v>108</v>
      </c>
      <c r="H44" s="217" t="str">
        <f t="shared" si="2"/>
        <v>Perbaikan</v>
      </c>
      <c r="K44" s="217" t="s">
        <v>646</v>
      </c>
      <c r="L44" s="14">
        <v>455</v>
      </c>
      <c r="Z44" s="111">
        <v>41</v>
      </c>
      <c r="AA44" s="111" t="s">
        <v>364</v>
      </c>
      <c r="AB44" s="111">
        <v>1090</v>
      </c>
      <c r="AC44" s="112">
        <v>30.5</v>
      </c>
      <c r="AD44" s="112">
        <f t="shared" si="5"/>
        <v>67.777777777777786</v>
      </c>
      <c r="AE44" s="112">
        <v>12.88</v>
      </c>
      <c r="AF44" s="112">
        <v>62.8</v>
      </c>
      <c r="AG44" s="111" t="s">
        <v>641</v>
      </c>
    </row>
    <row r="45" spans="2:34" ht="15.75" customHeight="1" x14ac:dyDescent="0.3">
      <c r="B45" s="114">
        <v>24.05</v>
      </c>
      <c r="C45" s="114">
        <f t="shared" si="0"/>
        <v>53.44444444444445</v>
      </c>
      <c r="D45" s="107">
        <f t="shared" si="1"/>
        <v>46.55555555555555</v>
      </c>
      <c r="E45" s="107">
        <v>67.490000000000009</v>
      </c>
      <c r="F45" s="218" t="s">
        <v>645</v>
      </c>
      <c r="G45" s="14">
        <v>98</v>
      </c>
      <c r="H45" s="217" t="str">
        <f t="shared" si="2"/>
        <v>Perbaikan</v>
      </c>
      <c r="K45" s="217" t="s">
        <v>646</v>
      </c>
      <c r="L45" s="14">
        <v>16</v>
      </c>
      <c r="Z45" s="111">
        <v>42</v>
      </c>
      <c r="AA45" s="111" t="s">
        <v>366</v>
      </c>
      <c r="AB45" s="111">
        <v>1132</v>
      </c>
      <c r="AC45" s="112">
        <v>25.4</v>
      </c>
      <c r="AD45" s="112">
        <f t="shared" si="5"/>
        <v>56.444444444444443</v>
      </c>
      <c r="AE45" s="112">
        <v>5.8</v>
      </c>
      <c r="AF45" s="112">
        <v>45.2</v>
      </c>
      <c r="AG45" s="111" t="s">
        <v>640</v>
      </c>
    </row>
    <row r="46" spans="2:34" ht="15.75" customHeight="1" x14ac:dyDescent="0.3">
      <c r="B46" s="114">
        <v>20.81</v>
      </c>
      <c r="C46" s="114">
        <f t="shared" si="0"/>
        <v>46.24444444444444</v>
      </c>
      <c r="D46" s="107">
        <f t="shared" si="1"/>
        <v>53.75555555555556</v>
      </c>
      <c r="E46" s="107">
        <v>64.27</v>
      </c>
      <c r="F46" s="218" t="s">
        <v>645</v>
      </c>
      <c r="G46" s="14">
        <v>245</v>
      </c>
      <c r="H46" s="217" t="str">
        <f t="shared" si="2"/>
        <v>Perbaikan</v>
      </c>
      <c r="K46" s="217" t="s">
        <v>646</v>
      </c>
      <c r="L46" s="14">
        <v>46</v>
      </c>
      <c r="Z46" s="111">
        <v>43</v>
      </c>
      <c r="AA46" s="111" t="s">
        <v>368</v>
      </c>
      <c r="AB46" s="111">
        <v>1055</v>
      </c>
      <c r="AC46" s="112">
        <v>32.380000000000003</v>
      </c>
      <c r="AD46" s="112">
        <f t="shared" si="5"/>
        <v>71.955555555555563</v>
      </c>
      <c r="AE46" s="112">
        <v>14.96</v>
      </c>
      <c r="AF46" s="112">
        <v>69.180000000000007</v>
      </c>
      <c r="AG46" s="111" t="s">
        <v>641</v>
      </c>
    </row>
    <row r="47" spans="2:34" ht="15.75" customHeight="1" x14ac:dyDescent="0.3">
      <c r="B47" s="114">
        <v>13.38</v>
      </c>
      <c r="C47" s="114">
        <f t="shared" si="0"/>
        <v>29.733333333333334</v>
      </c>
      <c r="D47" s="107">
        <f t="shared" si="1"/>
        <v>70.266666666666666</v>
      </c>
      <c r="E47" s="107">
        <v>57.269999999999996</v>
      </c>
      <c r="F47" s="218" t="s">
        <v>645</v>
      </c>
      <c r="G47" s="14">
        <v>113</v>
      </c>
      <c r="H47" s="217" t="str">
        <f t="shared" si="2"/>
        <v>Perbaikan</v>
      </c>
      <c r="K47" s="217" t="s">
        <v>646</v>
      </c>
      <c r="L47" s="14">
        <v>119</v>
      </c>
      <c r="Z47" s="111">
        <v>44</v>
      </c>
      <c r="AA47" s="111" t="s">
        <v>371</v>
      </c>
      <c r="AB47" s="111">
        <v>1812</v>
      </c>
      <c r="AC47" s="112">
        <v>30.8</v>
      </c>
      <c r="AD47" s="112">
        <f t="shared" si="5"/>
        <v>68.444444444444443</v>
      </c>
      <c r="AE47" s="112">
        <v>14.34</v>
      </c>
      <c r="AF47" s="112">
        <v>75.22</v>
      </c>
      <c r="AG47" s="111" t="s">
        <v>641</v>
      </c>
    </row>
    <row r="48" spans="2:34" ht="15.75" customHeight="1" x14ac:dyDescent="0.3">
      <c r="B48" s="114">
        <v>23.57</v>
      </c>
      <c r="C48" s="114">
        <f t="shared" si="0"/>
        <v>52.37777777777778</v>
      </c>
      <c r="D48" s="107">
        <f t="shared" si="1"/>
        <v>47.62222222222222</v>
      </c>
      <c r="E48" s="107">
        <v>67.22</v>
      </c>
      <c r="F48" s="218" t="s">
        <v>645</v>
      </c>
      <c r="G48" s="14">
        <v>69</v>
      </c>
      <c r="H48" s="217" t="str">
        <f t="shared" si="2"/>
        <v>Perbaikan</v>
      </c>
      <c r="K48" s="217" t="s">
        <v>646</v>
      </c>
      <c r="L48" s="14">
        <v>165</v>
      </c>
      <c r="Z48" s="111">
        <v>45</v>
      </c>
      <c r="AA48" s="111" t="s">
        <v>374</v>
      </c>
      <c r="AB48" s="111">
        <v>1182</v>
      </c>
      <c r="AC48" s="112">
        <v>27.41</v>
      </c>
      <c r="AD48" s="112">
        <f t="shared" si="5"/>
        <v>60.911111111111119</v>
      </c>
      <c r="AE48" s="112">
        <v>13.17</v>
      </c>
      <c r="AF48" s="112">
        <v>71.41</v>
      </c>
      <c r="AG48" s="111" t="s">
        <v>641</v>
      </c>
    </row>
    <row r="49" spans="2:34" ht="15.75" customHeight="1" x14ac:dyDescent="0.3">
      <c r="B49" s="114">
        <v>24.48</v>
      </c>
      <c r="C49" s="114">
        <f t="shared" si="0"/>
        <v>54.400000000000006</v>
      </c>
      <c r="D49" s="107">
        <f t="shared" si="1"/>
        <v>45.599999999999994</v>
      </c>
      <c r="E49" s="107">
        <v>68.260000000000005</v>
      </c>
      <c r="F49" s="218" t="s">
        <v>645</v>
      </c>
      <c r="G49" s="14">
        <v>38</v>
      </c>
      <c r="H49" s="217" t="str">
        <f t="shared" si="2"/>
        <v>Perbaikan</v>
      </c>
      <c r="K49" s="217" t="s">
        <v>646</v>
      </c>
      <c r="L49" s="14">
        <v>69</v>
      </c>
      <c r="Z49" s="111">
        <v>46</v>
      </c>
      <c r="AA49" s="111" t="s">
        <v>377</v>
      </c>
      <c r="AB49" s="111">
        <v>1211</v>
      </c>
      <c r="AC49" s="112">
        <v>32.61</v>
      </c>
      <c r="AD49" s="112">
        <f t="shared" si="5"/>
        <v>72.466666666666669</v>
      </c>
      <c r="AE49" s="112">
        <v>15</v>
      </c>
      <c r="AF49" s="112">
        <v>73.259999999999991</v>
      </c>
      <c r="AG49" s="111" t="s">
        <v>641</v>
      </c>
    </row>
    <row r="50" spans="2:34" ht="15.75" customHeight="1" x14ac:dyDescent="0.3">
      <c r="B50" s="114">
        <v>32</v>
      </c>
      <c r="C50" s="114">
        <f t="shared" si="0"/>
        <v>71.111111111111114</v>
      </c>
      <c r="D50" s="107">
        <f t="shared" si="1"/>
        <v>28.888888888888886</v>
      </c>
      <c r="E50" s="107">
        <v>74.990000000000009</v>
      </c>
      <c r="F50" s="218" t="s">
        <v>638</v>
      </c>
      <c r="G50" s="14">
        <v>1637</v>
      </c>
      <c r="H50" s="217" t="str">
        <f t="shared" si="2"/>
        <v>Perawatan</v>
      </c>
      <c r="K50" s="217" t="s">
        <v>646</v>
      </c>
      <c r="L50" s="14">
        <v>51</v>
      </c>
      <c r="Z50" s="111">
        <v>47</v>
      </c>
      <c r="AA50" s="111" t="s">
        <v>380</v>
      </c>
      <c r="AB50" s="111">
        <v>1470</v>
      </c>
      <c r="AC50" s="112">
        <v>30</v>
      </c>
      <c r="AD50" s="112">
        <f t="shared" si="5"/>
        <v>66.666666666666657</v>
      </c>
      <c r="AE50" s="112">
        <v>11.24</v>
      </c>
      <c r="AF50" s="112">
        <v>60.899999999999991</v>
      </c>
      <c r="AG50" s="111" t="s">
        <v>641</v>
      </c>
    </row>
    <row r="51" spans="2:34" ht="15.75" customHeight="1" x14ac:dyDescent="0.3">
      <c r="B51" s="114">
        <v>29.28</v>
      </c>
      <c r="C51" s="114">
        <f t="shared" si="0"/>
        <v>65.066666666666677</v>
      </c>
      <c r="D51" s="107">
        <f t="shared" si="1"/>
        <v>34.933333333333323</v>
      </c>
      <c r="E51" s="115">
        <v>73.100000000000009</v>
      </c>
      <c r="F51" s="218" t="s">
        <v>638</v>
      </c>
      <c r="G51" s="117">
        <v>1086</v>
      </c>
      <c r="H51" s="217" t="str">
        <f t="shared" si="2"/>
        <v>Perawatan</v>
      </c>
      <c r="K51" s="217" t="s">
        <v>646</v>
      </c>
      <c r="L51" s="14">
        <v>82</v>
      </c>
      <c r="Z51" s="111">
        <v>48</v>
      </c>
      <c r="AA51" s="111" t="s">
        <v>381</v>
      </c>
      <c r="AB51" s="111">
        <v>1185</v>
      </c>
      <c r="AC51" s="112">
        <v>31.3</v>
      </c>
      <c r="AD51" s="112">
        <f t="shared" si="5"/>
        <v>69.555555555555557</v>
      </c>
      <c r="AE51" s="112">
        <v>11.77</v>
      </c>
      <c r="AF51" s="112">
        <v>69.969999999999985</v>
      </c>
      <c r="AG51" s="111" t="s">
        <v>641</v>
      </c>
    </row>
    <row r="52" spans="2:34" ht="15.75" customHeight="1" x14ac:dyDescent="0.3">
      <c r="B52" s="114">
        <v>23.37</v>
      </c>
      <c r="C52" s="114">
        <f t="shared" si="0"/>
        <v>51.93333333333333</v>
      </c>
      <c r="D52" s="107">
        <f t="shared" si="1"/>
        <v>48.06666666666667</v>
      </c>
      <c r="E52" s="107">
        <v>56.96</v>
      </c>
      <c r="F52" s="218" t="s">
        <v>645</v>
      </c>
      <c r="G52" s="14">
        <v>1211</v>
      </c>
      <c r="H52" s="217" t="str">
        <f t="shared" si="2"/>
        <v>Perbaikan</v>
      </c>
      <c r="K52" s="217" t="s">
        <v>646</v>
      </c>
      <c r="L52" s="14">
        <v>62</v>
      </c>
      <c r="Z52" s="111">
        <v>49</v>
      </c>
      <c r="AA52" s="111" t="s">
        <v>383</v>
      </c>
      <c r="AB52" s="111">
        <v>1058</v>
      </c>
      <c r="AC52" s="112">
        <v>27.41</v>
      </c>
      <c r="AD52" s="112">
        <f t="shared" si="5"/>
        <v>60.911111111111119</v>
      </c>
      <c r="AE52" s="112">
        <v>14.34</v>
      </c>
      <c r="AF52" s="112">
        <v>68.67</v>
      </c>
      <c r="AG52" s="111" t="s">
        <v>641</v>
      </c>
    </row>
    <row r="53" spans="2:34" ht="15.75" customHeight="1" x14ac:dyDescent="0.3">
      <c r="B53" s="114">
        <v>25.32</v>
      </c>
      <c r="C53" s="114">
        <f t="shared" si="0"/>
        <v>56.266666666666666</v>
      </c>
      <c r="D53" s="107">
        <f t="shared" si="1"/>
        <v>43.733333333333334</v>
      </c>
      <c r="E53" s="115">
        <v>56.22</v>
      </c>
      <c r="F53" s="218" t="s">
        <v>645</v>
      </c>
      <c r="G53" s="117">
        <v>1470</v>
      </c>
      <c r="H53" s="217" t="str">
        <f t="shared" si="2"/>
        <v>Perbaikan</v>
      </c>
      <c r="K53" s="217" t="s">
        <v>646</v>
      </c>
      <c r="L53" s="14">
        <v>56</v>
      </c>
      <c r="Z53" s="111">
        <v>50</v>
      </c>
      <c r="AA53" s="111" t="s">
        <v>385</v>
      </c>
      <c r="AB53" s="111">
        <v>2433</v>
      </c>
      <c r="AC53" s="112">
        <v>33.46</v>
      </c>
      <c r="AD53" s="112">
        <f t="shared" si="5"/>
        <v>74.355555555555554</v>
      </c>
      <c r="AE53" s="112">
        <v>12.33</v>
      </c>
      <c r="AF53" s="112">
        <v>67.47999999999999</v>
      </c>
      <c r="AG53" s="111" t="s">
        <v>641</v>
      </c>
    </row>
    <row r="54" spans="2:34" ht="15.75" customHeight="1" x14ac:dyDescent="0.3">
      <c r="B54" s="114">
        <v>30.8</v>
      </c>
      <c r="C54" s="114">
        <f t="shared" si="0"/>
        <v>68.444444444444443</v>
      </c>
      <c r="D54" s="107">
        <f t="shared" si="1"/>
        <v>31.555555555555557</v>
      </c>
      <c r="E54" s="107">
        <v>75.22</v>
      </c>
      <c r="F54" s="218" t="s">
        <v>638</v>
      </c>
      <c r="G54" s="14">
        <v>1812</v>
      </c>
      <c r="H54" s="217" t="str">
        <f t="shared" si="2"/>
        <v>Perawatan</v>
      </c>
      <c r="K54" s="217" t="s">
        <v>646</v>
      </c>
      <c r="L54" s="14">
        <v>38</v>
      </c>
      <c r="Z54" s="111">
        <v>51</v>
      </c>
      <c r="AA54" s="111" t="s">
        <v>384</v>
      </c>
      <c r="AB54" s="111">
        <v>1273</v>
      </c>
      <c r="AC54" s="112">
        <v>23.58</v>
      </c>
      <c r="AD54" s="112">
        <f t="shared" si="5"/>
        <v>52.399999999999991</v>
      </c>
      <c r="AE54" s="112">
        <v>7.75</v>
      </c>
      <c r="AF54" s="112">
        <v>59.5</v>
      </c>
      <c r="AG54" s="111" t="s">
        <v>643</v>
      </c>
      <c r="AH54" s="31"/>
    </row>
    <row r="55" spans="2:34" ht="15.75" customHeight="1" x14ac:dyDescent="0.3">
      <c r="B55" s="114">
        <v>27.41</v>
      </c>
      <c r="C55" s="114">
        <f t="shared" si="0"/>
        <v>60.911111111111119</v>
      </c>
      <c r="D55" s="107">
        <f t="shared" si="1"/>
        <v>39.088888888888881</v>
      </c>
      <c r="E55" s="107">
        <v>71.41</v>
      </c>
      <c r="F55" s="218" t="s">
        <v>638</v>
      </c>
      <c r="G55" s="14">
        <v>1182</v>
      </c>
      <c r="H55" s="217" t="str">
        <f t="shared" si="2"/>
        <v>Perawatan</v>
      </c>
      <c r="K55" s="217" t="s">
        <v>646</v>
      </c>
      <c r="L55" s="14">
        <v>45</v>
      </c>
      <c r="Z55" s="111">
        <v>52</v>
      </c>
      <c r="AA55" s="111" t="s">
        <v>375</v>
      </c>
      <c r="AB55" s="111">
        <v>1332</v>
      </c>
      <c r="AC55" s="112">
        <v>23.17</v>
      </c>
      <c r="AD55" s="112">
        <f t="shared" si="5"/>
        <v>51.488888888888894</v>
      </c>
      <c r="AE55" s="112">
        <v>11.2</v>
      </c>
      <c r="AF55" s="112">
        <v>64.110000000000014</v>
      </c>
      <c r="AG55" s="111" t="s">
        <v>643</v>
      </c>
      <c r="AH55" s="31"/>
    </row>
    <row r="56" spans="2:34" ht="15.75" customHeight="1" x14ac:dyDescent="0.3">
      <c r="B56" s="114">
        <v>25.55</v>
      </c>
      <c r="C56" s="114">
        <f t="shared" si="0"/>
        <v>56.777777777777786</v>
      </c>
      <c r="D56" s="107">
        <f t="shared" si="1"/>
        <v>43.222222222222214</v>
      </c>
      <c r="E56" s="107">
        <v>69.02000000000001</v>
      </c>
      <c r="F56" s="218" t="s">
        <v>645</v>
      </c>
      <c r="G56" s="14">
        <v>445</v>
      </c>
      <c r="H56" s="217" t="str">
        <f t="shared" si="2"/>
        <v>Perawatan</v>
      </c>
      <c r="K56" s="217" t="s">
        <v>646</v>
      </c>
      <c r="L56" s="14">
        <v>1378</v>
      </c>
      <c r="Z56" s="111">
        <v>53</v>
      </c>
      <c r="AA56" s="111" t="s">
        <v>389</v>
      </c>
      <c r="AB56" s="111">
        <v>1045</v>
      </c>
      <c r="AC56" s="112">
        <v>27.22</v>
      </c>
      <c r="AD56" s="112">
        <f t="shared" si="5"/>
        <v>60.48888888888888</v>
      </c>
      <c r="AE56" s="112">
        <v>13.31</v>
      </c>
      <c r="AF56" s="112">
        <v>66.320000000000007</v>
      </c>
      <c r="AG56" s="111" t="s">
        <v>641</v>
      </c>
    </row>
    <row r="57" spans="2:34" ht="15.75" customHeight="1" x14ac:dyDescent="0.3">
      <c r="B57" s="114">
        <v>21.06</v>
      </c>
      <c r="C57" s="114">
        <f t="shared" si="0"/>
        <v>46.8</v>
      </c>
      <c r="D57" s="107">
        <f t="shared" si="1"/>
        <v>53.2</v>
      </c>
      <c r="E57" s="107">
        <v>64.47</v>
      </c>
      <c r="F57" s="218" t="s">
        <v>645</v>
      </c>
      <c r="G57" s="14">
        <v>62</v>
      </c>
      <c r="H57" s="217" t="str">
        <f t="shared" si="2"/>
        <v>Perbaikan</v>
      </c>
      <c r="K57" s="217" t="s">
        <v>646</v>
      </c>
      <c r="L57" s="117">
        <v>1926</v>
      </c>
      <c r="Z57" s="111">
        <v>54</v>
      </c>
      <c r="AA57" s="111" t="s">
        <v>367</v>
      </c>
      <c r="AB57" s="111">
        <v>1921</v>
      </c>
      <c r="AC57" s="112">
        <v>22.88</v>
      </c>
      <c r="AD57" s="112">
        <f t="shared" si="5"/>
        <v>50.844444444444449</v>
      </c>
      <c r="AE57" s="112">
        <v>13.76</v>
      </c>
      <c r="AF57" s="112">
        <v>66.77000000000001</v>
      </c>
      <c r="AG57" s="111" t="s">
        <v>641</v>
      </c>
      <c r="AH57" s="31"/>
    </row>
    <row r="58" spans="2:34" ht="15.75" customHeight="1" x14ac:dyDescent="0.3">
      <c r="B58" s="114">
        <v>21.67</v>
      </c>
      <c r="C58" s="114">
        <f t="shared" si="0"/>
        <v>48.155555555555559</v>
      </c>
      <c r="D58" s="107">
        <f t="shared" si="1"/>
        <v>51.844444444444441</v>
      </c>
      <c r="E58" s="107">
        <v>63.960000000000008</v>
      </c>
      <c r="F58" s="218" t="s">
        <v>645</v>
      </c>
      <c r="G58" s="14">
        <v>288</v>
      </c>
      <c r="H58" s="217" t="str">
        <f t="shared" si="2"/>
        <v>Perbaikan</v>
      </c>
      <c r="K58" s="217" t="s">
        <v>646</v>
      </c>
      <c r="L58" s="14">
        <v>369</v>
      </c>
      <c r="Z58" s="111">
        <v>55</v>
      </c>
      <c r="AA58" s="111" t="s">
        <v>318</v>
      </c>
      <c r="AB58" s="111">
        <v>1593</v>
      </c>
      <c r="AC58" s="112">
        <v>19.649999999999999</v>
      </c>
      <c r="AD58" s="112">
        <f t="shared" si="5"/>
        <v>43.666666666666664</v>
      </c>
      <c r="AE58" s="112">
        <v>9.86</v>
      </c>
      <c r="AF58" s="112">
        <v>58.599999999999994</v>
      </c>
      <c r="AG58" s="111" t="s">
        <v>643</v>
      </c>
      <c r="AH58" s="31"/>
    </row>
    <row r="59" spans="2:34" ht="15.75" customHeight="1" x14ac:dyDescent="0.3">
      <c r="B59" s="114">
        <v>21.16</v>
      </c>
      <c r="C59" s="114">
        <f t="shared" si="0"/>
        <v>47.022222222222219</v>
      </c>
      <c r="D59" s="107">
        <f t="shared" si="1"/>
        <v>52.977777777777781</v>
      </c>
      <c r="E59" s="107">
        <v>64.61</v>
      </c>
      <c r="F59" s="218" t="s">
        <v>645</v>
      </c>
      <c r="G59" s="14">
        <v>69</v>
      </c>
      <c r="H59" s="217" t="str">
        <f t="shared" si="2"/>
        <v>Perbaikan</v>
      </c>
      <c r="K59" s="217" t="s">
        <v>646</v>
      </c>
      <c r="L59" s="14">
        <v>281</v>
      </c>
      <c r="Z59" s="111">
        <v>56</v>
      </c>
      <c r="AA59" s="111" t="s">
        <v>394</v>
      </c>
      <c r="AB59" s="111">
        <v>1246</v>
      </c>
      <c r="AC59" s="112">
        <v>31.44</v>
      </c>
      <c r="AD59" s="112">
        <f t="shared" si="5"/>
        <v>69.86666666666666</v>
      </c>
      <c r="AE59" s="112">
        <v>7.28</v>
      </c>
      <c r="AF59" s="112">
        <v>71.539999999999992</v>
      </c>
      <c r="AG59" s="111" t="s">
        <v>641</v>
      </c>
    </row>
    <row r="60" spans="2:34" ht="15.75" customHeight="1" x14ac:dyDescent="0.3">
      <c r="B60" s="114">
        <v>26.4</v>
      </c>
      <c r="C60" s="114">
        <f t="shared" si="0"/>
        <v>58.666666666666664</v>
      </c>
      <c r="D60" s="107">
        <f t="shared" si="1"/>
        <v>41.333333333333336</v>
      </c>
      <c r="E60" s="115">
        <v>66.949999999999989</v>
      </c>
      <c r="F60" s="218" t="s">
        <v>645</v>
      </c>
      <c r="G60" s="117">
        <v>661</v>
      </c>
      <c r="H60" s="217" t="str">
        <f t="shared" si="2"/>
        <v>Perbaikan</v>
      </c>
      <c r="K60" s="217" t="s">
        <v>646</v>
      </c>
      <c r="L60" s="14">
        <v>332</v>
      </c>
      <c r="Z60" s="111">
        <v>57</v>
      </c>
      <c r="AA60" s="111" t="s">
        <v>330</v>
      </c>
      <c r="AB60" s="111">
        <v>1341</v>
      </c>
      <c r="AC60" s="112">
        <v>20.32</v>
      </c>
      <c r="AD60" s="112">
        <f t="shared" si="5"/>
        <v>45.155555555555551</v>
      </c>
      <c r="AE60" s="112">
        <v>11.61</v>
      </c>
      <c r="AF60" s="112">
        <v>62.230000000000004</v>
      </c>
      <c r="AG60" s="111" t="s">
        <v>643</v>
      </c>
      <c r="AH60" s="31"/>
    </row>
    <row r="61" spans="2:34" ht="15.75" customHeight="1" x14ac:dyDescent="0.3">
      <c r="B61" s="114">
        <v>25.04</v>
      </c>
      <c r="C61" s="114">
        <f t="shared" si="0"/>
        <v>55.644444444444439</v>
      </c>
      <c r="D61" s="107">
        <f t="shared" si="1"/>
        <v>44.355555555555561</v>
      </c>
      <c r="E61" s="115">
        <v>55.87</v>
      </c>
      <c r="F61" s="218" t="s">
        <v>645</v>
      </c>
      <c r="G61" s="117">
        <v>515</v>
      </c>
      <c r="H61" s="217" t="str">
        <f t="shared" si="2"/>
        <v>Perbaikan</v>
      </c>
      <c r="K61" s="217" t="s">
        <v>646</v>
      </c>
      <c r="L61" s="14">
        <v>108</v>
      </c>
      <c r="Z61" s="111">
        <v>58</v>
      </c>
      <c r="AA61" s="111" t="s">
        <v>397</v>
      </c>
      <c r="AB61" s="111">
        <v>1884</v>
      </c>
      <c r="AC61" s="112">
        <v>27.13</v>
      </c>
      <c r="AD61" s="112">
        <f t="shared" si="5"/>
        <v>60.288888888888891</v>
      </c>
      <c r="AE61" s="112">
        <v>8.3699999999999992</v>
      </c>
      <c r="AF61" s="112">
        <v>67.98</v>
      </c>
      <c r="AG61" s="111" t="s">
        <v>641</v>
      </c>
    </row>
    <row r="62" spans="2:34" ht="15.75" customHeight="1" x14ac:dyDescent="0.3">
      <c r="B62" s="105">
        <v>29.97</v>
      </c>
      <c r="C62" s="114">
        <f t="shared" si="0"/>
        <v>66.599999999999994</v>
      </c>
      <c r="D62" s="107">
        <f t="shared" si="1"/>
        <v>33.400000000000006</v>
      </c>
      <c r="E62" s="115">
        <v>61.04</v>
      </c>
      <c r="F62" s="218" t="s">
        <v>638</v>
      </c>
      <c r="G62" s="117">
        <v>293</v>
      </c>
      <c r="H62" s="217" t="str">
        <f t="shared" si="2"/>
        <v>Perbaikan</v>
      </c>
      <c r="K62" s="217" t="s">
        <v>646</v>
      </c>
      <c r="L62" s="14">
        <v>98</v>
      </c>
      <c r="Z62" s="111">
        <v>59</v>
      </c>
      <c r="AA62" s="111" t="s">
        <v>400</v>
      </c>
      <c r="AB62" s="111">
        <v>1337</v>
      </c>
      <c r="AC62" s="112">
        <v>26.07</v>
      </c>
      <c r="AD62" s="112">
        <f t="shared" si="5"/>
        <v>57.933333333333337</v>
      </c>
      <c r="AE62" s="112">
        <v>7.49</v>
      </c>
      <c r="AF62" s="112">
        <v>63.24</v>
      </c>
      <c r="AG62" s="111" t="s">
        <v>643</v>
      </c>
      <c r="AH62" s="31"/>
    </row>
    <row r="63" spans="2:34" ht="15.75" customHeight="1" x14ac:dyDescent="0.3">
      <c r="B63" s="114">
        <v>24.68</v>
      </c>
      <c r="C63" s="114">
        <f t="shared" si="0"/>
        <v>54.844444444444441</v>
      </c>
      <c r="D63" s="107">
        <f t="shared" si="1"/>
        <v>45.155555555555559</v>
      </c>
      <c r="E63" s="115">
        <v>53.15</v>
      </c>
      <c r="F63" s="218" t="s">
        <v>645</v>
      </c>
      <c r="G63" s="117">
        <v>971</v>
      </c>
      <c r="H63" s="217" t="str">
        <f t="shared" si="2"/>
        <v>Rehab J.I</v>
      </c>
      <c r="K63" s="217" t="s">
        <v>646</v>
      </c>
      <c r="L63" s="14">
        <v>245</v>
      </c>
      <c r="Z63" s="111">
        <v>60</v>
      </c>
      <c r="AA63" s="111" t="s">
        <v>372</v>
      </c>
      <c r="AB63" s="111">
        <v>1733</v>
      </c>
      <c r="AC63" s="112">
        <v>23.01</v>
      </c>
      <c r="AD63" s="112">
        <f t="shared" si="5"/>
        <v>51.13333333333334</v>
      </c>
      <c r="AE63" s="112">
        <v>13.37</v>
      </c>
      <c r="AF63" s="112">
        <v>66.599999999999994</v>
      </c>
      <c r="AG63" s="111" t="s">
        <v>641</v>
      </c>
      <c r="AH63" s="31"/>
    </row>
    <row r="64" spans="2:34" ht="15.75" customHeight="1" x14ac:dyDescent="0.3">
      <c r="B64" s="114">
        <v>22.58</v>
      </c>
      <c r="C64" s="114">
        <f t="shared" si="0"/>
        <v>50.177777777777777</v>
      </c>
      <c r="D64" s="107">
        <f t="shared" si="1"/>
        <v>49.822222222222223</v>
      </c>
      <c r="E64" s="115">
        <v>54.65</v>
      </c>
      <c r="F64" s="218" t="s">
        <v>645</v>
      </c>
      <c r="G64" s="117">
        <v>1911</v>
      </c>
      <c r="H64" s="217" t="str">
        <f t="shared" si="2"/>
        <v>Rehab J.I</v>
      </c>
      <c r="K64" s="217" t="s">
        <v>646</v>
      </c>
      <c r="L64" s="14">
        <v>113</v>
      </c>
      <c r="Z64" s="111">
        <v>61</v>
      </c>
      <c r="AA64" s="111" t="s">
        <v>403</v>
      </c>
      <c r="AB64" s="111">
        <v>1347</v>
      </c>
      <c r="AC64" s="112">
        <v>26.61</v>
      </c>
      <c r="AD64" s="112">
        <f t="shared" si="5"/>
        <v>59.133333333333326</v>
      </c>
      <c r="AE64" s="112">
        <v>11.74</v>
      </c>
      <c r="AF64" s="112">
        <v>68.69</v>
      </c>
      <c r="AG64" s="111" t="s">
        <v>643</v>
      </c>
      <c r="AH64" s="31"/>
    </row>
    <row r="65" spans="2:34" ht="15.75" customHeight="1" x14ac:dyDescent="0.3">
      <c r="B65" s="114">
        <v>17.739999999999998</v>
      </c>
      <c r="C65" s="114">
        <f t="shared" si="0"/>
        <v>39.422222222222217</v>
      </c>
      <c r="D65" s="107">
        <f t="shared" si="1"/>
        <v>60.577777777777783</v>
      </c>
      <c r="E65" s="107">
        <v>52.179999999999993</v>
      </c>
      <c r="F65" s="218" t="s">
        <v>645</v>
      </c>
      <c r="G65" s="30">
        <v>1055</v>
      </c>
      <c r="H65" s="217" t="str">
        <f t="shared" si="2"/>
        <v>Rehab J.I</v>
      </c>
      <c r="K65" s="217" t="s">
        <v>646</v>
      </c>
      <c r="L65" s="14">
        <v>69</v>
      </c>
      <c r="Z65" s="111">
        <v>62</v>
      </c>
      <c r="AA65" s="111" t="s">
        <v>405</v>
      </c>
      <c r="AB65" s="111">
        <v>1144</v>
      </c>
      <c r="AC65" s="112">
        <v>25.16</v>
      </c>
      <c r="AD65" s="112">
        <f t="shared" si="5"/>
        <v>55.911111111111111</v>
      </c>
      <c r="AE65" s="112">
        <v>13.3</v>
      </c>
      <c r="AF65" s="112">
        <v>58.97</v>
      </c>
      <c r="AG65" s="111" t="s">
        <v>641</v>
      </c>
      <c r="AH65" s="31"/>
    </row>
    <row r="66" spans="2:34" ht="15.75" customHeight="1" x14ac:dyDescent="0.3">
      <c r="B66" s="114">
        <v>20.46</v>
      </c>
      <c r="C66" s="114">
        <f t="shared" si="0"/>
        <v>45.466666666666669</v>
      </c>
      <c r="D66" s="107">
        <f t="shared" si="1"/>
        <v>54.533333333333331</v>
      </c>
      <c r="E66" s="107">
        <v>57.160000000000004</v>
      </c>
      <c r="F66" s="218" t="s">
        <v>645</v>
      </c>
      <c r="G66" s="14">
        <v>2143</v>
      </c>
      <c r="H66" s="217" t="str">
        <f t="shared" si="2"/>
        <v>Perbaikan</v>
      </c>
      <c r="K66" s="217" t="s">
        <v>646</v>
      </c>
      <c r="L66" s="14">
        <v>38</v>
      </c>
      <c r="Z66" s="111">
        <v>63</v>
      </c>
      <c r="AA66" s="111" t="s">
        <v>406</v>
      </c>
      <c r="AB66" s="111">
        <v>2522</v>
      </c>
      <c r="AC66" s="112">
        <v>34.270000000000003</v>
      </c>
      <c r="AD66" s="112">
        <f t="shared" si="5"/>
        <v>76.155555555555566</v>
      </c>
      <c r="AE66" s="112">
        <v>12.25</v>
      </c>
      <c r="AF66" s="112">
        <v>68.03</v>
      </c>
      <c r="AG66" s="111" t="s">
        <v>641</v>
      </c>
    </row>
    <row r="67" spans="2:34" ht="15.75" customHeight="1" x14ac:dyDescent="0.3">
      <c r="B67" s="114">
        <v>23.24</v>
      </c>
      <c r="C67" s="114">
        <f t="shared" si="0"/>
        <v>51.644444444444439</v>
      </c>
      <c r="D67" s="107">
        <f t="shared" si="1"/>
        <v>48.355555555555561</v>
      </c>
      <c r="E67" s="115">
        <v>66.58</v>
      </c>
      <c r="F67" s="218" t="s">
        <v>645</v>
      </c>
      <c r="G67" s="117">
        <v>2721</v>
      </c>
      <c r="H67" s="217" t="str">
        <f t="shared" si="2"/>
        <v>Perbaikan</v>
      </c>
      <c r="K67" s="217" t="s">
        <v>646</v>
      </c>
      <c r="L67" s="14">
        <v>1211</v>
      </c>
      <c r="Z67" s="111">
        <v>64</v>
      </c>
      <c r="AA67" s="111" t="s">
        <v>409</v>
      </c>
      <c r="AB67" s="111">
        <v>1229</v>
      </c>
      <c r="AC67" s="112">
        <v>32.15</v>
      </c>
      <c r="AD67" s="112">
        <f t="shared" si="5"/>
        <v>71.444444444444443</v>
      </c>
      <c r="AE67" s="112">
        <v>8.98</v>
      </c>
      <c r="AF67" s="112">
        <v>68.900000000000006</v>
      </c>
      <c r="AG67" s="111" t="s">
        <v>641</v>
      </c>
    </row>
    <row r="68" spans="2:34" ht="15.75" customHeight="1" x14ac:dyDescent="0.3">
      <c r="B68" s="114">
        <v>23.24</v>
      </c>
      <c r="C68" s="114">
        <f t="shared" si="0"/>
        <v>51.644444444444439</v>
      </c>
      <c r="D68" s="107">
        <f t="shared" si="1"/>
        <v>48.355555555555561</v>
      </c>
      <c r="E68" s="107">
        <v>64.91</v>
      </c>
      <c r="F68" s="218" t="s">
        <v>645</v>
      </c>
      <c r="G68" s="14">
        <v>1146</v>
      </c>
      <c r="H68" s="217" t="str">
        <f t="shared" si="2"/>
        <v>Perbaikan</v>
      </c>
      <c r="K68" s="217" t="s">
        <v>646</v>
      </c>
      <c r="L68" s="117">
        <v>1470</v>
      </c>
      <c r="Z68" s="111">
        <v>65</v>
      </c>
      <c r="AA68" s="111" t="s">
        <v>306</v>
      </c>
      <c r="AB68" s="111">
        <v>1475</v>
      </c>
      <c r="AC68" s="112">
        <v>16.59</v>
      </c>
      <c r="AD68" s="112">
        <f t="shared" si="5"/>
        <v>36.866666666666667</v>
      </c>
      <c r="AE68" s="112">
        <v>10.16</v>
      </c>
      <c r="AF68" s="112">
        <v>48.47</v>
      </c>
      <c r="AG68" s="111" t="s">
        <v>640</v>
      </c>
    </row>
    <row r="69" spans="2:34" ht="15.75" customHeight="1" x14ac:dyDescent="0.3">
      <c r="B69" s="114">
        <v>21.75</v>
      </c>
      <c r="C69" s="114">
        <f t="shared" si="0"/>
        <v>48.333333333333336</v>
      </c>
      <c r="D69" s="107">
        <f t="shared" si="1"/>
        <v>51.666666666666664</v>
      </c>
      <c r="E69" s="107">
        <v>63.36999999999999</v>
      </c>
      <c r="F69" s="218" t="s">
        <v>645</v>
      </c>
      <c r="G69" s="14">
        <v>1144</v>
      </c>
      <c r="H69" s="217" t="str">
        <f t="shared" si="2"/>
        <v>Perbaikan</v>
      </c>
      <c r="K69" s="217" t="s">
        <v>646</v>
      </c>
      <c r="L69" s="14">
        <v>62</v>
      </c>
      <c r="Z69" s="111">
        <v>66</v>
      </c>
      <c r="AA69" s="111" t="s">
        <v>412</v>
      </c>
      <c r="AB69" s="111">
        <v>1292</v>
      </c>
      <c r="AC69" s="112">
        <v>27.83</v>
      </c>
      <c r="AD69" s="112">
        <f t="shared" si="5"/>
        <v>61.844444444444434</v>
      </c>
      <c r="AE69" s="112">
        <v>13.87</v>
      </c>
      <c r="AF69" s="112">
        <v>71.219999999999985</v>
      </c>
      <c r="AG69" s="111" t="s">
        <v>641</v>
      </c>
    </row>
    <row r="70" spans="2:34" ht="15.75" customHeight="1" x14ac:dyDescent="0.3">
      <c r="B70" s="114">
        <v>26.6</v>
      </c>
      <c r="C70" s="114">
        <f t="shared" si="0"/>
        <v>59.111111111111114</v>
      </c>
      <c r="D70" s="107">
        <f t="shared" si="1"/>
        <v>40.888888888888886</v>
      </c>
      <c r="E70" s="107">
        <v>68.680000000000007</v>
      </c>
      <c r="F70" s="218" t="s">
        <v>645</v>
      </c>
      <c r="G70" s="14">
        <v>1347</v>
      </c>
      <c r="H70" s="217" t="str">
        <f t="shared" si="2"/>
        <v>Perbaikan</v>
      </c>
      <c r="K70" s="217" t="s">
        <v>646</v>
      </c>
      <c r="L70" s="14">
        <v>288</v>
      </c>
      <c r="Z70" s="111">
        <v>67</v>
      </c>
      <c r="AA70" s="111" t="s">
        <v>414</v>
      </c>
      <c r="AB70" s="111">
        <v>1274</v>
      </c>
      <c r="AC70" s="112">
        <v>30.14</v>
      </c>
      <c r="AD70" s="112">
        <f t="shared" si="5"/>
        <v>66.977777777777774</v>
      </c>
      <c r="AE70" s="112">
        <v>10.42</v>
      </c>
      <c r="AF70" s="112">
        <v>68.790000000000006</v>
      </c>
      <c r="AG70" s="111" t="s">
        <v>641</v>
      </c>
    </row>
    <row r="71" spans="2:34" ht="15.75" customHeight="1" x14ac:dyDescent="0.3">
      <c r="B71" s="114">
        <v>22.83</v>
      </c>
      <c r="C71" s="114">
        <f t="shared" si="0"/>
        <v>50.733333333333327</v>
      </c>
      <c r="D71" s="107">
        <f t="shared" si="1"/>
        <v>49.266666666666673</v>
      </c>
      <c r="E71" s="107">
        <v>66.419999999999987</v>
      </c>
      <c r="F71" s="218" t="s">
        <v>645</v>
      </c>
      <c r="G71" s="14">
        <v>1733</v>
      </c>
      <c r="H71" s="217" t="str">
        <f t="shared" si="2"/>
        <v>Perbaikan</v>
      </c>
      <c r="K71" s="217" t="s">
        <v>646</v>
      </c>
      <c r="L71" s="14">
        <v>69</v>
      </c>
      <c r="Z71" s="111">
        <v>68</v>
      </c>
      <c r="AA71" s="111" t="s">
        <v>298</v>
      </c>
      <c r="AB71" s="111">
        <v>1779</v>
      </c>
      <c r="AC71" s="112">
        <v>14.54</v>
      </c>
      <c r="AD71" s="112">
        <f t="shared" si="5"/>
        <v>32.31111111111111</v>
      </c>
      <c r="AE71" s="112">
        <v>9.64</v>
      </c>
      <c r="AF71" s="112">
        <v>53.22</v>
      </c>
      <c r="AG71" s="111" t="s">
        <v>640</v>
      </c>
    </row>
    <row r="72" spans="2:34" ht="15.75" customHeight="1" x14ac:dyDescent="0.3">
      <c r="B72" s="114">
        <v>24.5</v>
      </c>
      <c r="C72" s="114">
        <f t="shared" si="0"/>
        <v>54.444444444444443</v>
      </c>
      <c r="D72" s="107">
        <f t="shared" si="1"/>
        <v>45.555555555555557</v>
      </c>
      <c r="E72" s="115">
        <v>61.250000000000007</v>
      </c>
      <c r="F72" s="218" t="s">
        <v>645</v>
      </c>
      <c r="G72" s="117">
        <v>1229</v>
      </c>
      <c r="H72" s="217" t="str">
        <f t="shared" si="2"/>
        <v>Perbaikan</v>
      </c>
      <c r="K72" s="217" t="s">
        <v>646</v>
      </c>
      <c r="L72" s="117">
        <v>661</v>
      </c>
      <c r="Z72" s="111">
        <v>69</v>
      </c>
      <c r="AA72" s="111" t="s">
        <v>417</v>
      </c>
      <c r="AB72" s="111">
        <v>1661</v>
      </c>
      <c r="AC72" s="112">
        <v>31.54</v>
      </c>
      <c r="AD72" s="112">
        <f t="shared" si="5"/>
        <v>70.088888888888889</v>
      </c>
      <c r="AE72" s="112">
        <v>10</v>
      </c>
      <c r="AF72" s="112">
        <v>68.94</v>
      </c>
      <c r="AG72" s="111" t="s">
        <v>641</v>
      </c>
    </row>
    <row r="73" spans="2:34" ht="15.75" customHeight="1" x14ac:dyDescent="0.3">
      <c r="B73" s="114">
        <v>27.87</v>
      </c>
      <c r="C73" s="114">
        <f t="shared" si="0"/>
        <v>61.933333333333337</v>
      </c>
      <c r="D73" s="107">
        <f t="shared" si="1"/>
        <v>38.066666666666663</v>
      </c>
      <c r="E73" s="107">
        <v>64.040000000000006</v>
      </c>
      <c r="F73" s="218" t="s">
        <v>638</v>
      </c>
      <c r="G73" s="14">
        <v>1292</v>
      </c>
      <c r="H73" s="217" t="str">
        <f t="shared" si="2"/>
        <v>Perbaikan</v>
      </c>
      <c r="K73" s="217" t="s">
        <v>646</v>
      </c>
      <c r="L73" s="117">
        <v>515</v>
      </c>
      <c r="Z73" s="111">
        <v>70</v>
      </c>
      <c r="AA73" s="111" t="s">
        <v>335</v>
      </c>
      <c r="AB73" s="111">
        <v>1044</v>
      </c>
      <c r="AC73" s="112">
        <v>20.72</v>
      </c>
      <c r="AD73" s="112">
        <f t="shared" si="5"/>
        <v>46.044444444444444</v>
      </c>
      <c r="AE73" s="112">
        <v>10.77</v>
      </c>
      <c r="AF73" s="112">
        <v>63.949999999999996</v>
      </c>
      <c r="AG73" s="111" t="s">
        <v>643</v>
      </c>
      <c r="AH73" s="31"/>
    </row>
    <row r="74" spans="2:34" ht="15.75" customHeight="1" x14ac:dyDescent="0.3">
      <c r="B74" s="114">
        <v>11.3</v>
      </c>
      <c r="C74" s="114">
        <f t="shared" si="0"/>
        <v>25.111111111111111</v>
      </c>
      <c r="D74" s="107">
        <f t="shared" si="1"/>
        <v>74.888888888888886</v>
      </c>
      <c r="E74" s="107">
        <v>54.63</v>
      </c>
      <c r="F74" s="218" t="s">
        <v>645</v>
      </c>
      <c r="G74" s="14">
        <v>1475</v>
      </c>
      <c r="H74" s="217" t="str">
        <f t="shared" si="2"/>
        <v>Rehab J.I</v>
      </c>
      <c r="K74" s="217" t="s">
        <v>646</v>
      </c>
      <c r="L74" s="117">
        <v>293</v>
      </c>
      <c r="Z74" s="111">
        <v>71</v>
      </c>
      <c r="AA74" s="111" t="s">
        <v>418</v>
      </c>
      <c r="AB74" s="111">
        <v>1185</v>
      </c>
      <c r="AC74" s="112">
        <v>26</v>
      </c>
      <c r="AD74" s="112">
        <f t="shared" si="5"/>
        <v>57.777777777777771</v>
      </c>
      <c r="AE74" s="112">
        <v>8</v>
      </c>
      <c r="AF74" s="112">
        <v>57</v>
      </c>
      <c r="AG74" s="111" t="s">
        <v>643</v>
      </c>
      <c r="AH74" s="31"/>
    </row>
    <row r="75" spans="2:34" ht="15.75" customHeight="1" x14ac:dyDescent="0.3">
      <c r="B75" s="105">
        <v>37.57</v>
      </c>
      <c r="C75" s="114">
        <f t="shared" si="0"/>
        <v>83.488888888888894</v>
      </c>
      <c r="D75" s="107">
        <f t="shared" si="1"/>
        <v>16.511111111111106</v>
      </c>
      <c r="E75" s="115">
        <v>81.5</v>
      </c>
      <c r="F75" s="218" t="s">
        <v>647</v>
      </c>
      <c r="G75" s="117">
        <v>2522</v>
      </c>
      <c r="H75" s="217" t="str">
        <f t="shared" si="2"/>
        <v>Perawatan</v>
      </c>
      <c r="K75" s="217" t="s">
        <v>646</v>
      </c>
      <c r="L75" s="14">
        <v>2143</v>
      </c>
      <c r="Z75" s="111">
        <v>72</v>
      </c>
      <c r="AA75" s="111" t="s">
        <v>286</v>
      </c>
      <c r="AB75" s="111">
        <v>1120</v>
      </c>
      <c r="AC75" s="112">
        <v>12.44</v>
      </c>
      <c r="AD75" s="112">
        <f t="shared" si="5"/>
        <v>27.644444444444442</v>
      </c>
      <c r="AE75" s="112">
        <v>14.29</v>
      </c>
      <c r="AF75" s="112">
        <v>47.989999999999995</v>
      </c>
      <c r="AG75" s="111" t="s">
        <v>643</v>
      </c>
    </row>
    <row r="76" spans="2:34" ht="15.75" customHeight="1" x14ac:dyDescent="0.3">
      <c r="B76" s="114">
        <v>20.72</v>
      </c>
      <c r="C76" s="114">
        <f t="shared" si="0"/>
        <v>46.044444444444444</v>
      </c>
      <c r="D76" s="107">
        <f t="shared" si="1"/>
        <v>53.955555555555556</v>
      </c>
      <c r="E76" s="107">
        <v>63.949999999999996</v>
      </c>
      <c r="F76" s="218" t="s">
        <v>645</v>
      </c>
      <c r="G76" s="14">
        <v>1044</v>
      </c>
      <c r="H76" s="217" t="str">
        <f t="shared" si="2"/>
        <v>Perbaikan</v>
      </c>
      <c r="K76" s="217" t="s">
        <v>646</v>
      </c>
      <c r="L76" s="117">
        <v>2721</v>
      </c>
      <c r="Z76" s="111">
        <v>73</v>
      </c>
      <c r="AA76" s="111" t="s">
        <v>283</v>
      </c>
      <c r="AB76" s="111">
        <v>1476</v>
      </c>
      <c r="AC76" s="112">
        <v>12.06</v>
      </c>
      <c r="AD76" s="112">
        <f t="shared" si="5"/>
        <v>26.8</v>
      </c>
      <c r="AE76" s="112">
        <v>12.97</v>
      </c>
      <c r="AF76" s="112">
        <v>49.22</v>
      </c>
      <c r="AG76" s="111" t="s">
        <v>640</v>
      </c>
    </row>
    <row r="77" spans="2:34" ht="15.75" customHeight="1" x14ac:dyDescent="0.3">
      <c r="B77" s="114">
        <v>12.44</v>
      </c>
      <c r="C77" s="114">
        <f t="shared" si="0"/>
        <v>27.644444444444442</v>
      </c>
      <c r="D77" s="107">
        <f t="shared" si="1"/>
        <v>72.355555555555554</v>
      </c>
      <c r="E77" s="113">
        <v>47.994</v>
      </c>
      <c r="F77" s="218" t="s">
        <v>645</v>
      </c>
      <c r="G77" s="30">
        <v>1120</v>
      </c>
      <c r="H77" s="217" t="str">
        <f t="shared" si="2"/>
        <v>Rehab J.I</v>
      </c>
      <c r="K77" s="217" t="s">
        <v>646</v>
      </c>
      <c r="L77" s="14">
        <v>1146</v>
      </c>
      <c r="Z77" s="111">
        <v>74</v>
      </c>
      <c r="AA77" s="111" t="s">
        <v>288</v>
      </c>
      <c r="AB77" s="111">
        <v>1054</v>
      </c>
      <c r="AC77" s="112">
        <v>13.04</v>
      </c>
      <c r="AD77" s="112">
        <f t="shared" si="5"/>
        <v>28.977777777777774</v>
      </c>
      <c r="AE77" s="112">
        <v>6.9</v>
      </c>
      <c r="AF77" s="112">
        <v>44.400000000000006</v>
      </c>
      <c r="AG77" s="111" t="s">
        <v>640</v>
      </c>
    </row>
    <row r="78" spans="2:34" ht="15.75" customHeight="1" x14ac:dyDescent="0.3">
      <c r="B78" s="114">
        <v>19.809999999999999</v>
      </c>
      <c r="C78" s="114">
        <f t="shared" si="0"/>
        <v>44.022222222222219</v>
      </c>
      <c r="D78" s="107">
        <f t="shared" si="1"/>
        <v>55.977777777777781</v>
      </c>
      <c r="E78" s="107">
        <v>57.16</v>
      </c>
      <c r="F78" s="218" t="s">
        <v>645</v>
      </c>
      <c r="G78" s="14">
        <v>1274</v>
      </c>
      <c r="H78" s="217" t="str">
        <f t="shared" si="2"/>
        <v>Perbaikan</v>
      </c>
      <c r="K78" s="217" t="s">
        <v>646</v>
      </c>
      <c r="L78" s="14">
        <v>1144</v>
      </c>
      <c r="Z78" s="111">
        <v>75</v>
      </c>
      <c r="AA78" s="111" t="s">
        <v>316</v>
      </c>
      <c r="AB78" s="111">
        <v>1430</v>
      </c>
      <c r="AC78" s="112">
        <v>19.53</v>
      </c>
      <c r="AD78" s="112">
        <f t="shared" si="5"/>
        <v>43.400000000000006</v>
      </c>
      <c r="AE78" s="112">
        <v>13.74</v>
      </c>
      <c r="AF78" s="112">
        <v>58.750000000000007</v>
      </c>
      <c r="AG78" s="111" t="s">
        <v>641</v>
      </c>
      <c r="AH78" s="31"/>
    </row>
    <row r="79" spans="2:34" ht="15.75" customHeight="1" x14ac:dyDescent="0.3">
      <c r="B79" s="114">
        <v>19.23</v>
      </c>
      <c r="C79" s="114">
        <f t="shared" si="0"/>
        <v>42.733333333333334</v>
      </c>
      <c r="D79" s="107">
        <f t="shared" si="1"/>
        <v>57.266666666666666</v>
      </c>
      <c r="E79" s="107">
        <v>57.07</v>
      </c>
      <c r="F79" s="218" t="s">
        <v>645</v>
      </c>
      <c r="G79" s="14">
        <v>1661</v>
      </c>
      <c r="H79" s="217" t="str">
        <f t="shared" si="2"/>
        <v>Perbaikan</v>
      </c>
      <c r="K79" s="217" t="s">
        <v>646</v>
      </c>
      <c r="L79" s="14">
        <v>1347</v>
      </c>
      <c r="Z79" s="111">
        <v>76</v>
      </c>
      <c r="AA79" s="111" t="s">
        <v>424</v>
      </c>
      <c r="AB79" s="111">
        <v>1085</v>
      </c>
      <c r="AC79" s="112">
        <v>27.18</v>
      </c>
      <c r="AD79" s="112">
        <f t="shared" si="5"/>
        <v>60.4</v>
      </c>
      <c r="AE79" s="112">
        <v>13.95</v>
      </c>
      <c r="AF79" s="112">
        <v>60.389999999999993</v>
      </c>
      <c r="AG79" s="111" t="s">
        <v>641</v>
      </c>
    </row>
    <row r="80" spans="2:34" ht="15.75" customHeight="1" x14ac:dyDescent="0.3">
      <c r="B80" s="114">
        <v>14.54</v>
      </c>
      <c r="C80" s="114">
        <f t="shared" si="0"/>
        <v>32.31111111111111</v>
      </c>
      <c r="D80" s="107">
        <f t="shared" si="1"/>
        <v>67.688888888888897</v>
      </c>
      <c r="E80" s="107">
        <v>53.22</v>
      </c>
      <c r="F80" s="218" t="s">
        <v>645</v>
      </c>
      <c r="G80" s="14">
        <v>1779</v>
      </c>
      <c r="H80" s="217" t="str">
        <f t="shared" si="2"/>
        <v>Rehab J.I</v>
      </c>
      <c r="K80" s="217" t="s">
        <v>646</v>
      </c>
      <c r="L80" s="14">
        <v>1733</v>
      </c>
      <c r="Z80" s="111">
        <v>77</v>
      </c>
      <c r="AA80" s="111" t="s">
        <v>426</v>
      </c>
      <c r="AB80" s="111">
        <v>1807</v>
      </c>
      <c r="AC80" s="112">
        <v>39.49</v>
      </c>
      <c r="AD80" s="112">
        <f t="shared" si="5"/>
        <v>87.75555555555556</v>
      </c>
      <c r="AE80" s="112">
        <v>12.64</v>
      </c>
      <c r="AF80" s="112">
        <v>69.710000000000008</v>
      </c>
      <c r="AG80" s="111" t="s">
        <v>644</v>
      </c>
    </row>
    <row r="81" spans="2:34" ht="15.75" customHeight="1" x14ac:dyDescent="0.3">
      <c r="B81" s="114">
        <v>27.63</v>
      </c>
      <c r="C81" s="114">
        <f t="shared" si="0"/>
        <v>61.4</v>
      </c>
      <c r="D81" s="107">
        <f t="shared" si="1"/>
        <v>38.6</v>
      </c>
      <c r="E81" s="107">
        <v>51.629999999999995</v>
      </c>
      <c r="F81" s="218" t="s">
        <v>638</v>
      </c>
      <c r="G81" s="13">
        <v>1232</v>
      </c>
      <c r="H81" s="217" t="str">
        <f t="shared" si="2"/>
        <v>Perbaikan</v>
      </c>
      <c r="K81" s="217" t="s">
        <v>646</v>
      </c>
      <c r="L81" s="117">
        <v>1229</v>
      </c>
      <c r="Z81" s="111">
        <v>78</v>
      </c>
      <c r="AA81" s="111" t="s">
        <v>428</v>
      </c>
      <c r="AB81" s="111">
        <v>1799</v>
      </c>
      <c r="AC81" s="112">
        <v>32</v>
      </c>
      <c r="AD81" s="112">
        <f t="shared" si="5"/>
        <v>71.111111111111114</v>
      </c>
      <c r="AE81" s="112">
        <v>13.02</v>
      </c>
      <c r="AF81" s="112">
        <v>68.289999999999992</v>
      </c>
      <c r="AG81" s="111" t="s">
        <v>641</v>
      </c>
    </row>
    <row r="82" spans="2:34" ht="15.75" customHeight="1" x14ac:dyDescent="0.3">
      <c r="B82" s="114">
        <v>20.7</v>
      </c>
      <c r="C82" s="114">
        <f t="shared" si="0"/>
        <v>46</v>
      </c>
      <c r="D82" s="107">
        <f t="shared" si="1"/>
        <v>54</v>
      </c>
      <c r="E82" s="107">
        <v>56.28</v>
      </c>
      <c r="F82" s="218" t="s">
        <v>645</v>
      </c>
      <c r="G82" s="13">
        <v>1155</v>
      </c>
      <c r="H82" s="217" t="str">
        <f t="shared" si="2"/>
        <v>Perbaikan</v>
      </c>
      <c r="K82" s="217" t="s">
        <v>646</v>
      </c>
      <c r="L82" s="14">
        <v>1292</v>
      </c>
      <c r="Z82" s="111">
        <v>79</v>
      </c>
      <c r="AA82" s="111" t="s">
        <v>430</v>
      </c>
      <c r="AB82" s="111">
        <v>2462</v>
      </c>
      <c r="AC82" s="112">
        <v>33.450000000000003</v>
      </c>
      <c r="AD82" s="112">
        <f t="shared" si="5"/>
        <v>74.333333333333343</v>
      </c>
      <c r="AE82" s="112">
        <v>11.15</v>
      </c>
      <c r="AF82" s="112">
        <v>72.8</v>
      </c>
      <c r="AG82" s="111" t="s">
        <v>641</v>
      </c>
    </row>
    <row r="83" spans="2:34" ht="15.75" customHeight="1" x14ac:dyDescent="0.3">
      <c r="B83" s="114">
        <v>19.88</v>
      </c>
      <c r="C83" s="114">
        <f t="shared" si="0"/>
        <v>44.177777777777777</v>
      </c>
      <c r="D83" s="107">
        <f t="shared" si="1"/>
        <v>55.822222222222223</v>
      </c>
      <c r="E83" s="107">
        <v>61.069999999999993</v>
      </c>
      <c r="F83" s="218" t="s">
        <v>645</v>
      </c>
      <c r="G83" s="13">
        <v>422</v>
      </c>
      <c r="H83" s="217" t="str">
        <f t="shared" si="2"/>
        <v>Perbaikan</v>
      </c>
      <c r="K83" s="217" t="s">
        <v>646</v>
      </c>
      <c r="L83" s="14">
        <v>1044</v>
      </c>
      <c r="Z83" s="111">
        <v>80</v>
      </c>
      <c r="AA83" s="111" t="s">
        <v>432</v>
      </c>
      <c r="AB83" s="111">
        <v>1424</v>
      </c>
      <c r="AC83" s="112">
        <v>35.369999999999997</v>
      </c>
      <c r="AD83" s="112">
        <f t="shared" si="5"/>
        <v>78.599999999999994</v>
      </c>
      <c r="AE83" s="112">
        <v>12.62</v>
      </c>
      <c r="AF83" s="112">
        <v>69.38</v>
      </c>
      <c r="AG83" s="111" t="s">
        <v>641</v>
      </c>
    </row>
    <row r="84" spans="2:34" ht="15.75" customHeight="1" x14ac:dyDescent="0.3">
      <c r="B84" s="114">
        <v>17.02</v>
      </c>
      <c r="C84" s="114">
        <f t="shared" si="0"/>
        <v>37.822222222222223</v>
      </c>
      <c r="D84" s="107">
        <f t="shared" si="1"/>
        <v>62.177777777777777</v>
      </c>
      <c r="E84" s="107">
        <v>51.4</v>
      </c>
      <c r="F84" s="218" t="s">
        <v>645</v>
      </c>
      <c r="G84" s="13">
        <v>194</v>
      </c>
      <c r="H84" s="217" t="str">
        <f t="shared" si="2"/>
        <v>Rehab J.I</v>
      </c>
      <c r="K84" s="217" t="s">
        <v>646</v>
      </c>
      <c r="L84" s="14">
        <v>1274</v>
      </c>
      <c r="Z84" s="111">
        <v>81</v>
      </c>
      <c r="AA84" s="111" t="s">
        <v>433</v>
      </c>
      <c r="AB84" s="111">
        <v>156</v>
      </c>
      <c r="AC84" s="112">
        <v>29.92</v>
      </c>
      <c r="AD84" s="112">
        <f t="shared" si="5"/>
        <v>66.488888888888894</v>
      </c>
      <c r="AE84" s="112">
        <v>13.36</v>
      </c>
      <c r="AF84" s="112">
        <v>61.88</v>
      </c>
      <c r="AG84" s="111" t="s">
        <v>641</v>
      </c>
    </row>
    <row r="85" spans="2:34" ht="15.75" customHeight="1" x14ac:dyDescent="0.3">
      <c r="B85" s="114">
        <v>22.09</v>
      </c>
      <c r="C85" s="114">
        <f t="shared" si="0"/>
        <v>49.088888888888889</v>
      </c>
      <c r="D85" s="107">
        <f t="shared" si="1"/>
        <v>50.911111111111111</v>
      </c>
      <c r="E85" s="107">
        <v>56.330000000000005</v>
      </c>
      <c r="F85" s="218" t="s">
        <v>645</v>
      </c>
      <c r="G85" s="13">
        <v>684</v>
      </c>
      <c r="H85" s="217" t="str">
        <f t="shared" si="2"/>
        <v>Perbaikan</v>
      </c>
      <c r="K85" s="217" t="s">
        <v>646</v>
      </c>
      <c r="L85" s="14">
        <v>1661</v>
      </c>
      <c r="Z85" s="111">
        <v>82</v>
      </c>
      <c r="AA85" s="111" t="s">
        <v>434</v>
      </c>
      <c r="AB85" s="111">
        <v>1212</v>
      </c>
      <c r="AC85" s="112">
        <v>32.25</v>
      </c>
      <c r="AD85" s="112">
        <f t="shared" si="5"/>
        <v>71.666666666666671</v>
      </c>
      <c r="AE85" s="112">
        <v>13.4</v>
      </c>
      <c r="AF85" s="112">
        <v>65.039999999999992</v>
      </c>
      <c r="AG85" s="111" t="s">
        <v>641</v>
      </c>
    </row>
    <row r="86" spans="2:34" ht="15.75" customHeight="1" x14ac:dyDescent="0.3">
      <c r="B86" s="114">
        <v>29.73</v>
      </c>
      <c r="C86" s="114">
        <f t="shared" si="0"/>
        <v>66.066666666666663</v>
      </c>
      <c r="D86" s="107">
        <f t="shared" si="1"/>
        <v>33.933333333333337</v>
      </c>
      <c r="E86" s="107">
        <v>68.52</v>
      </c>
      <c r="F86" s="218" t="s">
        <v>638</v>
      </c>
      <c r="G86" s="13">
        <v>461</v>
      </c>
      <c r="H86" s="217" t="str">
        <f t="shared" si="2"/>
        <v>Perbaikan</v>
      </c>
      <c r="K86" s="217" t="s">
        <v>646</v>
      </c>
      <c r="L86" s="13">
        <v>1232</v>
      </c>
      <c r="Z86" s="111">
        <v>83</v>
      </c>
      <c r="AA86" s="111" t="s">
        <v>436</v>
      </c>
      <c r="AB86" s="111">
        <v>20</v>
      </c>
      <c r="AC86" s="112">
        <v>28.65</v>
      </c>
      <c r="AD86" s="112">
        <f t="shared" si="5"/>
        <v>63.666666666666657</v>
      </c>
      <c r="AE86" s="112">
        <v>13.53</v>
      </c>
      <c r="AF86" s="112">
        <v>60.78</v>
      </c>
      <c r="AG86" s="111" t="s">
        <v>641</v>
      </c>
    </row>
    <row r="87" spans="2:34" ht="15.75" customHeight="1" x14ac:dyDescent="0.3">
      <c r="B87" s="114">
        <v>12.03</v>
      </c>
      <c r="C87" s="114">
        <f t="shared" si="0"/>
        <v>26.733333333333331</v>
      </c>
      <c r="D87" s="107">
        <f t="shared" si="1"/>
        <v>73.266666666666666</v>
      </c>
      <c r="E87" s="107">
        <v>48.529999999999994</v>
      </c>
      <c r="F87" s="218" t="s">
        <v>645</v>
      </c>
      <c r="G87" s="13">
        <v>50</v>
      </c>
      <c r="H87" s="217" t="str">
        <f t="shared" si="2"/>
        <v>Rehab J.I</v>
      </c>
      <c r="K87" s="217" t="s">
        <v>646</v>
      </c>
      <c r="L87" s="13">
        <v>1155</v>
      </c>
      <c r="Z87" s="111">
        <v>84</v>
      </c>
      <c r="AA87" s="111" t="s">
        <v>311</v>
      </c>
      <c r="AB87" s="111">
        <v>527</v>
      </c>
      <c r="AC87" s="112">
        <v>19.29</v>
      </c>
      <c r="AD87" s="112">
        <f t="shared" si="5"/>
        <v>42.866666666666667</v>
      </c>
      <c r="AE87" s="112">
        <v>12.71</v>
      </c>
      <c r="AF87" s="112">
        <v>54.06</v>
      </c>
      <c r="AG87" s="111" t="s">
        <v>643</v>
      </c>
    </row>
    <row r="88" spans="2:34" ht="15.75" customHeight="1" x14ac:dyDescent="0.3">
      <c r="B88" s="114">
        <v>27.01</v>
      </c>
      <c r="C88" s="114">
        <f t="shared" si="0"/>
        <v>60.022222222222219</v>
      </c>
      <c r="D88" s="107">
        <f t="shared" si="1"/>
        <v>39.977777777777781</v>
      </c>
      <c r="E88" s="107">
        <v>67.789999999999992</v>
      </c>
      <c r="F88" s="218" t="s">
        <v>638</v>
      </c>
      <c r="G88" s="13">
        <v>1554</v>
      </c>
      <c r="H88" s="217" t="str">
        <f t="shared" si="2"/>
        <v>Perbaikan</v>
      </c>
      <c r="K88" s="217" t="s">
        <v>646</v>
      </c>
      <c r="L88" s="13">
        <v>422</v>
      </c>
      <c r="Z88" s="111">
        <v>85</v>
      </c>
      <c r="AA88" s="111" t="s">
        <v>390</v>
      </c>
      <c r="AB88" s="111">
        <v>457</v>
      </c>
      <c r="AC88" s="112">
        <v>23.97</v>
      </c>
      <c r="AD88" s="112">
        <f t="shared" si="5"/>
        <v>53.266666666666666</v>
      </c>
      <c r="AE88" s="112">
        <v>13.65</v>
      </c>
      <c r="AF88" s="112">
        <v>59.179999999999993</v>
      </c>
      <c r="AG88" s="111" t="s">
        <v>641</v>
      </c>
      <c r="AH88" s="31"/>
    </row>
    <row r="89" spans="2:34" ht="15.75" customHeight="1" x14ac:dyDescent="0.3">
      <c r="B89" s="114">
        <v>28.63</v>
      </c>
      <c r="C89" s="114">
        <f t="shared" si="0"/>
        <v>63.622222222222227</v>
      </c>
      <c r="D89" s="107">
        <f t="shared" si="1"/>
        <v>36.377777777777773</v>
      </c>
      <c r="E89" s="107">
        <v>66.759999999999991</v>
      </c>
      <c r="F89" s="218" t="s">
        <v>638</v>
      </c>
      <c r="G89" s="13">
        <v>745</v>
      </c>
      <c r="H89" s="217" t="str">
        <f t="shared" si="2"/>
        <v>Perbaikan</v>
      </c>
      <c r="K89" s="217" t="s">
        <v>646</v>
      </c>
      <c r="L89" s="13">
        <v>684</v>
      </c>
      <c r="Z89" s="111">
        <v>86</v>
      </c>
      <c r="AA89" s="111" t="s">
        <v>439</v>
      </c>
      <c r="AB89" s="111">
        <v>107</v>
      </c>
      <c r="AC89" s="112">
        <v>29.45</v>
      </c>
      <c r="AD89" s="112">
        <f t="shared" si="5"/>
        <v>65.444444444444443</v>
      </c>
      <c r="AE89" s="112">
        <v>13.38</v>
      </c>
      <c r="AF89" s="112">
        <v>61.43</v>
      </c>
      <c r="AG89" s="111" t="s">
        <v>641</v>
      </c>
    </row>
    <row r="90" spans="2:34" ht="15.75" customHeight="1" x14ac:dyDescent="0.3">
      <c r="B90" s="114">
        <v>26.37</v>
      </c>
      <c r="C90" s="114">
        <f t="shared" si="0"/>
        <v>58.600000000000009</v>
      </c>
      <c r="D90" s="107">
        <f t="shared" si="1"/>
        <v>41.399999999999991</v>
      </c>
      <c r="E90" s="107">
        <v>67.739999999999995</v>
      </c>
      <c r="F90" s="218" t="s">
        <v>645</v>
      </c>
      <c r="G90" s="13">
        <v>230</v>
      </c>
      <c r="H90" s="217" t="str">
        <f t="shared" si="2"/>
        <v>Perbaikan</v>
      </c>
      <c r="K90" s="217" t="s">
        <v>646</v>
      </c>
      <c r="L90" s="13">
        <v>461</v>
      </c>
      <c r="Z90" s="111">
        <v>87</v>
      </c>
      <c r="AA90" s="111" t="s">
        <v>440</v>
      </c>
      <c r="AB90" s="111">
        <v>39</v>
      </c>
      <c r="AC90" s="112">
        <v>28.57</v>
      </c>
      <c r="AD90" s="112">
        <f t="shared" si="5"/>
        <v>63.488888888888894</v>
      </c>
      <c r="AE90" s="112">
        <v>14.35</v>
      </c>
      <c r="AF90" s="112">
        <v>61.320000000000007</v>
      </c>
      <c r="AG90" s="111" t="s">
        <v>641</v>
      </c>
    </row>
    <row r="91" spans="2:34" ht="15.75" customHeight="1" x14ac:dyDescent="0.3">
      <c r="B91" s="114">
        <v>20.94</v>
      </c>
      <c r="C91" s="114">
        <f t="shared" si="0"/>
        <v>46.533333333333339</v>
      </c>
      <c r="D91" s="107">
        <f t="shared" si="1"/>
        <v>53.466666666666661</v>
      </c>
      <c r="E91" s="107">
        <v>58.470000000000006</v>
      </c>
      <c r="F91" s="218" t="s">
        <v>645</v>
      </c>
      <c r="G91" s="13">
        <v>367</v>
      </c>
      <c r="H91" s="217" t="str">
        <f t="shared" si="2"/>
        <v>Perbaikan</v>
      </c>
      <c r="K91" s="217" t="s">
        <v>646</v>
      </c>
      <c r="L91" s="13">
        <v>1554</v>
      </c>
      <c r="Z91" s="111">
        <v>88</v>
      </c>
      <c r="AA91" s="111" t="s">
        <v>442</v>
      </c>
      <c r="AB91" s="111">
        <v>282</v>
      </c>
      <c r="AC91" s="112">
        <v>28.48</v>
      </c>
      <c r="AD91" s="112">
        <f t="shared" si="5"/>
        <v>63.288888888888891</v>
      </c>
      <c r="AE91" s="112">
        <v>13.54</v>
      </c>
      <c r="AF91" s="112">
        <v>61.419999999999995</v>
      </c>
      <c r="AG91" s="111" t="s">
        <v>641</v>
      </c>
    </row>
    <row r="92" spans="2:34" ht="15.75" customHeight="1" x14ac:dyDescent="0.3">
      <c r="B92" s="114">
        <v>25.35</v>
      </c>
      <c r="C92" s="114">
        <f t="shared" si="0"/>
        <v>56.333333333333336</v>
      </c>
      <c r="D92" s="107">
        <f t="shared" si="1"/>
        <v>43.666666666666664</v>
      </c>
      <c r="E92" s="107">
        <v>60.89</v>
      </c>
      <c r="F92" s="218" t="s">
        <v>645</v>
      </c>
      <c r="G92" s="13">
        <v>215</v>
      </c>
      <c r="H92" s="217" t="str">
        <f t="shared" si="2"/>
        <v>Perbaikan</v>
      </c>
      <c r="K92" s="217" t="s">
        <v>646</v>
      </c>
      <c r="L92" s="13">
        <v>745</v>
      </c>
      <c r="Z92" s="111">
        <v>89</v>
      </c>
      <c r="AA92" s="111" t="s">
        <v>444</v>
      </c>
      <c r="AB92" s="111">
        <v>726</v>
      </c>
      <c r="AC92" s="112">
        <v>31.96</v>
      </c>
      <c r="AD92" s="112">
        <f t="shared" si="5"/>
        <v>71.022222222222226</v>
      </c>
      <c r="AE92" s="112">
        <v>13.27</v>
      </c>
      <c r="AF92" s="112">
        <v>63.730000000000004</v>
      </c>
      <c r="AG92" s="111" t="s">
        <v>641</v>
      </c>
    </row>
    <row r="93" spans="2:34" ht="15.75" customHeight="1" x14ac:dyDescent="0.3">
      <c r="B93" s="114">
        <v>20.22</v>
      </c>
      <c r="C93" s="114">
        <f t="shared" si="0"/>
        <v>44.93333333333333</v>
      </c>
      <c r="D93" s="107">
        <f t="shared" si="1"/>
        <v>55.06666666666667</v>
      </c>
      <c r="E93" s="107">
        <v>62.11</v>
      </c>
      <c r="F93" s="218" t="s">
        <v>645</v>
      </c>
      <c r="G93" s="13">
        <v>165</v>
      </c>
      <c r="H93" s="217" t="str">
        <f t="shared" si="2"/>
        <v>Perbaikan</v>
      </c>
      <c r="K93" s="217" t="s">
        <v>646</v>
      </c>
      <c r="L93" s="13">
        <v>230</v>
      </c>
      <c r="Z93" s="111">
        <v>90</v>
      </c>
      <c r="AA93" s="111" t="s">
        <v>443</v>
      </c>
      <c r="AB93" s="111">
        <v>63</v>
      </c>
      <c r="AC93" s="112">
        <v>27.57</v>
      </c>
      <c r="AD93" s="112">
        <f t="shared" si="5"/>
        <v>61.266666666666666</v>
      </c>
      <c r="AE93" s="112">
        <v>13.46</v>
      </c>
      <c r="AF93" s="112">
        <v>59.63</v>
      </c>
      <c r="AG93" s="111" t="s">
        <v>641</v>
      </c>
    </row>
    <row r="94" spans="2:34" ht="15.75" customHeight="1" x14ac:dyDescent="0.3">
      <c r="B94" s="114">
        <v>19.66</v>
      </c>
      <c r="C94" s="114">
        <f t="shared" si="0"/>
        <v>43.68888888888889</v>
      </c>
      <c r="D94" s="107">
        <f t="shared" si="1"/>
        <v>56.31111111111111</v>
      </c>
      <c r="E94" s="107">
        <v>53.59</v>
      </c>
      <c r="F94" s="218" t="s">
        <v>645</v>
      </c>
      <c r="G94" s="13">
        <v>629</v>
      </c>
      <c r="H94" s="217" t="str">
        <f t="shared" si="2"/>
        <v>Rehab J.I</v>
      </c>
      <c r="K94" s="217" t="s">
        <v>646</v>
      </c>
      <c r="L94" s="13">
        <v>367</v>
      </c>
      <c r="Z94" s="111">
        <v>91</v>
      </c>
      <c r="AA94" s="111" t="s">
        <v>447</v>
      </c>
      <c r="AB94" s="111">
        <v>70</v>
      </c>
      <c r="AC94" s="112">
        <v>28.39</v>
      </c>
      <c r="AD94" s="112">
        <f t="shared" si="5"/>
        <v>63.088888888888896</v>
      </c>
      <c r="AE94" s="112">
        <v>15</v>
      </c>
      <c r="AF94" s="112">
        <v>61.63</v>
      </c>
      <c r="AG94" s="111" t="s">
        <v>641</v>
      </c>
    </row>
    <row r="95" spans="2:34" ht="15.75" customHeight="1" x14ac:dyDescent="0.3">
      <c r="B95" s="114">
        <v>19.25</v>
      </c>
      <c r="C95" s="114">
        <f t="shared" si="0"/>
        <v>42.777777777777779</v>
      </c>
      <c r="D95" s="107">
        <f t="shared" si="1"/>
        <v>57.222222222222221</v>
      </c>
      <c r="E95" s="107">
        <v>51.189999999999991</v>
      </c>
      <c r="F95" s="218" t="s">
        <v>645</v>
      </c>
      <c r="G95" s="13">
        <v>2340</v>
      </c>
      <c r="H95" s="217" t="str">
        <f t="shared" si="2"/>
        <v>Rehab J.I</v>
      </c>
      <c r="K95" s="217" t="s">
        <v>646</v>
      </c>
      <c r="L95" s="13">
        <v>215</v>
      </c>
      <c r="Z95" s="111">
        <v>92</v>
      </c>
      <c r="AA95" s="111" t="s">
        <v>359</v>
      </c>
      <c r="AB95" s="111">
        <v>53</v>
      </c>
      <c r="AC95" s="112">
        <v>22.16</v>
      </c>
      <c r="AD95" s="112">
        <f t="shared" si="5"/>
        <v>49.244444444444447</v>
      </c>
      <c r="AE95" s="112">
        <v>14.81</v>
      </c>
      <c r="AF95" s="112">
        <v>59.910000000000011</v>
      </c>
      <c r="AG95" s="111" t="s">
        <v>641</v>
      </c>
      <c r="AH95" s="31"/>
    </row>
    <row r="96" spans="2:34" ht="15.75" customHeight="1" x14ac:dyDescent="0.3">
      <c r="B96" s="114">
        <v>23.87</v>
      </c>
      <c r="C96" s="114">
        <f t="shared" si="0"/>
        <v>53.044444444444451</v>
      </c>
      <c r="D96" s="107">
        <f t="shared" si="1"/>
        <v>46.955555555555549</v>
      </c>
      <c r="E96" s="107">
        <v>65.44</v>
      </c>
      <c r="F96" s="218" t="s">
        <v>645</v>
      </c>
      <c r="G96" s="13">
        <v>789</v>
      </c>
      <c r="H96" s="217" t="str">
        <f t="shared" si="2"/>
        <v>Perbaikan</v>
      </c>
      <c r="K96" s="217" t="s">
        <v>646</v>
      </c>
      <c r="L96" s="13">
        <v>165</v>
      </c>
      <c r="Z96" s="111">
        <v>93</v>
      </c>
      <c r="AA96" s="111" t="s">
        <v>441</v>
      </c>
      <c r="AB96" s="111">
        <v>193</v>
      </c>
      <c r="AC96" s="112">
        <v>27.55</v>
      </c>
      <c r="AD96" s="112">
        <f t="shared" si="5"/>
        <v>61.222222222222221</v>
      </c>
      <c r="AE96" s="112">
        <v>11.04</v>
      </c>
      <c r="AF96" s="112">
        <v>56.850000000000009</v>
      </c>
      <c r="AG96" s="111" t="s">
        <v>641</v>
      </c>
    </row>
    <row r="97" spans="2:34" ht="15.75" customHeight="1" x14ac:dyDescent="0.3">
      <c r="B97" s="114">
        <v>15.05</v>
      </c>
      <c r="C97" s="114">
        <f t="shared" si="0"/>
        <v>33.444444444444443</v>
      </c>
      <c r="D97" s="107">
        <f t="shared" si="1"/>
        <v>66.555555555555557</v>
      </c>
      <c r="E97" s="107">
        <v>52.18</v>
      </c>
      <c r="F97" s="218" t="s">
        <v>645</v>
      </c>
      <c r="G97" s="13">
        <v>209</v>
      </c>
      <c r="H97" s="217" t="str">
        <f t="shared" si="2"/>
        <v>Rehab J.I</v>
      </c>
      <c r="K97" s="217" t="s">
        <v>646</v>
      </c>
      <c r="L97" s="13">
        <v>789</v>
      </c>
      <c r="Z97" s="111">
        <v>94</v>
      </c>
      <c r="AA97" s="111" t="s">
        <v>448</v>
      </c>
      <c r="AB97" s="111">
        <v>455</v>
      </c>
      <c r="AC97" s="112">
        <v>27.88</v>
      </c>
      <c r="AD97" s="112">
        <f t="shared" si="5"/>
        <v>61.955555555555556</v>
      </c>
      <c r="AE97" s="112">
        <v>11.42</v>
      </c>
      <c r="AF97" s="112">
        <v>53.14</v>
      </c>
      <c r="AG97" s="111" t="s">
        <v>641</v>
      </c>
      <c r="AH97" s="31"/>
    </row>
    <row r="98" spans="2:34" ht="15.75" customHeight="1" x14ac:dyDescent="0.3">
      <c r="B98" s="114">
        <v>13.9</v>
      </c>
      <c r="C98" s="114">
        <f t="shared" si="0"/>
        <v>30.888888888888889</v>
      </c>
      <c r="D98" s="107">
        <f t="shared" si="1"/>
        <v>69.111111111111114</v>
      </c>
      <c r="E98" s="107">
        <v>58.36</v>
      </c>
      <c r="F98" s="218" t="s">
        <v>645</v>
      </c>
      <c r="G98" s="13">
        <v>13</v>
      </c>
      <c r="H98" s="217" t="str">
        <f t="shared" si="2"/>
        <v>Perbaikan</v>
      </c>
      <c r="K98" s="217" t="s">
        <v>646</v>
      </c>
      <c r="L98" s="13">
        <v>13</v>
      </c>
      <c r="Z98" s="111">
        <v>95</v>
      </c>
      <c r="AA98" s="111" t="s">
        <v>431</v>
      </c>
      <c r="AB98" s="111">
        <v>16</v>
      </c>
      <c r="AC98" s="112">
        <v>27.18</v>
      </c>
      <c r="AD98" s="112">
        <f t="shared" si="5"/>
        <v>60.4</v>
      </c>
      <c r="AE98" s="112">
        <v>13.4</v>
      </c>
      <c r="AF98" s="112">
        <v>59.58</v>
      </c>
      <c r="AG98" s="111" t="s">
        <v>641</v>
      </c>
    </row>
    <row r="99" spans="2:34" ht="15.75" customHeight="1" x14ac:dyDescent="0.3">
      <c r="B99" s="114">
        <v>24.64</v>
      </c>
      <c r="C99" s="114">
        <f t="shared" si="0"/>
        <v>54.75555555555556</v>
      </c>
      <c r="D99" s="107">
        <f t="shared" si="1"/>
        <v>45.24444444444444</v>
      </c>
      <c r="E99" s="107">
        <v>63.870000000000005</v>
      </c>
      <c r="F99" s="218" t="s">
        <v>645</v>
      </c>
      <c r="G99" s="13">
        <v>54</v>
      </c>
      <c r="H99" s="217" t="str">
        <f t="shared" si="2"/>
        <v>Perbaikan</v>
      </c>
      <c r="K99" s="217" t="s">
        <v>646</v>
      </c>
      <c r="L99" s="13">
        <v>54</v>
      </c>
      <c r="Z99" s="111">
        <v>96</v>
      </c>
      <c r="AA99" s="111" t="s">
        <v>363</v>
      </c>
      <c r="AB99" s="111">
        <v>32</v>
      </c>
      <c r="AC99" s="112">
        <v>22.54</v>
      </c>
      <c r="AD99" s="112">
        <f t="shared" si="5"/>
        <v>50.088888888888881</v>
      </c>
      <c r="AE99" s="112">
        <v>13.5</v>
      </c>
      <c r="AF99" s="112">
        <v>54.64</v>
      </c>
      <c r="AG99" s="111" t="s">
        <v>643</v>
      </c>
    </row>
    <row r="100" spans="2:34" ht="15.75" customHeight="1" x14ac:dyDescent="0.3">
      <c r="B100" s="114">
        <v>25.98</v>
      </c>
      <c r="C100" s="114">
        <f t="shared" si="0"/>
        <v>57.733333333333334</v>
      </c>
      <c r="D100" s="107">
        <f t="shared" si="1"/>
        <v>42.266666666666666</v>
      </c>
      <c r="E100" s="107">
        <v>61.080000000000005</v>
      </c>
      <c r="F100" s="218" t="s">
        <v>645</v>
      </c>
      <c r="G100" s="13">
        <v>1332</v>
      </c>
      <c r="H100" s="217" t="str">
        <f t="shared" si="2"/>
        <v>Perbaikan</v>
      </c>
      <c r="K100" s="217" t="s">
        <v>646</v>
      </c>
      <c r="L100" s="13">
        <v>1332</v>
      </c>
      <c r="Z100" s="111">
        <v>97</v>
      </c>
      <c r="AA100" s="111" t="s">
        <v>437</v>
      </c>
      <c r="AB100" s="111">
        <v>46</v>
      </c>
      <c r="AC100" s="112">
        <v>27.43</v>
      </c>
      <c r="AD100" s="112">
        <f t="shared" si="5"/>
        <v>60.955555555555549</v>
      </c>
      <c r="AE100" s="112">
        <v>15</v>
      </c>
      <c r="AF100" s="112">
        <v>61.73</v>
      </c>
      <c r="AG100" s="111" t="s">
        <v>641</v>
      </c>
    </row>
    <row r="101" spans="2:34" ht="15.75" customHeight="1" x14ac:dyDescent="0.3">
      <c r="B101" s="114">
        <v>27.41</v>
      </c>
      <c r="C101" s="114">
        <f t="shared" si="0"/>
        <v>60.911111111111119</v>
      </c>
      <c r="D101" s="107">
        <f t="shared" si="1"/>
        <v>39.088888888888881</v>
      </c>
      <c r="E101" s="107">
        <v>68.67</v>
      </c>
      <c r="F101" s="218" t="s">
        <v>638</v>
      </c>
      <c r="G101" s="13">
        <v>1058</v>
      </c>
      <c r="H101" s="217" t="str">
        <f t="shared" si="2"/>
        <v>Perbaikan</v>
      </c>
      <c r="K101" s="217" t="s">
        <v>646</v>
      </c>
      <c r="L101" s="13">
        <v>1058</v>
      </c>
      <c r="Z101" s="111">
        <v>98</v>
      </c>
      <c r="AA101" s="111" t="s">
        <v>357</v>
      </c>
      <c r="AB101" s="111">
        <v>59</v>
      </c>
      <c r="AC101" s="112">
        <v>21.83</v>
      </c>
      <c r="AD101" s="112">
        <f t="shared" si="5"/>
        <v>48.511111111111106</v>
      </c>
      <c r="AE101" s="112">
        <v>13.21</v>
      </c>
      <c r="AF101" s="112">
        <v>53.64</v>
      </c>
      <c r="AG101" s="111" t="s">
        <v>643</v>
      </c>
    </row>
    <row r="102" spans="2:34" ht="15.75" customHeight="1" x14ac:dyDescent="0.3">
      <c r="B102" s="114">
        <v>27.22</v>
      </c>
      <c r="C102" s="114">
        <f t="shared" si="0"/>
        <v>60.48888888888888</v>
      </c>
      <c r="D102" s="107">
        <f t="shared" si="1"/>
        <v>39.51111111111112</v>
      </c>
      <c r="E102" s="107">
        <v>66.320000000000007</v>
      </c>
      <c r="F102" s="218" t="s">
        <v>638</v>
      </c>
      <c r="G102" s="13">
        <v>1045</v>
      </c>
      <c r="H102" s="217" t="str">
        <f t="shared" si="2"/>
        <v>Perbaikan</v>
      </c>
      <c r="K102" s="217" t="s">
        <v>646</v>
      </c>
      <c r="L102" s="13">
        <v>1045</v>
      </c>
      <c r="Z102" s="111">
        <v>99</v>
      </c>
      <c r="AA102" s="111" t="s">
        <v>339</v>
      </c>
      <c r="AB102" s="111">
        <v>119</v>
      </c>
      <c r="AC102" s="112">
        <v>28.83</v>
      </c>
      <c r="AD102" s="112">
        <f t="shared" si="5"/>
        <v>64.066666666666663</v>
      </c>
      <c r="AE102" s="112">
        <v>14.56</v>
      </c>
      <c r="AF102" s="112">
        <v>61.69</v>
      </c>
      <c r="AG102" s="111" t="s">
        <v>641</v>
      </c>
    </row>
    <row r="103" spans="2:34" ht="15.75" customHeight="1" x14ac:dyDescent="0.3">
      <c r="B103" s="114">
        <v>27.01</v>
      </c>
      <c r="C103" s="114">
        <f t="shared" si="0"/>
        <v>60.022222222222219</v>
      </c>
      <c r="D103" s="107">
        <f t="shared" si="1"/>
        <v>39.977777777777781</v>
      </c>
      <c r="E103" s="107">
        <v>68.709999999999994</v>
      </c>
      <c r="F103" s="218" t="s">
        <v>638</v>
      </c>
      <c r="G103" s="13">
        <v>1273</v>
      </c>
      <c r="H103" s="217" t="str">
        <f t="shared" si="2"/>
        <v>Perbaikan</v>
      </c>
      <c r="K103" s="217" t="s">
        <v>646</v>
      </c>
      <c r="L103" s="13">
        <v>1273</v>
      </c>
      <c r="Z103" s="111">
        <v>100</v>
      </c>
      <c r="AA103" s="111" t="s">
        <v>415</v>
      </c>
      <c r="AB103" s="111">
        <v>1926</v>
      </c>
      <c r="AC103" s="112">
        <v>25.99</v>
      </c>
      <c r="AD103" s="112">
        <f t="shared" si="5"/>
        <v>57.755555555555546</v>
      </c>
      <c r="AE103" s="112">
        <v>11.26</v>
      </c>
      <c r="AF103" s="112">
        <v>57.33</v>
      </c>
      <c r="AG103" s="111" t="s">
        <v>643</v>
      </c>
      <c r="AH103" s="31"/>
    </row>
    <row r="104" spans="2:34" ht="15.75" customHeight="1" x14ac:dyDescent="0.3">
      <c r="B104" s="114">
        <v>21.97</v>
      </c>
      <c r="C104" s="114">
        <f t="shared" si="0"/>
        <v>48.822222222222223</v>
      </c>
      <c r="D104" s="107">
        <f t="shared" si="1"/>
        <v>51.177777777777777</v>
      </c>
      <c r="E104" s="107">
        <v>55.57</v>
      </c>
      <c r="F104" s="218" t="s">
        <v>645</v>
      </c>
      <c r="G104" s="13">
        <v>2433</v>
      </c>
      <c r="H104" s="217" t="str">
        <f t="shared" si="2"/>
        <v>Perbaikan</v>
      </c>
      <c r="K104" s="217" t="s">
        <v>646</v>
      </c>
      <c r="L104" s="13">
        <v>2433</v>
      </c>
      <c r="Z104" s="111">
        <v>101</v>
      </c>
      <c r="AA104" s="111" t="s">
        <v>350</v>
      </c>
      <c r="AB104" s="111">
        <v>165</v>
      </c>
      <c r="AC104" s="112">
        <v>21.53</v>
      </c>
      <c r="AD104" s="112">
        <f t="shared" si="5"/>
        <v>47.844444444444449</v>
      </c>
      <c r="AE104" s="112">
        <v>13.86</v>
      </c>
      <c r="AF104" s="112">
        <v>65.039999999999992</v>
      </c>
      <c r="AG104" s="111" t="s">
        <v>641</v>
      </c>
      <c r="AH104" s="31"/>
    </row>
    <row r="105" spans="2:34" ht="15.75" customHeight="1" x14ac:dyDescent="0.3">
      <c r="B105" s="114">
        <v>21.53</v>
      </c>
      <c r="C105" s="114">
        <f t="shared" si="0"/>
        <v>47.844444444444449</v>
      </c>
      <c r="D105" s="107">
        <f t="shared" si="1"/>
        <v>52.155555555555551</v>
      </c>
      <c r="E105" s="107">
        <v>66.84</v>
      </c>
      <c r="F105" s="218" t="s">
        <v>645</v>
      </c>
      <c r="G105" s="13">
        <v>1403</v>
      </c>
      <c r="H105" s="217" t="str">
        <f t="shared" si="2"/>
        <v>Perbaikan</v>
      </c>
      <c r="K105" s="217" t="s">
        <v>646</v>
      </c>
      <c r="L105" s="13">
        <v>1403</v>
      </c>
      <c r="Z105" s="111">
        <v>102</v>
      </c>
      <c r="AA105" s="111" t="s">
        <v>452</v>
      </c>
      <c r="AB105" s="111">
        <v>551</v>
      </c>
      <c r="AC105" s="112">
        <v>33.729999999999997</v>
      </c>
      <c r="AD105" s="112">
        <f t="shared" si="5"/>
        <v>74.955555555555549</v>
      </c>
      <c r="AE105" s="112">
        <v>12.53</v>
      </c>
      <c r="AF105" s="112">
        <v>69.789999999999992</v>
      </c>
      <c r="AG105" s="111" t="s">
        <v>641</v>
      </c>
    </row>
    <row r="106" spans="2:34" ht="15.75" customHeight="1" x14ac:dyDescent="0.3">
      <c r="B106" s="114">
        <v>27.13</v>
      </c>
      <c r="C106" s="114">
        <f t="shared" si="0"/>
        <v>60.288888888888891</v>
      </c>
      <c r="D106" s="107">
        <f t="shared" si="1"/>
        <v>39.711111111111109</v>
      </c>
      <c r="E106" s="115">
        <v>66.889999999999986</v>
      </c>
      <c r="F106" s="218" t="s">
        <v>638</v>
      </c>
      <c r="G106" s="116">
        <v>1000</v>
      </c>
      <c r="H106" s="217" t="str">
        <f t="shared" si="2"/>
        <v>Perbaikan</v>
      </c>
      <c r="K106" s="217" t="s">
        <v>646</v>
      </c>
      <c r="L106" s="116">
        <v>1000</v>
      </c>
      <c r="Z106" s="111">
        <v>103</v>
      </c>
      <c r="AA106" s="111" t="s">
        <v>455</v>
      </c>
      <c r="AB106" s="111">
        <v>2946</v>
      </c>
      <c r="AC106" s="112">
        <v>38.83</v>
      </c>
      <c r="AD106" s="112">
        <f t="shared" si="5"/>
        <v>86.288888888888877</v>
      </c>
      <c r="AE106" s="112">
        <v>13.4</v>
      </c>
      <c r="AF106" s="112">
        <v>70.25</v>
      </c>
      <c r="AG106" s="111" t="s">
        <v>644</v>
      </c>
    </row>
    <row r="107" spans="2:34" ht="15.75" customHeight="1" x14ac:dyDescent="0.3">
      <c r="B107" s="114">
        <v>25.69</v>
      </c>
      <c r="C107" s="114">
        <f t="shared" si="0"/>
        <v>57.088888888888889</v>
      </c>
      <c r="D107" s="107">
        <f t="shared" si="1"/>
        <v>42.911111111111111</v>
      </c>
      <c r="E107" s="107">
        <v>65.28</v>
      </c>
      <c r="F107" s="218" t="s">
        <v>645</v>
      </c>
      <c r="G107" s="13">
        <v>1096</v>
      </c>
      <c r="H107" s="217" t="str">
        <f t="shared" si="2"/>
        <v>Perbaikan</v>
      </c>
      <c r="K107" s="217" t="s">
        <v>646</v>
      </c>
      <c r="L107" s="13">
        <v>1096</v>
      </c>
      <c r="Z107" s="111">
        <v>104</v>
      </c>
      <c r="AA107" s="111" t="s">
        <v>402</v>
      </c>
      <c r="AB107" s="111">
        <v>69</v>
      </c>
      <c r="AC107" s="112">
        <v>24.75</v>
      </c>
      <c r="AD107" s="112">
        <f t="shared" si="5"/>
        <v>55.000000000000007</v>
      </c>
      <c r="AE107" s="112">
        <v>14.28</v>
      </c>
      <c r="AF107" s="112">
        <v>64.820000000000007</v>
      </c>
      <c r="AG107" s="111" t="s">
        <v>641</v>
      </c>
      <c r="AH107" s="31"/>
    </row>
    <row r="108" spans="2:34" ht="15.75" customHeight="1" x14ac:dyDescent="0.3">
      <c r="B108" s="114">
        <v>27.97</v>
      </c>
      <c r="C108" s="114">
        <f t="shared" si="0"/>
        <v>62.155555555555551</v>
      </c>
      <c r="D108" s="107">
        <f t="shared" si="1"/>
        <v>37.844444444444449</v>
      </c>
      <c r="E108" s="107">
        <v>67.56</v>
      </c>
      <c r="F108" s="218" t="s">
        <v>638</v>
      </c>
      <c r="G108" s="13">
        <v>1787</v>
      </c>
      <c r="H108" s="217" t="str">
        <f t="shared" si="2"/>
        <v>Perbaikan</v>
      </c>
      <c r="K108" s="217" t="s">
        <v>646</v>
      </c>
      <c r="L108" s="13">
        <v>1787</v>
      </c>
      <c r="Z108" s="111">
        <v>105</v>
      </c>
      <c r="AA108" s="111" t="s">
        <v>456</v>
      </c>
      <c r="AB108" s="111">
        <v>54</v>
      </c>
      <c r="AC108" s="112">
        <v>29.82</v>
      </c>
      <c r="AD108" s="112">
        <f t="shared" si="5"/>
        <v>66.266666666666666</v>
      </c>
      <c r="AE108" s="112">
        <v>13.51</v>
      </c>
      <c r="AF108" s="112">
        <v>70.33</v>
      </c>
      <c r="AG108" s="111" t="s">
        <v>641</v>
      </c>
    </row>
    <row r="109" spans="2:34" ht="15.75" customHeight="1" x14ac:dyDescent="0.3">
      <c r="B109" s="114">
        <v>30.94</v>
      </c>
      <c r="C109" s="114">
        <f t="shared" si="0"/>
        <v>68.75555555555556</v>
      </c>
      <c r="D109" s="107">
        <f t="shared" si="1"/>
        <v>31.24444444444444</v>
      </c>
      <c r="E109" s="107">
        <v>76.819999999999993</v>
      </c>
      <c r="F109" s="218" t="s">
        <v>638</v>
      </c>
      <c r="G109" s="13">
        <v>1370</v>
      </c>
      <c r="H109" s="217" t="str">
        <f t="shared" si="2"/>
        <v>Perawatan</v>
      </c>
      <c r="K109" s="217" t="s">
        <v>646</v>
      </c>
      <c r="L109" s="13">
        <v>1341</v>
      </c>
      <c r="Z109" s="111">
        <v>106</v>
      </c>
      <c r="AA109" s="111" t="s">
        <v>457</v>
      </c>
      <c r="AB109" s="111">
        <v>23</v>
      </c>
      <c r="AC109" s="112">
        <v>29.66</v>
      </c>
      <c r="AD109" s="112">
        <f t="shared" si="5"/>
        <v>65.911111111111111</v>
      </c>
      <c r="AE109" s="112">
        <v>13.53</v>
      </c>
      <c r="AF109" s="112">
        <v>71.19</v>
      </c>
      <c r="AG109" s="111" t="s">
        <v>641</v>
      </c>
    </row>
    <row r="110" spans="2:34" ht="15.75" customHeight="1" x14ac:dyDescent="0.3">
      <c r="B110" s="114">
        <v>20.32</v>
      </c>
      <c r="C110" s="114">
        <f t="shared" si="0"/>
        <v>45.155555555555551</v>
      </c>
      <c r="D110" s="107">
        <f t="shared" si="1"/>
        <v>54.844444444444449</v>
      </c>
      <c r="E110" s="107">
        <v>62.230000000000004</v>
      </c>
      <c r="F110" s="218" t="s">
        <v>645</v>
      </c>
      <c r="G110" s="13">
        <v>1341</v>
      </c>
      <c r="H110" s="217" t="str">
        <f t="shared" si="2"/>
        <v>Perbaikan</v>
      </c>
      <c r="K110" s="217" t="s">
        <v>646</v>
      </c>
      <c r="L110" s="116">
        <v>1046</v>
      </c>
      <c r="Z110" s="111">
        <v>107</v>
      </c>
      <c r="AA110" s="111" t="s">
        <v>458</v>
      </c>
      <c r="AB110" s="111">
        <v>42</v>
      </c>
      <c r="AC110" s="112">
        <v>28.87</v>
      </c>
      <c r="AD110" s="112">
        <f t="shared" si="5"/>
        <v>64.155555555555551</v>
      </c>
      <c r="AE110" s="112">
        <v>13.15</v>
      </c>
      <c r="AF110" s="112">
        <v>70.02000000000001</v>
      </c>
      <c r="AG110" s="111" t="s">
        <v>641</v>
      </c>
    </row>
    <row r="111" spans="2:34" ht="15.75" customHeight="1" x14ac:dyDescent="0.3">
      <c r="B111" s="114">
        <v>23.73</v>
      </c>
      <c r="C111" s="114">
        <f t="shared" si="0"/>
        <v>52.733333333333334</v>
      </c>
      <c r="D111" s="107">
        <f t="shared" si="1"/>
        <v>47.266666666666666</v>
      </c>
      <c r="E111" s="115">
        <v>63.500000000000007</v>
      </c>
      <c r="F111" s="218" t="s">
        <v>645</v>
      </c>
      <c r="G111" s="116">
        <v>1046</v>
      </c>
      <c r="H111" s="217" t="str">
        <f t="shared" si="2"/>
        <v>Perbaikan</v>
      </c>
      <c r="K111" s="217" t="s">
        <v>646</v>
      </c>
      <c r="L111" s="13">
        <v>1593</v>
      </c>
      <c r="Z111" s="111">
        <v>108</v>
      </c>
      <c r="AA111" s="111" t="s">
        <v>292</v>
      </c>
      <c r="AB111" s="111">
        <v>51</v>
      </c>
      <c r="AC111" s="112">
        <v>13.8</v>
      </c>
      <c r="AD111" s="112">
        <f t="shared" si="5"/>
        <v>30.666666666666671</v>
      </c>
      <c r="AE111" s="112">
        <v>13.22</v>
      </c>
      <c r="AF111" s="112">
        <v>55.02</v>
      </c>
      <c r="AG111" s="111" t="s">
        <v>641</v>
      </c>
      <c r="AH111" s="31"/>
    </row>
    <row r="112" spans="2:34" ht="15.75" customHeight="1" x14ac:dyDescent="0.3">
      <c r="B112" s="114">
        <v>19.649999999999999</v>
      </c>
      <c r="C112" s="114">
        <f t="shared" si="0"/>
        <v>43.666666666666664</v>
      </c>
      <c r="D112" s="107">
        <f t="shared" si="1"/>
        <v>56.333333333333336</v>
      </c>
      <c r="E112" s="107">
        <v>58.599999999999994</v>
      </c>
      <c r="F112" s="218" t="s">
        <v>645</v>
      </c>
      <c r="G112" s="13">
        <v>1593</v>
      </c>
      <c r="H112" s="217" t="str">
        <f t="shared" si="2"/>
        <v>Perbaikan</v>
      </c>
      <c r="K112" s="217" t="s">
        <v>646</v>
      </c>
      <c r="L112" s="13">
        <v>1921</v>
      </c>
      <c r="Z112" s="111">
        <v>109</v>
      </c>
      <c r="AA112" s="111" t="s">
        <v>438</v>
      </c>
      <c r="AB112" s="111">
        <v>82</v>
      </c>
      <c r="AC112" s="112">
        <v>27.48</v>
      </c>
      <c r="AD112" s="112">
        <f t="shared" si="5"/>
        <v>61.06666666666667</v>
      </c>
      <c r="AE112" s="112">
        <v>13.52</v>
      </c>
      <c r="AF112" s="112">
        <v>69</v>
      </c>
      <c r="AG112" s="111" t="s">
        <v>641</v>
      </c>
    </row>
    <row r="113" spans="2:34" ht="15.75" customHeight="1" x14ac:dyDescent="0.3">
      <c r="B113" s="114">
        <v>22.88</v>
      </c>
      <c r="C113" s="114">
        <f t="shared" si="0"/>
        <v>50.844444444444449</v>
      </c>
      <c r="D113" s="107">
        <f t="shared" si="1"/>
        <v>49.155555555555551</v>
      </c>
      <c r="E113" s="107">
        <v>66.77000000000001</v>
      </c>
      <c r="F113" s="218" t="s">
        <v>645</v>
      </c>
      <c r="G113" s="13">
        <v>1921</v>
      </c>
      <c r="H113" s="217" t="str">
        <f t="shared" si="2"/>
        <v>Perbaikan</v>
      </c>
      <c r="K113" s="217" t="s">
        <v>646</v>
      </c>
      <c r="L113" s="13">
        <v>1884</v>
      </c>
      <c r="Z113" s="111">
        <v>110</v>
      </c>
      <c r="AA113" s="111" t="s">
        <v>401</v>
      </c>
      <c r="AB113" s="111">
        <v>62</v>
      </c>
      <c r="AC113" s="112">
        <v>24.65</v>
      </c>
      <c r="AD113" s="112">
        <f t="shared" si="5"/>
        <v>54.777777777777771</v>
      </c>
      <c r="AE113" s="112">
        <v>13.57</v>
      </c>
      <c r="AF113" s="112">
        <v>66.22</v>
      </c>
      <c r="AG113" s="111" t="s">
        <v>641</v>
      </c>
      <c r="AH113" s="31"/>
    </row>
    <row r="114" spans="2:34" ht="15.75" customHeight="1" x14ac:dyDescent="0.3">
      <c r="B114" s="114">
        <v>26.42</v>
      </c>
      <c r="C114" s="114">
        <f t="shared" si="0"/>
        <v>58.711111111111116</v>
      </c>
      <c r="D114" s="107">
        <f t="shared" si="1"/>
        <v>41.288888888888884</v>
      </c>
      <c r="E114" s="107">
        <v>67.960000000000008</v>
      </c>
      <c r="F114" s="218" t="s">
        <v>645</v>
      </c>
      <c r="G114" s="13">
        <v>1884</v>
      </c>
      <c r="H114" s="217" t="str">
        <f t="shared" si="2"/>
        <v>Perbaikan</v>
      </c>
      <c r="K114" s="217" t="s">
        <v>646</v>
      </c>
      <c r="L114" s="13">
        <v>1337</v>
      </c>
      <c r="Z114" s="111">
        <v>111</v>
      </c>
      <c r="AA114" s="111" t="s">
        <v>423</v>
      </c>
      <c r="AB114" s="111">
        <v>56</v>
      </c>
      <c r="AC114" s="112">
        <v>26.65</v>
      </c>
      <c r="AD114" s="112">
        <f t="shared" si="5"/>
        <v>59.222222222222221</v>
      </c>
      <c r="AE114" s="112">
        <v>13.17</v>
      </c>
      <c r="AF114" s="112">
        <v>67.819999999999993</v>
      </c>
      <c r="AG114" s="111" t="s">
        <v>641</v>
      </c>
    </row>
    <row r="115" spans="2:34" ht="15.75" customHeight="1" x14ac:dyDescent="0.3">
      <c r="B115" s="114">
        <v>26.07</v>
      </c>
      <c r="C115" s="114">
        <f t="shared" si="0"/>
        <v>57.933333333333337</v>
      </c>
      <c r="D115" s="107">
        <f t="shared" si="1"/>
        <v>42.066666666666663</v>
      </c>
      <c r="E115" s="107">
        <v>63.24</v>
      </c>
      <c r="F115" s="218" t="s">
        <v>645</v>
      </c>
      <c r="G115" s="13">
        <v>1337</v>
      </c>
      <c r="H115" s="217" t="str">
        <f t="shared" si="2"/>
        <v>Perbaikan</v>
      </c>
      <c r="K115" s="217" t="s">
        <v>646</v>
      </c>
      <c r="L115" s="13">
        <v>1246</v>
      </c>
      <c r="Z115" s="111">
        <v>112</v>
      </c>
      <c r="AA115" s="111" t="s">
        <v>309</v>
      </c>
      <c r="AB115" s="111">
        <v>38</v>
      </c>
      <c r="AC115" s="112">
        <v>17.25</v>
      </c>
      <c r="AD115" s="112">
        <f t="shared" si="5"/>
        <v>38.333333333333336</v>
      </c>
      <c r="AE115" s="112">
        <v>13.58</v>
      </c>
      <c r="AF115" s="112">
        <v>58.83</v>
      </c>
      <c r="AG115" s="111" t="s">
        <v>641</v>
      </c>
      <c r="AH115" s="31"/>
    </row>
    <row r="116" spans="2:34" ht="15.75" customHeight="1" x14ac:dyDescent="0.3">
      <c r="B116" s="114">
        <v>23.26</v>
      </c>
      <c r="C116" s="114">
        <f t="shared" si="0"/>
        <v>51.688888888888897</v>
      </c>
      <c r="D116" s="107">
        <f t="shared" si="1"/>
        <v>48.311111111111103</v>
      </c>
      <c r="E116" s="107">
        <v>61.64</v>
      </c>
      <c r="F116" s="218" t="s">
        <v>645</v>
      </c>
      <c r="G116" s="13">
        <v>1246</v>
      </c>
      <c r="H116" s="217" t="str">
        <f t="shared" si="2"/>
        <v>Perbaikan</v>
      </c>
      <c r="K116" s="217" t="s">
        <v>646</v>
      </c>
      <c r="L116" s="13">
        <v>1372</v>
      </c>
      <c r="Z116" s="111">
        <v>113</v>
      </c>
      <c r="AA116" s="111" t="s">
        <v>274</v>
      </c>
      <c r="AB116" s="111">
        <v>45</v>
      </c>
      <c r="AC116" s="112">
        <v>5.3</v>
      </c>
      <c r="AD116" s="112">
        <f t="shared" si="5"/>
        <v>11.777777777777777</v>
      </c>
      <c r="AE116" s="112">
        <v>11.51</v>
      </c>
      <c r="AF116" s="112">
        <v>44.81</v>
      </c>
      <c r="AG116" s="111" t="s">
        <v>640</v>
      </c>
    </row>
    <row r="117" spans="2:34" ht="15.75" customHeight="1" x14ac:dyDescent="0.3">
      <c r="B117" s="114">
        <v>21.51</v>
      </c>
      <c r="C117" s="114">
        <f t="shared" si="0"/>
        <v>47.800000000000004</v>
      </c>
      <c r="D117" s="107">
        <f t="shared" si="1"/>
        <v>52.199999999999996</v>
      </c>
      <c r="E117" s="107">
        <v>59.82</v>
      </c>
      <c r="F117" s="218" t="s">
        <v>645</v>
      </c>
      <c r="G117" s="13">
        <v>1372</v>
      </c>
      <c r="H117" s="217" t="str">
        <f t="shared" si="2"/>
        <v>Perbaikan</v>
      </c>
      <c r="K117" s="217" t="s">
        <v>646</v>
      </c>
      <c r="L117" s="13">
        <v>695</v>
      </c>
      <c r="Z117" s="111">
        <v>114</v>
      </c>
      <c r="AA117" s="111" t="s">
        <v>369</v>
      </c>
      <c r="AB117" s="111">
        <v>461</v>
      </c>
      <c r="AC117" s="112">
        <v>22.88</v>
      </c>
      <c r="AD117" s="112">
        <f t="shared" si="5"/>
        <v>50.844444444444449</v>
      </c>
      <c r="AE117" s="112">
        <v>9.07</v>
      </c>
      <c r="AF117" s="112">
        <v>61.169999999999995</v>
      </c>
      <c r="AG117" s="111" t="s">
        <v>643</v>
      </c>
      <c r="AH117" s="31"/>
    </row>
    <row r="118" spans="2:34" ht="15.75" customHeight="1" x14ac:dyDescent="0.3">
      <c r="B118" s="114">
        <v>22.73</v>
      </c>
      <c r="C118" s="114">
        <f t="shared" si="0"/>
        <v>50.511111111111106</v>
      </c>
      <c r="D118" s="107">
        <f t="shared" si="1"/>
        <v>49.488888888888894</v>
      </c>
      <c r="E118" s="107">
        <v>63.25</v>
      </c>
      <c r="F118" s="218" t="s">
        <v>645</v>
      </c>
      <c r="G118" s="13">
        <v>695</v>
      </c>
      <c r="H118" s="217" t="str">
        <f t="shared" si="2"/>
        <v>Perbaikan</v>
      </c>
      <c r="K118" s="217" t="s">
        <v>646</v>
      </c>
      <c r="L118" s="13">
        <v>463</v>
      </c>
      <c r="Z118" s="111">
        <v>115</v>
      </c>
      <c r="AA118" s="111" t="s">
        <v>464</v>
      </c>
      <c r="AB118" s="111">
        <v>369</v>
      </c>
      <c r="AC118" s="112">
        <v>30.28</v>
      </c>
      <c r="AD118" s="112">
        <f t="shared" si="5"/>
        <v>67.288888888888891</v>
      </c>
      <c r="AE118" s="112">
        <v>12.7</v>
      </c>
      <c r="AF118" s="112">
        <v>65.81</v>
      </c>
      <c r="AG118" s="111" t="s">
        <v>641</v>
      </c>
    </row>
    <row r="119" spans="2:34" ht="15.75" customHeight="1" x14ac:dyDescent="0.3">
      <c r="B119" s="114">
        <v>23.63</v>
      </c>
      <c r="C119" s="114">
        <f t="shared" si="0"/>
        <v>52.511111111111106</v>
      </c>
      <c r="D119" s="107">
        <f t="shared" si="1"/>
        <v>47.488888888888894</v>
      </c>
      <c r="E119" s="107">
        <v>64.150000000000006</v>
      </c>
      <c r="F119" s="218" t="s">
        <v>645</v>
      </c>
      <c r="G119" s="13">
        <v>463</v>
      </c>
      <c r="H119" s="217" t="str">
        <f t="shared" si="2"/>
        <v>Perbaikan</v>
      </c>
      <c r="K119" s="217" t="s">
        <v>646</v>
      </c>
      <c r="L119" s="13">
        <v>296</v>
      </c>
      <c r="Z119" s="111">
        <v>116</v>
      </c>
      <c r="AA119" s="111" t="s">
        <v>304</v>
      </c>
      <c r="AB119" s="111">
        <v>281</v>
      </c>
      <c r="AC119" s="112">
        <v>16.149999999999999</v>
      </c>
      <c r="AD119" s="112">
        <f t="shared" si="5"/>
        <v>35.888888888888886</v>
      </c>
      <c r="AE119" s="112">
        <v>6.68</v>
      </c>
      <c r="AF119" s="112">
        <v>50.43</v>
      </c>
      <c r="AG119" s="111" t="s">
        <v>640</v>
      </c>
    </row>
    <row r="120" spans="2:34" ht="15.75" customHeight="1" x14ac:dyDescent="0.3">
      <c r="B120" s="114">
        <v>30.77</v>
      </c>
      <c r="C120" s="114">
        <f t="shared" si="0"/>
        <v>68.37777777777778</v>
      </c>
      <c r="D120" s="107">
        <f t="shared" si="1"/>
        <v>31.62222222222222</v>
      </c>
      <c r="E120" s="107">
        <v>58.779999999999994</v>
      </c>
      <c r="F120" s="218" t="s">
        <v>638</v>
      </c>
      <c r="G120" s="13">
        <v>296</v>
      </c>
      <c r="H120" s="217" t="str">
        <f t="shared" si="2"/>
        <v>Perbaikan</v>
      </c>
      <c r="K120" s="217" t="s">
        <v>646</v>
      </c>
      <c r="L120" s="116">
        <v>2581</v>
      </c>
      <c r="Z120" s="111">
        <v>117</v>
      </c>
      <c r="AA120" s="111" t="s">
        <v>460</v>
      </c>
      <c r="AB120" s="111">
        <v>332</v>
      </c>
      <c r="AC120" s="112">
        <v>29.52</v>
      </c>
      <c r="AD120" s="112">
        <f t="shared" si="5"/>
        <v>65.600000000000009</v>
      </c>
      <c r="AE120" s="112">
        <v>14.49</v>
      </c>
      <c r="AF120" s="112">
        <v>74.88</v>
      </c>
      <c r="AG120" s="111" t="s">
        <v>641</v>
      </c>
    </row>
    <row r="121" spans="2:34" ht="15.75" customHeight="1" x14ac:dyDescent="0.3">
      <c r="B121" s="105">
        <v>35.97</v>
      </c>
      <c r="C121" s="114">
        <f t="shared" si="0"/>
        <v>79.933333333333337</v>
      </c>
      <c r="D121" s="107">
        <f t="shared" si="1"/>
        <v>20.066666666666663</v>
      </c>
      <c r="E121" s="115">
        <v>66.02000000000001</v>
      </c>
      <c r="F121" s="218" t="s">
        <v>638</v>
      </c>
      <c r="G121" s="116">
        <v>2581</v>
      </c>
      <c r="H121" s="217" t="str">
        <f t="shared" si="2"/>
        <v>Perbaikan</v>
      </c>
      <c r="K121" s="217" t="s">
        <v>646</v>
      </c>
      <c r="L121" s="13">
        <v>1126</v>
      </c>
      <c r="Z121" s="111">
        <v>118</v>
      </c>
      <c r="AA121" s="111" t="s">
        <v>451</v>
      </c>
      <c r="AB121" s="111">
        <v>108</v>
      </c>
      <c r="AC121" s="112">
        <v>28.53</v>
      </c>
      <c r="AD121" s="112">
        <f t="shared" si="5"/>
        <v>63.4</v>
      </c>
      <c r="AE121" s="112">
        <v>10.52</v>
      </c>
      <c r="AF121" s="112">
        <v>68.36999999999999</v>
      </c>
      <c r="AG121" s="111" t="s">
        <v>641</v>
      </c>
    </row>
    <row r="122" spans="2:34" ht="15.75" customHeight="1" x14ac:dyDescent="0.3">
      <c r="B122" s="114">
        <v>23.01</v>
      </c>
      <c r="C122" s="114">
        <f t="shared" si="0"/>
        <v>51.13333333333334</v>
      </c>
      <c r="D122" s="107">
        <f t="shared" si="1"/>
        <v>48.86666666666666</v>
      </c>
      <c r="E122" s="107">
        <v>60.89</v>
      </c>
      <c r="F122" s="218" t="s">
        <v>645</v>
      </c>
      <c r="G122" s="13">
        <v>1126</v>
      </c>
      <c r="H122" s="217" t="str">
        <f t="shared" si="2"/>
        <v>Perbaikan</v>
      </c>
      <c r="K122" s="217" t="s">
        <v>646</v>
      </c>
      <c r="L122" s="116">
        <v>1523</v>
      </c>
      <c r="Z122" s="111">
        <v>119</v>
      </c>
      <c r="AA122" s="111" t="s">
        <v>393</v>
      </c>
      <c r="AB122" s="111">
        <v>98</v>
      </c>
      <c r="AC122" s="112">
        <v>24.05</v>
      </c>
      <c r="AD122" s="112">
        <f t="shared" si="5"/>
        <v>53.44444444444445</v>
      </c>
      <c r="AE122" s="112">
        <v>13.96</v>
      </c>
      <c r="AF122" s="112">
        <v>67.490000000000009</v>
      </c>
      <c r="AG122" s="111" t="s">
        <v>641</v>
      </c>
      <c r="AH122" s="31"/>
    </row>
    <row r="123" spans="2:34" ht="15.75" customHeight="1" x14ac:dyDescent="0.3">
      <c r="B123" s="114">
        <v>31.88</v>
      </c>
      <c r="C123" s="114">
        <f t="shared" si="0"/>
        <v>70.844444444444449</v>
      </c>
      <c r="D123" s="107">
        <f t="shared" si="1"/>
        <v>29.155555555555551</v>
      </c>
      <c r="E123" s="115">
        <v>67.22999999999999</v>
      </c>
      <c r="F123" s="218" t="s">
        <v>638</v>
      </c>
      <c r="G123" s="116">
        <v>1523</v>
      </c>
      <c r="H123" s="217" t="str">
        <f t="shared" si="2"/>
        <v>Perbaikan</v>
      </c>
      <c r="K123" s="217" t="s">
        <v>646</v>
      </c>
      <c r="L123" s="13">
        <v>1744</v>
      </c>
      <c r="Z123" s="111">
        <v>120</v>
      </c>
      <c r="AA123" s="111" t="s">
        <v>337</v>
      </c>
      <c r="AB123" s="111">
        <v>245</v>
      </c>
      <c r="AC123" s="112">
        <v>20.81</v>
      </c>
      <c r="AD123" s="112">
        <f t="shared" si="5"/>
        <v>46.24444444444444</v>
      </c>
      <c r="AE123" s="112">
        <v>14.04</v>
      </c>
      <c r="AF123" s="112">
        <v>64.27</v>
      </c>
      <c r="AG123" s="111" t="s">
        <v>641</v>
      </c>
      <c r="AH123" s="31"/>
    </row>
    <row r="124" spans="2:34" ht="15.75" customHeight="1" x14ac:dyDescent="0.3">
      <c r="B124" s="114">
        <v>25.02</v>
      </c>
      <c r="C124" s="114">
        <f t="shared" si="0"/>
        <v>55.599999999999994</v>
      </c>
      <c r="D124" s="107">
        <f t="shared" si="1"/>
        <v>44.400000000000006</v>
      </c>
      <c r="E124" s="107">
        <v>56.55</v>
      </c>
      <c r="F124" s="218" t="s">
        <v>645</v>
      </c>
      <c r="G124" s="13">
        <v>1744</v>
      </c>
      <c r="H124" s="217" t="str">
        <f t="shared" si="2"/>
        <v>Perbaikan</v>
      </c>
      <c r="K124" s="217" t="s">
        <v>646</v>
      </c>
      <c r="L124" s="116">
        <v>1909</v>
      </c>
      <c r="Z124" s="111">
        <v>121</v>
      </c>
      <c r="AA124" s="111" t="s">
        <v>290</v>
      </c>
      <c r="AB124" s="111">
        <v>113</v>
      </c>
      <c r="AC124" s="112">
        <v>13.38</v>
      </c>
      <c r="AD124" s="112">
        <f t="shared" si="5"/>
        <v>29.733333333333334</v>
      </c>
      <c r="AE124" s="112">
        <v>14.63</v>
      </c>
      <c r="AF124" s="112">
        <v>57.269999999999996</v>
      </c>
      <c r="AG124" s="111" t="s">
        <v>641</v>
      </c>
      <c r="AH124" s="31"/>
    </row>
    <row r="125" spans="2:34" ht="15.75" customHeight="1" x14ac:dyDescent="0.3">
      <c r="B125" s="114">
        <v>28.37</v>
      </c>
      <c r="C125" s="114">
        <f t="shared" si="0"/>
        <v>63.044444444444444</v>
      </c>
      <c r="D125" s="107">
        <f t="shared" si="1"/>
        <v>36.955555555555556</v>
      </c>
      <c r="E125" s="115">
        <v>59.48</v>
      </c>
      <c r="F125" s="218" t="s">
        <v>638</v>
      </c>
      <c r="G125" s="116">
        <v>1909</v>
      </c>
      <c r="H125" s="217" t="str">
        <f t="shared" si="2"/>
        <v>Perbaikan</v>
      </c>
      <c r="K125" s="217" t="s">
        <v>646</v>
      </c>
      <c r="L125" s="13">
        <v>1090</v>
      </c>
      <c r="Z125" s="111">
        <v>122</v>
      </c>
      <c r="AA125" s="111" t="s">
        <v>382</v>
      </c>
      <c r="AB125" s="111">
        <v>69</v>
      </c>
      <c r="AC125" s="112">
        <v>23.57</v>
      </c>
      <c r="AD125" s="112">
        <f t="shared" si="5"/>
        <v>52.37777777777778</v>
      </c>
      <c r="AE125" s="112">
        <v>13.47</v>
      </c>
      <c r="AF125" s="112">
        <v>67.22</v>
      </c>
      <c r="AG125" s="111" t="s">
        <v>641</v>
      </c>
      <c r="AH125" s="31"/>
    </row>
    <row r="126" spans="2:34" ht="15.75" customHeight="1" x14ac:dyDescent="0.3">
      <c r="B126" s="114">
        <v>18.850000000000001</v>
      </c>
      <c r="C126" s="114">
        <f t="shared" si="0"/>
        <v>41.888888888888893</v>
      </c>
      <c r="D126" s="107">
        <f t="shared" si="1"/>
        <v>58.111111111111107</v>
      </c>
      <c r="E126" s="107">
        <v>51.07</v>
      </c>
      <c r="F126" s="218" t="s">
        <v>645</v>
      </c>
      <c r="G126" s="13">
        <v>1008</v>
      </c>
      <c r="H126" s="217" t="str">
        <f t="shared" si="2"/>
        <v>Rehab J.I</v>
      </c>
      <c r="K126" s="217" t="s">
        <v>646</v>
      </c>
      <c r="L126" s="116">
        <v>1843</v>
      </c>
      <c r="Z126" s="111">
        <v>123</v>
      </c>
      <c r="AA126" s="111" t="s">
        <v>396</v>
      </c>
      <c r="AB126" s="111">
        <v>38</v>
      </c>
      <c r="AC126" s="112">
        <v>24.48</v>
      </c>
      <c r="AD126" s="112">
        <f t="shared" si="5"/>
        <v>54.400000000000006</v>
      </c>
      <c r="AE126" s="112">
        <v>13.36</v>
      </c>
      <c r="AF126" s="112">
        <v>68.260000000000005</v>
      </c>
      <c r="AG126" s="111" t="s">
        <v>641</v>
      </c>
      <c r="AH126" s="31"/>
    </row>
    <row r="127" spans="2:34" ht="15.75" customHeight="1" x14ac:dyDescent="0.3">
      <c r="B127" s="114">
        <v>23.44</v>
      </c>
      <c r="C127" s="114">
        <f t="shared" si="0"/>
        <v>52.088888888888896</v>
      </c>
      <c r="D127" s="107">
        <f t="shared" si="1"/>
        <v>47.911111111111104</v>
      </c>
      <c r="E127" s="107">
        <v>55.37</v>
      </c>
      <c r="F127" s="218" t="s">
        <v>645</v>
      </c>
      <c r="G127" s="13">
        <v>1090</v>
      </c>
      <c r="H127" s="217" t="str">
        <f t="shared" si="2"/>
        <v>Perbaikan</v>
      </c>
      <c r="K127" s="217" t="s">
        <v>646</v>
      </c>
      <c r="L127" s="13">
        <v>1879</v>
      </c>
      <c r="Z127" s="111">
        <v>124</v>
      </c>
      <c r="AA127" s="111" t="s">
        <v>410</v>
      </c>
      <c r="AB127" s="111">
        <v>445</v>
      </c>
      <c r="AC127" s="112">
        <v>25.55</v>
      </c>
      <c r="AD127" s="112">
        <f t="shared" si="5"/>
        <v>56.777777777777786</v>
      </c>
      <c r="AE127" s="112">
        <v>13.22</v>
      </c>
      <c r="AF127" s="112">
        <v>69.02000000000001</v>
      </c>
      <c r="AG127" s="111" t="s">
        <v>641</v>
      </c>
      <c r="AH127" s="31"/>
    </row>
    <row r="128" spans="2:34" ht="15.75" customHeight="1" x14ac:dyDescent="0.3">
      <c r="B128" s="105">
        <v>37.79</v>
      </c>
      <c r="C128" s="114">
        <f t="shared" si="0"/>
        <v>83.977777777777774</v>
      </c>
      <c r="D128" s="107">
        <f t="shared" si="1"/>
        <v>16.022222222222226</v>
      </c>
      <c r="E128" s="115">
        <v>72.739999999999995</v>
      </c>
      <c r="F128" s="218" t="s">
        <v>647</v>
      </c>
      <c r="G128" s="116">
        <v>1449</v>
      </c>
      <c r="H128" s="217" t="str">
        <f t="shared" si="2"/>
        <v>Perawatan</v>
      </c>
      <c r="K128" s="217" t="s">
        <v>646</v>
      </c>
      <c r="L128" s="13">
        <v>2323</v>
      </c>
      <c r="Z128" s="111">
        <v>125</v>
      </c>
      <c r="AA128" s="111" t="s">
        <v>341</v>
      </c>
      <c r="AB128" s="111">
        <v>62</v>
      </c>
      <c r="AC128" s="112">
        <v>21.06</v>
      </c>
      <c r="AD128" s="112">
        <f t="shared" si="5"/>
        <v>46.8</v>
      </c>
      <c r="AE128" s="112">
        <v>12.8</v>
      </c>
      <c r="AF128" s="112">
        <v>64.47</v>
      </c>
      <c r="AG128" s="111" t="s">
        <v>641</v>
      </c>
      <c r="AH128" s="31"/>
    </row>
    <row r="129" spans="2:34" ht="15.75" customHeight="1" x14ac:dyDescent="0.3">
      <c r="B129" s="114">
        <v>27.72</v>
      </c>
      <c r="C129" s="114">
        <f t="shared" si="0"/>
        <v>61.6</v>
      </c>
      <c r="D129" s="107">
        <f t="shared" si="1"/>
        <v>38.4</v>
      </c>
      <c r="E129" s="115">
        <v>61.67</v>
      </c>
      <c r="F129" s="218" t="s">
        <v>638</v>
      </c>
      <c r="G129" s="116">
        <v>1843</v>
      </c>
      <c r="H129" s="217" t="str">
        <f t="shared" si="2"/>
        <v>Perbaikan</v>
      </c>
      <c r="K129" s="217" t="s">
        <v>646</v>
      </c>
      <c r="L129" s="13">
        <v>1920</v>
      </c>
      <c r="Z129" s="111">
        <v>126</v>
      </c>
      <c r="AA129" s="111" t="s">
        <v>355</v>
      </c>
      <c r="AB129" s="111">
        <v>288</v>
      </c>
      <c r="AC129" s="112">
        <v>21.67</v>
      </c>
      <c r="AD129" s="112">
        <f t="shared" si="5"/>
        <v>48.155555555555559</v>
      </c>
      <c r="AE129" s="112">
        <v>11.75</v>
      </c>
      <c r="AF129" s="112">
        <v>63.960000000000008</v>
      </c>
      <c r="AG129" s="111" t="s">
        <v>643</v>
      </c>
      <c r="AH129" s="31"/>
    </row>
    <row r="130" spans="2:34" ht="15.75" customHeight="1" x14ac:dyDescent="0.3">
      <c r="B130" s="114">
        <v>31.79</v>
      </c>
      <c r="C130" s="114">
        <f t="shared" si="0"/>
        <v>70.644444444444446</v>
      </c>
      <c r="D130" s="107">
        <f t="shared" si="1"/>
        <v>29.355555555555554</v>
      </c>
      <c r="E130" s="115">
        <v>72.59</v>
      </c>
      <c r="F130" s="218" t="s">
        <v>638</v>
      </c>
      <c r="G130" s="116">
        <v>1057</v>
      </c>
      <c r="H130" s="217" t="str">
        <f t="shared" si="2"/>
        <v>Perawatan</v>
      </c>
      <c r="K130" s="217" t="s">
        <v>646</v>
      </c>
      <c r="L130" s="13">
        <v>1867</v>
      </c>
      <c r="Z130" s="111">
        <v>127</v>
      </c>
      <c r="AA130" s="111" t="s">
        <v>344</v>
      </c>
      <c r="AB130" s="111">
        <v>69</v>
      </c>
      <c r="AC130" s="112">
        <v>21.16</v>
      </c>
      <c r="AD130" s="112">
        <f t="shared" si="5"/>
        <v>47.022222222222219</v>
      </c>
      <c r="AE130" s="112">
        <v>13.72</v>
      </c>
      <c r="AF130" s="112">
        <v>64.61</v>
      </c>
      <c r="AG130" s="111" t="s">
        <v>641</v>
      </c>
      <c r="AH130" s="31"/>
    </row>
    <row r="131" spans="2:34" ht="15.75" customHeight="1" x14ac:dyDescent="0.3">
      <c r="B131" s="105">
        <v>38.119999999999997</v>
      </c>
      <c r="C131" s="114">
        <f t="shared" si="0"/>
        <v>84.711111111111109</v>
      </c>
      <c r="D131" s="107">
        <f t="shared" si="1"/>
        <v>15.288888888888891</v>
      </c>
      <c r="E131" s="115">
        <v>83.089999999999989</v>
      </c>
      <c r="F131" s="218" t="s">
        <v>647</v>
      </c>
      <c r="G131" s="116">
        <v>1393</v>
      </c>
      <c r="H131" s="217" t="str">
        <f t="shared" si="2"/>
        <v>Perawatan</v>
      </c>
      <c r="K131" s="217" t="s">
        <v>646</v>
      </c>
      <c r="L131" s="13">
        <v>1262</v>
      </c>
      <c r="Z131" s="111">
        <v>128</v>
      </c>
      <c r="AA131" s="111" t="s">
        <v>471</v>
      </c>
      <c r="AB131" s="111">
        <v>661</v>
      </c>
      <c r="AC131" s="112">
        <v>30.28</v>
      </c>
      <c r="AD131" s="112">
        <f t="shared" si="5"/>
        <v>67.288888888888891</v>
      </c>
      <c r="AE131" s="112">
        <v>10.27</v>
      </c>
      <c r="AF131" s="112">
        <v>70.829999999999984</v>
      </c>
      <c r="AG131" s="111" t="s">
        <v>641</v>
      </c>
    </row>
    <row r="132" spans="2:34" ht="15.75" customHeight="1" x14ac:dyDescent="0.3">
      <c r="B132" s="114">
        <v>28.1</v>
      </c>
      <c r="C132" s="114">
        <f t="shared" si="0"/>
        <v>62.44444444444445</v>
      </c>
      <c r="D132" s="107">
        <f t="shared" si="1"/>
        <v>37.55555555555555</v>
      </c>
      <c r="E132" s="107">
        <v>69.7</v>
      </c>
      <c r="F132" s="218" t="s">
        <v>638</v>
      </c>
      <c r="G132" s="13">
        <v>1447</v>
      </c>
      <c r="H132" s="217" t="str">
        <f t="shared" si="2"/>
        <v>Perawatan</v>
      </c>
      <c r="K132" s="217" t="s">
        <v>646</v>
      </c>
      <c r="L132" s="13">
        <v>1094</v>
      </c>
      <c r="Z132" s="111">
        <v>129</v>
      </c>
      <c r="AA132" s="111" t="s">
        <v>461</v>
      </c>
      <c r="AB132" s="111">
        <v>515</v>
      </c>
      <c r="AC132" s="112">
        <v>29.54</v>
      </c>
      <c r="AD132" s="112">
        <f t="shared" si="5"/>
        <v>65.644444444444446</v>
      </c>
      <c r="AE132" s="112">
        <v>8.2899999999999991</v>
      </c>
      <c r="AF132" s="112">
        <v>58.9</v>
      </c>
      <c r="AG132" s="111" t="s">
        <v>641</v>
      </c>
    </row>
    <row r="133" spans="2:34" ht="15.75" customHeight="1" x14ac:dyDescent="0.3">
      <c r="B133" s="114">
        <v>24.92</v>
      </c>
      <c r="C133" s="114">
        <f t="shared" si="0"/>
        <v>55.37777777777778</v>
      </c>
      <c r="D133" s="107">
        <f t="shared" si="1"/>
        <v>44.62222222222222</v>
      </c>
      <c r="E133" s="115">
        <v>70.320000000000007</v>
      </c>
      <c r="F133" s="218" t="s">
        <v>638</v>
      </c>
      <c r="G133" s="116">
        <v>1239</v>
      </c>
      <c r="H133" s="217" t="str">
        <f t="shared" si="2"/>
        <v>Perawatan</v>
      </c>
      <c r="K133" s="217" t="s">
        <v>646</v>
      </c>
      <c r="L133" s="13">
        <v>1151</v>
      </c>
      <c r="Z133" s="111">
        <v>130</v>
      </c>
      <c r="AA133" s="111" t="s">
        <v>466</v>
      </c>
      <c r="AB133" s="111">
        <v>293</v>
      </c>
      <c r="AC133" s="112">
        <v>29.84</v>
      </c>
      <c r="AD133" s="112">
        <f t="shared" si="5"/>
        <v>66.311111111111103</v>
      </c>
      <c r="AE133" s="112">
        <v>13.45</v>
      </c>
      <c r="AF133" s="112">
        <v>66.550000000000011</v>
      </c>
      <c r="AG133" s="111" t="s">
        <v>641</v>
      </c>
    </row>
    <row r="134" spans="2:34" ht="15.75" customHeight="1" x14ac:dyDescent="0.3">
      <c r="B134" s="105">
        <v>36.950000000000003</v>
      </c>
      <c r="C134" s="114">
        <f t="shared" si="0"/>
        <v>82.111111111111114</v>
      </c>
      <c r="D134" s="107">
        <f t="shared" si="1"/>
        <v>17.888888888888886</v>
      </c>
      <c r="E134" s="115">
        <v>82.660000000000011</v>
      </c>
      <c r="F134" s="218" t="s">
        <v>647</v>
      </c>
      <c r="G134" s="116">
        <v>1244</v>
      </c>
      <c r="H134" s="217" t="str">
        <f t="shared" si="2"/>
        <v>Perawatan</v>
      </c>
      <c r="K134" s="217" t="s">
        <v>646</v>
      </c>
      <c r="L134" s="116">
        <v>319</v>
      </c>
      <c r="Z134" s="111">
        <v>131</v>
      </c>
      <c r="AA134" s="111" t="s">
        <v>474</v>
      </c>
      <c r="AB134" s="111">
        <v>971</v>
      </c>
      <c r="AC134" s="112">
        <v>32.36</v>
      </c>
      <c r="AD134" s="112">
        <f t="shared" si="5"/>
        <v>71.911111111111111</v>
      </c>
      <c r="AE134" s="112">
        <v>11.79</v>
      </c>
      <c r="AF134" s="112">
        <v>60.83</v>
      </c>
      <c r="AG134" s="111" t="s">
        <v>641</v>
      </c>
    </row>
    <row r="135" spans="2:34" ht="15.75" customHeight="1" x14ac:dyDescent="0.3">
      <c r="B135" s="114">
        <v>21.97</v>
      </c>
      <c r="C135" s="114">
        <f t="shared" si="0"/>
        <v>48.822222222222223</v>
      </c>
      <c r="D135" s="107">
        <f t="shared" si="1"/>
        <v>51.177777777777777</v>
      </c>
      <c r="E135" s="107">
        <v>57.39</v>
      </c>
      <c r="F135" s="218" t="s">
        <v>645</v>
      </c>
      <c r="G135" s="13">
        <v>1879</v>
      </c>
      <c r="H135" s="217" t="str">
        <f t="shared" si="2"/>
        <v>Perbaikan</v>
      </c>
      <c r="K135" s="217" t="s">
        <v>646</v>
      </c>
      <c r="L135" s="13">
        <v>350</v>
      </c>
      <c r="Z135" s="111">
        <v>132</v>
      </c>
      <c r="AA135" s="111" t="s">
        <v>470</v>
      </c>
      <c r="AB135" s="111">
        <v>638</v>
      </c>
      <c r="AC135" s="112">
        <v>30.12</v>
      </c>
      <c r="AD135" s="112">
        <f t="shared" si="5"/>
        <v>66.933333333333337</v>
      </c>
      <c r="AE135" s="112">
        <v>12.8</v>
      </c>
      <c r="AF135" s="112">
        <v>67.100000000000009</v>
      </c>
      <c r="AG135" s="111" t="s">
        <v>641</v>
      </c>
    </row>
    <row r="136" spans="2:34" ht="15.75" customHeight="1" x14ac:dyDescent="0.3">
      <c r="B136" s="114">
        <v>30.37</v>
      </c>
      <c r="C136" s="114">
        <f t="shared" si="0"/>
        <v>67.48888888888888</v>
      </c>
      <c r="D136" s="107">
        <f t="shared" si="1"/>
        <v>32.51111111111112</v>
      </c>
      <c r="E136" s="115">
        <v>73.72</v>
      </c>
      <c r="F136" s="218" t="s">
        <v>638</v>
      </c>
      <c r="G136" s="116">
        <v>2188</v>
      </c>
      <c r="H136" s="217" t="str">
        <f t="shared" si="2"/>
        <v>Perawatan</v>
      </c>
      <c r="K136" s="217" t="s">
        <v>646</v>
      </c>
      <c r="L136" s="13">
        <v>80</v>
      </c>
      <c r="Z136" s="111">
        <v>133</v>
      </c>
      <c r="AA136" s="111" t="s">
        <v>477</v>
      </c>
      <c r="AB136" s="111">
        <v>1911</v>
      </c>
      <c r="AC136" s="112">
        <v>34</v>
      </c>
      <c r="AD136" s="112">
        <f t="shared" si="5"/>
        <v>75.555555555555557</v>
      </c>
      <c r="AE136" s="112">
        <v>12.5</v>
      </c>
      <c r="AF136" s="112">
        <v>67.28</v>
      </c>
      <c r="AG136" s="111" t="s">
        <v>641</v>
      </c>
    </row>
    <row r="137" spans="2:34" ht="15.75" customHeight="1" x14ac:dyDescent="0.3">
      <c r="B137" s="114">
        <v>28.8</v>
      </c>
      <c r="C137" s="114">
        <f t="shared" si="0"/>
        <v>64</v>
      </c>
      <c r="D137" s="107">
        <f t="shared" si="1"/>
        <v>36</v>
      </c>
      <c r="E137" s="115">
        <v>69.569999999999993</v>
      </c>
      <c r="F137" s="218" t="s">
        <v>638</v>
      </c>
      <c r="G137" s="116">
        <v>2056</v>
      </c>
      <c r="H137" s="217" t="str">
        <f t="shared" si="2"/>
        <v>Perawatan</v>
      </c>
      <c r="K137" s="217" t="s">
        <v>646</v>
      </c>
      <c r="L137" s="13">
        <v>1074</v>
      </c>
      <c r="Z137" s="111">
        <v>134</v>
      </c>
      <c r="AA137" s="111" t="s">
        <v>445</v>
      </c>
      <c r="AB137" s="111">
        <v>1232</v>
      </c>
      <c r="AC137" s="112">
        <v>27.63</v>
      </c>
      <c r="AD137" s="112">
        <f t="shared" si="5"/>
        <v>61.4</v>
      </c>
      <c r="AE137" s="112">
        <v>11.6</v>
      </c>
      <c r="AF137" s="112">
        <v>51.629999999999995</v>
      </c>
      <c r="AG137" s="111" t="s">
        <v>641</v>
      </c>
      <c r="AH137" s="31"/>
    </row>
    <row r="138" spans="2:34" ht="15.75" customHeight="1" x14ac:dyDescent="0.3">
      <c r="B138" s="114">
        <v>20.18</v>
      </c>
      <c r="C138" s="114">
        <f t="shared" si="0"/>
        <v>44.844444444444441</v>
      </c>
      <c r="D138" s="107">
        <f t="shared" si="1"/>
        <v>55.155555555555559</v>
      </c>
      <c r="E138" s="107">
        <v>62.86</v>
      </c>
      <c r="F138" s="218" t="s">
        <v>645</v>
      </c>
      <c r="G138" s="13">
        <v>2323</v>
      </c>
      <c r="H138" s="217" t="str">
        <f t="shared" si="2"/>
        <v>Perbaikan</v>
      </c>
      <c r="K138" s="217" t="s">
        <v>646</v>
      </c>
      <c r="L138" s="116">
        <v>2184</v>
      </c>
      <c r="Z138" s="111">
        <v>135</v>
      </c>
      <c r="AA138" s="111" t="s">
        <v>278</v>
      </c>
      <c r="AB138" s="111">
        <v>50</v>
      </c>
      <c r="AC138" s="112">
        <v>12.03</v>
      </c>
      <c r="AD138" s="112">
        <f t="shared" si="5"/>
        <v>26.733333333333331</v>
      </c>
      <c r="AE138" s="112">
        <v>9.94</v>
      </c>
      <c r="AF138" s="112">
        <v>48.529999999999994</v>
      </c>
      <c r="AG138" s="111" t="s">
        <v>640</v>
      </c>
    </row>
    <row r="139" spans="2:34" ht="15.75" customHeight="1" x14ac:dyDescent="0.3">
      <c r="B139" s="114">
        <v>22.26</v>
      </c>
      <c r="C139" s="114">
        <f t="shared" si="0"/>
        <v>49.466666666666669</v>
      </c>
      <c r="D139" s="107">
        <f t="shared" si="1"/>
        <v>50.533333333333331</v>
      </c>
      <c r="E139" s="107">
        <v>65.430000000000007</v>
      </c>
      <c r="F139" s="218" t="s">
        <v>645</v>
      </c>
      <c r="G139" s="13">
        <v>1920</v>
      </c>
      <c r="H139" s="217" t="str">
        <f t="shared" si="2"/>
        <v>Perbaikan</v>
      </c>
      <c r="K139" s="217" t="s">
        <v>646</v>
      </c>
      <c r="L139" s="116">
        <v>1736</v>
      </c>
      <c r="Z139" s="111">
        <v>136</v>
      </c>
      <c r="AA139" s="111" t="s">
        <v>472</v>
      </c>
      <c r="AB139" s="111">
        <v>1155</v>
      </c>
      <c r="AC139" s="112">
        <v>30.33</v>
      </c>
      <c r="AD139" s="112">
        <f t="shared" si="5"/>
        <v>67.399999999999991</v>
      </c>
      <c r="AE139" s="112">
        <v>11.34</v>
      </c>
      <c r="AF139" s="112">
        <v>65.81</v>
      </c>
      <c r="AG139" s="111" t="s">
        <v>641</v>
      </c>
    </row>
    <row r="140" spans="2:34" ht="15.75" customHeight="1" x14ac:dyDescent="0.3">
      <c r="B140" s="114">
        <v>25.75</v>
      </c>
      <c r="C140" s="114">
        <f t="shared" si="0"/>
        <v>57.222222222222221</v>
      </c>
      <c r="D140" s="107">
        <f t="shared" si="1"/>
        <v>42.777777777777779</v>
      </c>
      <c r="E140" s="107">
        <v>67.86</v>
      </c>
      <c r="F140" s="218" t="s">
        <v>645</v>
      </c>
      <c r="G140" s="13">
        <v>1867</v>
      </c>
      <c r="H140" s="217" t="str">
        <f t="shared" si="2"/>
        <v>Perbaikan</v>
      </c>
      <c r="K140" s="217" t="s">
        <v>646</v>
      </c>
      <c r="L140" s="29">
        <v>1074</v>
      </c>
      <c r="Z140" s="111">
        <v>137</v>
      </c>
      <c r="AA140" s="111" t="s">
        <v>362</v>
      </c>
      <c r="AB140" s="111">
        <v>422</v>
      </c>
      <c r="AC140" s="112">
        <v>22.5</v>
      </c>
      <c r="AD140" s="112">
        <f t="shared" si="5"/>
        <v>50</v>
      </c>
      <c r="AE140" s="112">
        <v>6.58</v>
      </c>
      <c r="AF140" s="112">
        <v>54.489999999999995</v>
      </c>
      <c r="AG140" s="111" t="s">
        <v>640</v>
      </c>
    </row>
    <row r="141" spans="2:34" ht="15.75" customHeight="1" x14ac:dyDescent="0.3">
      <c r="B141" s="114">
        <v>23.34</v>
      </c>
      <c r="C141" s="114">
        <f t="shared" si="0"/>
        <v>51.86666666666666</v>
      </c>
      <c r="D141" s="107">
        <f t="shared" si="1"/>
        <v>48.13333333333334</v>
      </c>
      <c r="E141" s="107">
        <v>68.260000000000005</v>
      </c>
      <c r="F141" s="218" t="s">
        <v>645</v>
      </c>
      <c r="G141" s="13">
        <v>1262</v>
      </c>
      <c r="H141" s="217" t="str">
        <f t="shared" si="2"/>
        <v>Perbaikan</v>
      </c>
      <c r="K141" s="217" t="s">
        <v>646</v>
      </c>
      <c r="L141" s="13">
        <v>1424</v>
      </c>
      <c r="Z141" s="111">
        <v>138</v>
      </c>
      <c r="AA141" s="111" t="s">
        <v>480</v>
      </c>
      <c r="AB141" s="111">
        <v>194</v>
      </c>
      <c r="AC141" s="112">
        <v>32.479999999999997</v>
      </c>
      <c r="AD141" s="112">
        <f t="shared" si="5"/>
        <v>72.177777777777777</v>
      </c>
      <c r="AE141" s="112">
        <v>10.26</v>
      </c>
      <c r="AF141" s="112">
        <v>66.86</v>
      </c>
      <c r="AG141" s="111" t="s">
        <v>641</v>
      </c>
    </row>
    <row r="142" spans="2:34" ht="15.75" customHeight="1" x14ac:dyDescent="0.3">
      <c r="B142" s="114">
        <v>19.23</v>
      </c>
      <c r="C142" s="114">
        <f t="shared" si="0"/>
        <v>42.733333333333334</v>
      </c>
      <c r="D142" s="107">
        <f t="shared" si="1"/>
        <v>57.266666666666666</v>
      </c>
      <c r="E142" s="107">
        <v>57.57</v>
      </c>
      <c r="F142" s="218" t="s">
        <v>645</v>
      </c>
      <c r="G142" s="13">
        <v>1094</v>
      </c>
      <c r="H142" s="217" t="str">
        <f t="shared" si="2"/>
        <v>Perbaikan</v>
      </c>
      <c r="K142" s="217" t="s">
        <v>648</v>
      </c>
      <c r="L142" s="14">
        <v>527</v>
      </c>
      <c r="Z142" s="111">
        <v>139</v>
      </c>
      <c r="AA142" s="111" t="s">
        <v>481</v>
      </c>
      <c r="AB142" s="111">
        <v>684</v>
      </c>
      <c r="AC142" s="112">
        <v>32.549999999999997</v>
      </c>
      <c r="AD142" s="112">
        <f t="shared" si="5"/>
        <v>72.333333333333329</v>
      </c>
      <c r="AE142" s="112">
        <v>12.16</v>
      </c>
      <c r="AF142" s="112">
        <v>66.789999999999992</v>
      </c>
      <c r="AG142" s="111" t="s">
        <v>641</v>
      </c>
    </row>
    <row r="143" spans="2:34" ht="15.75" customHeight="1" x14ac:dyDescent="0.3">
      <c r="B143" s="114">
        <v>28.09</v>
      </c>
      <c r="C143" s="114">
        <f t="shared" si="0"/>
        <v>62.422222222222224</v>
      </c>
      <c r="D143" s="107">
        <f t="shared" si="1"/>
        <v>37.577777777777776</v>
      </c>
      <c r="E143" s="107">
        <v>73.210000000000008</v>
      </c>
      <c r="F143" s="218" t="s">
        <v>638</v>
      </c>
      <c r="G143" s="13">
        <v>1088</v>
      </c>
      <c r="H143" s="217" t="str">
        <f t="shared" si="2"/>
        <v>Perawatan</v>
      </c>
      <c r="K143" s="217" t="s">
        <v>648</v>
      </c>
      <c r="L143" s="14">
        <v>32</v>
      </c>
      <c r="Z143" s="111">
        <v>140</v>
      </c>
      <c r="AA143" s="111" t="s">
        <v>463</v>
      </c>
      <c r="AB143" s="111">
        <v>461</v>
      </c>
      <c r="AC143" s="112">
        <v>29.73</v>
      </c>
      <c r="AD143" s="112">
        <f t="shared" si="5"/>
        <v>66.066666666666663</v>
      </c>
      <c r="AE143" s="112">
        <v>10.18</v>
      </c>
      <c r="AF143" s="112">
        <v>68.52</v>
      </c>
      <c r="AG143" s="111" t="s">
        <v>641</v>
      </c>
    </row>
    <row r="144" spans="2:34" ht="15.75" customHeight="1" x14ac:dyDescent="0.3">
      <c r="B144" s="114">
        <v>21.41</v>
      </c>
      <c r="C144" s="114">
        <f t="shared" si="0"/>
        <v>47.577777777777783</v>
      </c>
      <c r="D144" s="107">
        <f t="shared" si="1"/>
        <v>52.422222222222217</v>
      </c>
      <c r="E144" s="107">
        <v>57.480000000000004</v>
      </c>
      <c r="F144" s="218" t="s">
        <v>645</v>
      </c>
      <c r="G144" s="13">
        <v>1151</v>
      </c>
      <c r="H144" s="217" t="str">
        <f t="shared" si="2"/>
        <v>Perbaikan</v>
      </c>
      <c r="K144" s="217" t="s">
        <v>648</v>
      </c>
      <c r="L144" s="14">
        <v>59</v>
      </c>
      <c r="Z144" s="111">
        <v>141</v>
      </c>
      <c r="AA144" s="111" t="s">
        <v>484</v>
      </c>
      <c r="AB144" s="111">
        <v>1554</v>
      </c>
      <c r="AC144" s="112">
        <v>32.68</v>
      </c>
      <c r="AD144" s="112">
        <f t="shared" si="5"/>
        <v>72.62222222222222</v>
      </c>
      <c r="AE144" s="112">
        <v>10.130000000000001</v>
      </c>
      <c r="AF144" s="112">
        <v>73.460000000000008</v>
      </c>
      <c r="AG144" s="111" t="s">
        <v>641</v>
      </c>
    </row>
    <row r="145" spans="2:34" ht="15.75" customHeight="1" x14ac:dyDescent="0.3">
      <c r="B145" s="114">
        <v>22.33</v>
      </c>
      <c r="C145" s="114">
        <f t="shared" si="0"/>
        <v>49.62222222222222</v>
      </c>
      <c r="D145" s="107">
        <f t="shared" si="1"/>
        <v>50.37777777777778</v>
      </c>
      <c r="E145" s="115">
        <v>61.510000000000005</v>
      </c>
      <c r="F145" s="218" t="s">
        <v>645</v>
      </c>
      <c r="G145" s="116">
        <v>319</v>
      </c>
      <c r="H145" s="217" t="str">
        <f t="shared" si="2"/>
        <v>Perbaikan</v>
      </c>
      <c r="K145" s="217" t="s">
        <v>648</v>
      </c>
      <c r="L145" s="14">
        <v>551</v>
      </c>
      <c r="Z145" s="111">
        <v>142</v>
      </c>
      <c r="AA145" s="111" t="s">
        <v>453</v>
      </c>
      <c r="AB145" s="111">
        <v>745</v>
      </c>
      <c r="AC145" s="112">
        <v>28.63</v>
      </c>
      <c r="AD145" s="112">
        <f t="shared" si="5"/>
        <v>63.622222222222227</v>
      </c>
      <c r="AE145" s="112">
        <v>10.16</v>
      </c>
      <c r="AF145" s="112">
        <v>66.759999999999991</v>
      </c>
      <c r="AG145" s="111" t="s">
        <v>641</v>
      </c>
    </row>
    <row r="146" spans="2:34" ht="15.75" customHeight="1" x14ac:dyDescent="0.3">
      <c r="B146" s="114">
        <v>26.08</v>
      </c>
      <c r="C146" s="114">
        <f t="shared" si="0"/>
        <v>57.955555555555549</v>
      </c>
      <c r="D146" s="107">
        <f t="shared" si="1"/>
        <v>42.044444444444451</v>
      </c>
      <c r="E146" s="107">
        <v>72.219999999999985</v>
      </c>
      <c r="F146" s="218" t="s">
        <v>638</v>
      </c>
      <c r="G146" s="13">
        <v>309</v>
      </c>
      <c r="H146" s="217" t="str">
        <f t="shared" si="2"/>
        <v>Perawatan</v>
      </c>
      <c r="K146" s="217" t="s">
        <v>648</v>
      </c>
      <c r="L146" s="14">
        <v>461</v>
      </c>
      <c r="Z146" s="111">
        <v>143</v>
      </c>
      <c r="AA146" s="111" t="s">
        <v>422</v>
      </c>
      <c r="AB146" s="111">
        <v>230</v>
      </c>
      <c r="AC146" s="112">
        <v>26.37</v>
      </c>
      <c r="AD146" s="112">
        <f t="shared" si="5"/>
        <v>58.600000000000009</v>
      </c>
      <c r="AE146" s="112">
        <v>13.38</v>
      </c>
      <c r="AF146" s="112">
        <v>67.739999999999995</v>
      </c>
      <c r="AG146" s="111" t="s">
        <v>641</v>
      </c>
      <c r="AH146" s="31"/>
    </row>
    <row r="147" spans="2:34" ht="15.75" customHeight="1" x14ac:dyDescent="0.3">
      <c r="B147" s="114">
        <v>19.32</v>
      </c>
      <c r="C147" s="114">
        <f t="shared" si="0"/>
        <v>42.933333333333337</v>
      </c>
      <c r="D147" s="107">
        <f t="shared" si="1"/>
        <v>57.066666666666663</v>
      </c>
      <c r="E147" s="107">
        <v>57.34</v>
      </c>
      <c r="F147" s="218" t="s">
        <v>645</v>
      </c>
      <c r="G147" s="13">
        <v>350</v>
      </c>
      <c r="H147" s="217" t="str">
        <f t="shared" si="2"/>
        <v>Perbaikan</v>
      </c>
      <c r="K147" s="217" t="s">
        <v>648</v>
      </c>
      <c r="L147" s="117">
        <v>971</v>
      </c>
      <c r="Z147" s="111">
        <v>144</v>
      </c>
      <c r="AA147" s="111" t="s">
        <v>407</v>
      </c>
      <c r="AB147" s="111">
        <v>215</v>
      </c>
      <c r="AC147" s="112">
        <v>25.35</v>
      </c>
      <c r="AD147" s="112">
        <f t="shared" si="5"/>
        <v>56.333333333333336</v>
      </c>
      <c r="AE147" s="112">
        <v>5.77</v>
      </c>
      <c r="AF147" s="112">
        <v>60.89</v>
      </c>
      <c r="AG147" s="111" t="s">
        <v>643</v>
      </c>
      <c r="AH147" s="31"/>
    </row>
    <row r="148" spans="2:34" ht="15.75" customHeight="1" x14ac:dyDescent="0.3">
      <c r="B148" s="114">
        <v>24.78</v>
      </c>
      <c r="C148" s="114">
        <f t="shared" si="0"/>
        <v>55.066666666666663</v>
      </c>
      <c r="D148" s="107">
        <f t="shared" si="1"/>
        <v>44.933333333333337</v>
      </c>
      <c r="E148" s="107">
        <v>73.62</v>
      </c>
      <c r="F148" s="218" t="s">
        <v>638</v>
      </c>
      <c r="G148" s="13">
        <v>63</v>
      </c>
      <c r="H148" s="217" t="str">
        <f t="shared" si="2"/>
        <v>Perawatan</v>
      </c>
      <c r="K148" s="217" t="s">
        <v>648</v>
      </c>
      <c r="L148" s="117">
        <v>1911</v>
      </c>
      <c r="Z148" s="111">
        <v>145</v>
      </c>
      <c r="AA148" s="111" t="s">
        <v>328</v>
      </c>
      <c r="AB148" s="111">
        <v>165</v>
      </c>
      <c r="AC148" s="112">
        <v>20.22</v>
      </c>
      <c r="AD148" s="112">
        <f t="shared" si="5"/>
        <v>44.93333333333333</v>
      </c>
      <c r="AE148" s="112">
        <v>11.76</v>
      </c>
      <c r="AF148" s="112">
        <v>62.11</v>
      </c>
      <c r="AG148" s="111" t="s">
        <v>643</v>
      </c>
      <c r="AH148" s="31"/>
    </row>
    <row r="149" spans="2:34" ht="15.75" customHeight="1" x14ac:dyDescent="0.3">
      <c r="B149" s="114">
        <v>26.2</v>
      </c>
      <c r="C149" s="114">
        <f t="shared" si="0"/>
        <v>58.222222222222221</v>
      </c>
      <c r="D149" s="107">
        <f t="shared" si="1"/>
        <v>41.777777777777779</v>
      </c>
      <c r="E149" s="113">
        <v>71.33</v>
      </c>
      <c r="F149" s="218" t="s">
        <v>638</v>
      </c>
      <c r="G149" s="29">
        <v>777</v>
      </c>
      <c r="H149" s="217" t="str">
        <f t="shared" si="2"/>
        <v>Perawatan</v>
      </c>
      <c r="K149" s="217" t="s">
        <v>648</v>
      </c>
      <c r="L149" s="30">
        <v>1055</v>
      </c>
      <c r="Z149" s="111">
        <v>146</v>
      </c>
      <c r="AA149" s="111" t="s">
        <v>321</v>
      </c>
      <c r="AB149" s="111">
        <v>629</v>
      </c>
      <c r="AC149" s="112">
        <v>19.66</v>
      </c>
      <c r="AD149" s="112">
        <f t="shared" si="5"/>
        <v>43.68888888888889</v>
      </c>
      <c r="AE149" s="112">
        <v>7.1</v>
      </c>
      <c r="AF149" s="112">
        <v>53.59</v>
      </c>
      <c r="AG149" s="111" t="s">
        <v>643</v>
      </c>
      <c r="AH149" s="31"/>
    </row>
    <row r="150" spans="2:34" ht="15.75" customHeight="1" x14ac:dyDescent="0.3">
      <c r="B150" s="105">
        <v>24.52</v>
      </c>
      <c r="C150" s="114">
        <f t="shared" si="0"/>
        <v>54.488888888888887</v>
      </c>
      <c r="D150" s="107">
        <f t="shared" si="1"/>
        <v>45.511111111111113</v>
      </c>
      <c r="E150" s="107">
        <v>63.31</v>
      </c>
      <c r="F150" s="218" t="s">
        <v>645</v>
      </c>
      <c r="G150" s="13">
        <v>80</v>
      </c>
      <c r="H150" s="217" t="str">
        <f t="shared" si="2"/>
        <v>Perbaikan</v>
      </c>
      <c r="K150" s="217" t="s">
        <v>648</v>
      </c>
      <c r="L150" s="14">
        <v>1475</v>
      </c>
      <c r="Z150" s="111">
        <v>147</v>
      </c>
      <c r="AA150" s="111" t="s">
        <v>487</v>
      </c>
      <c r="AB150" s="111">
        <v>2340</v>
      </c>
      <c r="AC150" s="112">
        <v>33.08</v>
      </c>
      <c r="AD150" s="112">
        <f t="shared" si="5"/>
        <v>73.511111111111106</v>
      </c>
      <c r="AE150" s="112">
        <v>11.7</v>
      </c>
      <c r="AF150" s="112">
        <v>65.459999999999994</v>
      </c>
      <c r="AG150" s="111" t="s">
        <v>641</v>
      </c>
    </row>
    <row r="151" spans="2:34" ht="15.75" customHeight="1" x14ac:dyDescent="0.3">
      <c r="B151" s="114">
        <v>23.65</v>
      </c>
      <c r="C151" s="114">
        <f t="shared" si="0"/>
        <v>52.555555555555557</v>
      </c>
      <c r="D151" s="107">
        <f t="shared" si="1"/>
        <v>47.444444444444443</v>
      </c>
      <c r="E151" s="107">
        <v>57.150000000000006</v>
      </c>
      <c r="F151" s="218" t="s">
        <v>645</v>
      </c>
      <c r="G151" s="13">
        <v>1074</v>
      </c>
      <c r="H151" s="217" t="str">
        <f t="shared" si="2"/>
        <v>Perbaikan</v>
      </c>
      <c r="K151" s="217" t="s">
        <v>648</v>
      </c>
      <c r="L151" s="30">
        <v>1120</v>
      </c>
      <c r="Z151" s="111">
        <v>148</v>
      </c>
      <c r="AA151" s="111" t="s">
        <v>413</v>
      </c>
      <c r="AB151" s="111">
        <v>789</v>
      </c>
      <c r="AC151" s="112">
        <v>25.65</v>
      </c>
      <c r="AD151" s="112">
        <f t="shared" si="5"/>
        <v>56.999999999999993</v>
      </c>
      <c r="AE151" s="112">
        <v>7.99</v>
      </c>
      <c r="AF151" s="112">
        <v>62.3</v>
      </c>
      <c r="AG151" s="111" t="s">
        <v>643</v>
      </c>
      <c r="AH151" s="31"/>
    </row>
    <row r="152" spans="2:34" ht="15.75" customHeight="1" x14ac:dyDescent="0.3">
      <c r="B152" s="114">
        <v>27.53</v>
      </c>
      <c r="C152" s="114">
        <f t="shared" si="0"/>
        <v>61.177777777777777</v>
      </c>
      <c r="D152" s="107">
        <f t="shared" si="1"/>
        <v>38.822222222222223</v>
      </c>
      <c r="E152" s="107">
        <v>73.600000000000009</v>
      </c>
      <c r="F152" s="218" t="s">
        <v>638</v>
      </c>
      <c r="G152" s="13">
        <v>1499</v>
      </c>
      <c r="H152" s="217" t="str">
        <f t="shared" si="2"/>
        <v>Perawatan</v>
      </c>
      <c r="K152" s="217" t="s">
        <v>648</v>
      </c>
      <c r="L152" s="14">
        <v>1779</v>
      </c>
      <c r="Z152" s="111">
        <v>149</v>
      </c>
      <c r="AA152" s="111" t="s">
        <v>300</v>
      </c>
      <c r="AB152" s="111">
        <v>209</v>
      </c>
      <c r="AC152" s="112">
        <v>15.05</v>
      </c>
      <c r="AD152" s="112">
        <f t="shared" si="5"/>
        <v>33.444444444444443</v>
      </c>
      <c r="AE152" s="112">
        <v>11</v>
      </c>
      <c r="AF152" s="112">
        <v>52.18</v>
      </c>
      <c r="AG152" s="111" t="s">
        <v>640</v>
      </c>
    </row>
    <row r="153" spans="2:34" ht="15.75" customHeight="1" x14ac:dyDescent="0.3">
      <c r="B153" s="114">
        <v>27.6</v>
      </c>
      <c r="C153" s="114">
        <f t="shared" si="0"/>
        <v>61.333333333333343</v>
      </c>
      <c r="D153" s="107">
        <f t="shared" si="1"/>
        <v>38.666666666666657</v>
      </c>
      <c r="E153" s="115">
        <v>60.95</v>
      </c>
      <c r="F153" s="218" t="s">
        <v>638</v>
      </c>
      <c r="G153" s="116">
        <v>2184</v>
      </c>
      <c r="H153" s="217" t="str">
        <f t="shared" si="2"/>
        <v>Perbaikan</v>
      </c>
      <c r="K153" s="217" t="s">
        <v>648</v>
      </c>
      <c r="L153" s="13">
        <v>194</v>
      </c>
      <c r="Z153" s="111">
        <v>150</v>
      </c>
      <c r="AA153" s="111" t="s">
        <v>295</v>
      </c>
      <c r="AB153" s="111">
        <v>13</v>
      </c>
      <c r="AC153" s="112">
        <v>13.9</v>
      </c>
      <c r="AD153" s="112">
        <f t="shared" si="5"/>
        <v>30.888888888888889</v>
      </c>
      <c r="AE153" s="112">
        <v>14.25</v>
      </c>
      <c r="AF153" s="112">
        <v>58.36</v>
      </c>
      <c r="AG153" s="111" t="s">
        <v>641</v>
      </c>
      <c r="AH153" s="31"/>
    </row>
    <row r="154" spans="2:34" ht="15.75" customHeight="1" x14ac:dyDescent="0.3">
      <c r="B154" s="114">
        <v>24.43</v>
      </c>
      <c r="C154" s="114">
        <f t="shared" si="0"/>
        <v>54.288888888888884</v>
      </c>
      <c r="D154" s="107">
        <f t="shared" si="1"/>
        <v>45.711111111111116</v>
      </c>
      <c r="E154" s="115">
        <v>55.480000000000004</v>
      </c>
      <c r="F154" s="218" t="s">
        <v>645</v>
      </c>
      <c r="G154" s="116">
        <v>1736</v>
      </c>
      <c r="H154" s="217" t="str">
        <f t="shared" si="2"/>
        <v>Perbaikan</v>
      </c>
      <c r="K154" s="217" t="s">
        <v>648</v>
      </c>
      <c r="L154" s="13">
        <v>50</v>
      </c>
      <c r="Z154" s="111">
        <v>151</v>
      </c>
      <c r="AA154" s="111" t="s">
        <v>449</v>
      </c>
      <c r="AB154" s="111">
        <v>20</v>
      </c>
      <c r="AC154" s="112">
        <v>28</v>
      </c>
      <c r="AD154" s="112">
        <f t="shared" si="5"/>
        <v>62.222222222222221</v>
      </c>
      <c r="AE154" s="112">
        <v>10</v>
      </c>
      <c r="AF154" s="112">
        <v>57</v>
      </c>
      <c r="AG154" s="111" t="s">
        <v>641</v>
      </c>
    </row>
    <row r="155" spans="2:34" ht="15.75" customHeight="1" x14ac:dyDescent="0.3">
      <c r="B155" s="114">
        <v>26.12</v>
      </c>
      <c r="C155" s="114">
        <f t="shared" si="0"/>
        <v>58.044444444444444</v>
      </c>
      <c r="D155" s="107">
        <f t="shared" si="1"/>
        <v>41.955555555555556</v>
      </c>
      <c r="E155" s="113">
        <v>68.8</v>
      </c>
      <c r="F155" s="218" t="s">
        <v>645</v>
      </c>
      <c r="G155" s="29">
        <v>1074</v>
      </c>
      <c r="H155" s="217" t="str">
        <f t="shared" si="2"/>
        <v>Perbaikan</v>
      </c>
      <c r="K155" s="217" t="s">
        <v>648</v>
      </c>
      <c r="L155" s="13">
        <v>629</v>
      </c>
      <c r="Z155" s="111">
        <v>152</v>
      </c>
      <c r="AA155" s="111" t="s">
        <v>398</v>
      </c>
      <c r="AB155" s="111">
        <v>54</v>
      </c>
      <c r="AC155" s="112">
        <v>24.64</v>
      </c>
      <c r="AD155" s="112">
        <f t="shared" si="5"/>
        <v>54.75555555555556</v>
      </c>
      <c r="AE155" s="112">
        <v>13.4</v>
      </c>
      <c r="AF155" s="112">
        <v>63.870000000000005</v>
      </c>
      <c r="AG155" s="111" t="s">
        <v>641</v>
      </c>
      <c r="AH155" s="31"/>
    </row>
    <row r="156" spans="2:34" ht="15.75" customHeight="1" x14ac:dyDescent="0.3">
      <c r="B156" s="105">
        <v>39.229999999999997</v>
      </c>
      <c r="C156" s="114">
        <f t="shared" si="0"/>
        <v>87.177777777777777</v>
      </c>
      <c r="D156" s="107">
        <f t="shared" si="1"/>
        <v>12.822222222222223</v>
      </c>
      <c r="E156" s="115">
        <v>66.819999999999993</v>
      </c>
      <c r="F156" s="218" t="s">
        <v>647</v>
      </c>
      <c r="G156" s="116">
        <v>1523</v>
      </c>
      <c r="H156" s="217" t="str">
        <f t="shared" si="2"/>
        <v>Perawatan</v>
      </c>
      <c r="K156" s="217" t="s">
        <v>648</v>
      </c>
      <c r="L156" s="13">
        <v>2340</v>
      </c>
      <c r="Z156" s="111">
        <v>153</v>
      </c>
      <c r="AA156" s="111" t="s">
        <v>332</v>
      </c>
      <c r="AB156" s="111">
        <v>2143</v>
      </c>
      <c r="AC156" s="112">
        <v>20.46</v>
      </c>
      <c r="AD156" s="112">
        <f t="shared" si="5"/>
        <v>45.466666666666669</v>
      </c>
      <c r="AE156" s="112">
        <v>7.39</v>
      </c>
      <c r="AF156" s="112">
        <v>57.160000000000004</v>
      </c>
      <c r="AG156" s="111" t="s">
        <v>643</v>
      </c>
      <c r="AH156" s="31"/>
    </row>
    <row r="157" spans="2:34" ht="15.75" customHeight="1" x14ac:dyDescent="0.3">
      <c r="B157" s="114">
        <v>19.28</v>
      </c>
      <c r="C157" s="114">
        <f t="shared" si="0"/>
        <v>42.844444444444449</v>
      </c>
      <c r="D157" s="107">
        <f t="shared" si="1"/>
        <v>57.155555555555551</v>
      </c>
      <c r="E157" s="115">
        <v>51.64</v>
      </c>
      <c r="F157" s="218" t="s">
        <v>645</v>
      </c>
      <c r="G157" s="116">
        <v>1085</v>
      </c>
      <c r="H157" s="217" t="str">
        <f t="shared" si="2"/>
        <v>Rehab J.I</v>
      </c>
      <c r="K157" s="217" t="s">
        <v>648</v>
      </c>
      <c r="L157" s="13">
        <v>209</v>
      </c>
      <c r="Z157" s="111">
        <v>154</v>
      </c>
      <c r="AA157" s="111" t="s">
        <v>489</v>
      </c>
      <c r="AB157" s="111">
        <v>2721</v>
      </c>
      <c r="AC157" s="112">
        <v>32.25</v>
      </c>
      <c r="AD157" s="112">
        <f t="shared" si="5"/>
        <v>71.666666666666671</v>
      </c>
      <c r="AE157" s="112">
        <v>13.42</v>
      </c>
      <c r="AF157" s="112">
        <v>75.59</v>
      </c>
      <c r="AG157" s="111" t="s">
        <v>641</v>
      </c>
    </row>
    <row r="158" spans="2:34" ht="15.75" customHeight="1" x14ac:dyDescent="0.3">
      <c r="B158" s="114">
        <v>24.98</v>
      </c>
      <c r="C158" s="114">
        <f t="shared" si="0"/>
        <v>55.511111111111113</v>
      </c>
      <c r="D158" s="107">
        <f t="shared" si="1"/>
        <v>44.488888888888887</v>
      </c>
      <c r="E158" s="107">
        <v>54.9</v>
      </c>
      <c r="F158" s="218" t="s">
        <v>645</v>
      </c>
      <c r="G158" s="13">
        <v>1807</v>
      </c>
      <c r="H158" s="217" t="str">
        <f t="shared" si="2"/>
        <v>Rehab J.I</v>
      </c>
      <c r="K158" s="217" t="s">
        <v>648</v>
      </c>
      <c r="L158" s="13">
        <v>1008</v>
      </c>
      <c r="Z158" s="111">
        <v>155</v>
      </c>
      <c r="AA158" s="111" t="s">
        <v>378</v>
      </c>
      <c r="AB158" s="111">
        <v>1146</v>
      </c>
      <c r="AC158" s="112">
        <v>23.24</v>
      </c>
      <c r="AD158" s="112">
        <f t="shared" si="5"/>
        <v>51.644444444444439</v>
      </c>
      <c r="AE158" s="112">
        <v>13.67</v>
      </c>
      <c r="AF158" s="112">
        <v>64.91</v>
      </c>
      <c r="AG158" s="111" t="s">
        <v>641</v>
      </c>
      <c r="AH158" s="31"/>
    </row>
    <row r="159" spans="2:34" ht="15.75" customHeight="1" x14ac:dyDescent="0.3">
      <c r="B159" s="114">
        <v>16.09</v>
      </c>
      <c r="C159" s="114">
        <f t="shared" si="0"/>
        <v>35.75555555555556</v>
      </c>
      <c r="D159" s="107">
        <f t="shared" si="1"/>
        <v>64.24444444444444</v>
      </c>
      <c r="E159" s="107">
        <v>52.22</v>
      </c>
      <c r="F159" s="218" t="s">
        <v>645</v>
      </c>
      <c r="G159" s="29">
        <v>1799</v>
      </c>
      <c r="H159" s="217" t="str">
        <f t="shared" si="2"/>
        <v>Rehab J.I</v>
      </c>
      <c r="K159" s="217" t="s">
        <v>648</v>
      </c>
      <c r="L159" s="116">
        <v>1085</v>
      </c>
      <c r="Z159" s="111">
        <v>156</v>
      </c>
      <c r="AA159" s="111" t="s">
        <v>482</v>
      </c>
      <c r="AB159" s="111">
        <v>1151</v>
      </c>
      <c r="AC159" s="112">
        <v>31.51</v>
      </c>
      <c r="AD159" s="112">
        <f t="shared" si="5"/>
        <v>70.022222222222226</v>
      </c>
      <c r="AE159" s="112">
        <v>9.35</v>
      </c>
      <c r="AF159" s="112">
        <v>75.77000000000001</v>
      </c>
      <c r="AG159" s="111" t="s">
        <v>641</v>
      </c>
    </row>
    <row r="160" spans="2:34" ht="15.75" customHeight="1" x14ac:dyDescent="0.3">
      <c r="B160" s="105">
        <v>36.450000000000003</v>
      </c>
      <c r="C160" s="114">
        <f t="shared" si="0"/>
        <v>81</v>
      </c>
      <c r="D160" s="107">
        <f t="shared" si="1"/>
        <v>19</v>
      </c>
      <c r="E160" s="115">
        <v>65.02</v>
      </c>
      <c r="F160" s="218" t="s">
        <v>647</v>
      </c>
      <c r="G160" s="116">
        <v>2462</v>
      </c>
      <c r="H160" s="217" t="str">
        <f t="shared" si="2"/>
        <v>Perawatan</v>
      </c>
      <c r="K160" s="217" t="s">
        <v>648</v>
      </c>
      <c r="L160" s="13">
        <v>1807</v>
      </c>
      <c r="Z160" s="111">
        <v>157</v>
      </c>
      <c r="AA160" s="111" t="s">
        <v>492</v>
      </c>
      <c r="AB160" s="111">
        <v>319</v>
      </c>
      <c r="AC160" s="112">
        <v>32.479999999999997</v>
      </c>
      <c r="AD160" s="112">
        <f t="shared" si="5"/>
        <v>72.177777777777777</v>
      </c>
      <c r="AE160" s="112">
        <v>13.4</v>
      </c>
      <c r="AF160" s="112">
        <v>73.100000000000009</v>
      </c>
      <c r="AG160" s="111" t="s">
        <v>641</v>
      </c>
    </row>
    <row r="161" spans="2:34" ht="15.75" customHeight="1" x14ac:dyDescent="0.3">
      <c r="B161" s="120">
        <v>23.77</v>
      </c>
      <c r="C161" s="114">
        <f t="shared" si="0"/>
        <v>52.822222222222223</v>
      </c>
      <c r="D161" s="107">
        <f t="shared" si="1"/>
        <v>47.177777777777777</v>
      </c>
      <c r="E161" s="107">
        <v>57.539999999999992</v>
      </c>
      <c r="F161" s="218" t="s">
        <v>645</v>
      </c>
      <c r="G161" s="97">
        <v>1424</v>
      </c>
      <c r="H161" s="217" t="str">
        <f t="shared" si="2"/>
        <v>Perbaikan</v>
      </c>
      <c r="K161" s="217" t="s">
        <v>648</v>
      </c>
      <c r="L161" s="219">
        <v>1799</v>
      </c>
      <c r="Z161" s="111">
        <v>158</v>
      </c>
      <c r="AA161" s="111" t="s">
        <v>419</v>
      </c>
      <c r="AB161" s="111">
        <v>309</v>
      </c>
      <c r="AC161" s="112">
        <v>26.08</v>
      </c>
      <c r="AD161" s="112">
        <f t="shared" si="5"/>
        <v>57.955555555555549</v>
      </c>
      <c r="AE161" s="112">
        <v>14.97</v>
      </c>
      <c r="AF161" s="112">
        <v>72.219999999999985</v>
      </c>
      <c r="AG161" s="111" t="s">
        <v>641</v>
      </c>
      <c r="AH161" s="31"/>
    </row>
    <row r="162" spans="2:34" ht="15.75" customHeight="1" x14ac:dyDescent="0.3">
      <c r="G162" s="100">
        <f>SUM(G4:G161)</f>
        <v>149988</v>
      </c>
      <c r="Z162" s="111">
        <v>159</v>
      </c>
      <c r="AA162" s="111" t="s">
        <v>313</v>
      </c>
      <c r="AB162" s="111">
        <v>350</v>
      </c>
      <c r="AC162" s="112">
        <v>19.32</v>
      </c>
      <c r="AD162" s="112">
        <f t="shared" si="5"/>
        <v>42.933333333333337</v>
      </c>
      <c r="AE162" s="112">
        <v>4.95</v>
      </c>
      <c r="AF162" s="112">
        <v>57.34</v>
      </c>
      <c r="AG162" s="111" t="s">
        <v>643</v>
      </c>
      <c r="AH162" s="31"/>
    </row>
    <row r="163" spans="2:34" ht="15.75" customHeight="1" x14ac:dyDescent="0.3">
      <c r="Z163" s="111">
        <v>160</v>
      </c>
      <c r="AA163" s="111" t="s">
        <v>404</v>
      </c>
      <c r="AB163" s="111">
        <v>63</v>
      </c>
      <c r="AC163" s="112">
        <v>24.78</v>
      </c>
      <c r="AD163" s="112">
        <f t="shared" si="5"/>
        <v>55.066666666666663</v>
      </c>
      <c r="AE163" s="112">
        <v>14.94</v>
      </c>
      <c r="AF163" s="112">
        <v>73.62</v>
      </c>
      <c r="AG163" s="111" t="s">
        <v>641</v>
      </c>
      <c r="AH163" s="31"/>
    </row>
    <row r="164" spans="2:34" ht="15.75" customHeight="1" x14ac:dyDescent="0.3">
      <c r="Z164" s="111">
        <v>161</v>
      </c>
      <c r="AA164" s="111" t="s">
        <v>494</v>
      </c>
      <c r="AB164" s="111">
        <v>777</v>
      </c>
      <c r="AC164" s="112">
        <v>32.61</v>
      </c>
      <c r="AD164" s="112">
        <f t="shared" si="5"/>
        <v>72.466666666666669</v>
      </c>
      <c r="AE164" s="112">
        <v>11.01</v>
      </c>
      <c r="AF164" s="112">
        <v>71.489999999999995</v>
      </c>
      <c r="AG164" s="111" t="s">
        <v>641</v>
      </c>
    </row>
    <row r="165" spans="2:34" ht="15.75" customHeight="1" x14ac:dyDescent="0.3">
      <c r="Z165" s="111">
        <v>162</v>
      </c>
      <c r="AA165" s="111" t="s">
        <v>488</v>
      </c>
      <c r="AB165" s="111">
        <v>80</v>
      </c>
      <c r="AC165" s="112">
        <v>32</v>
      </c>
      <c r="AD165" s="112">
        <f t="shared" si="5"/>
        <v>71.111111111111114</v>
      </c>
      <c r="AE165" s="112">
        <v>5.29</v>
      </c>
      <c r="AF165" s="112">
        <v>64.789999999999992</v>
      </c>
      <c r="AG165" s="111" t="s">
        <v>641</v>
      </c>
    </row>
    <row r="166" spans="2:34" ht="15.75" customHeight="1" x14ac:dyDescent="0.3">
      <c r="Z166" s="111">
        <v>163</v>
      </c>
      <c r="AA166" s="111" t="s">
        <v>425</v>
      </c>
      <c r="AB166" s="111">
        <v>190</v>
      </c>
      <c r="AC166" s="112">
        <v>26.75</v>
      </c>
      <c r="AD166" s="112">
        <f t="shared" si="5"/>
        <v>59.444444444444443</v>
      </c>
      <c r="AE166" s="112">
        <v>14.63</v>
      </c>
      <c r="AF166" s="112">
        <v>61.480000000000004</v>
      </c>
      <c r="AG166" s="111" t="s">
        <v>641</v>
      </c>
      <c r="AH166" s="31"/>
    </row>
    <row r="167" spans="2:34" ht="15.75" customHeight="1" x14ac:dyDescent="0.3">
      <c r="Z167" s="111">
        <v>164</v>
      </c>
      <c r="AA167" s="111" t="s">
        <v>281</v>
      </c>
      <c r="AB167" s="111">
        <v>151</v>
      </c>
      <c r="AC167" s="112">
        <v>12.05</v>
      </c>
      <c r="AD167" s="112">
        <f t="shared" si="5"/>
        <v>26.777777777777779</v>
      </c>
      <c r="AE167" s="112">
        <v>13.64</v>
      </c>
      <c r="AF167" s="112">
        <v>49.69</v>
      </c>
      <c r="AG167" s="111" t="s">
        <v>643</v>
      </c>
    </row>
    <row r="168" spans="2:34" ht="15.75" customHeight="1" x14ac:dyDescent="0.3">
      <c r="Z168" s="111">
        <v>165</v>
      </c>
      <c r="AA168" s="111" t="s">
        <v>302</v>
      </c>
      <c r="AB168" s="111">
        <v>62</v>
      </c>
      <c r="AC168" s="112">
        <v>15.95</v>
      </c>
      <c r="AD168" s="112">
        <f t="shared" si="5"/>
        <v>35.444444444444443</v>
      </c>
      <c r="AE168" s="112">
        <v>12.99</v>
      </c>
      <c r="AF168" s="112">
        <v>56.05</v>
      </c>
      <c r="AG168" s="111" t="s">
        <v>641</v>
      </c>
      <c r="AH168" s="31"/>
    </row>
    <row r="169" spans="2:34" ht="15.75" customHeight="1" x14ac:dyDescent="0.3">
      <c r="Z169" s="111">
        <v>166</v>
      </c>
      <c r="AA169" s="111" t="s">
        <v>462</v>
      </c>
      <c r="AB169" s="111">
        <v>696</v>
      </c>
      <c r="AC169" s="112">
        <v>29.64</v>
      </c>
      <c r="AD169" s="112">
        <f t="shared" si="5"/>
        <v>65.866666666666674</v>
      </c>
      <c r="AE169" s="112">
        <v>14.5</v>
      </c>
      <c r="AF169" s="112">
        <v>66.05</v>
      </c>
      <c r="AG169" s="111" t="s">
        <v>641</v>
      </c>
    </row>
    <row r="170" spans="2:34" ht="15.75" customHeight="1" x14ac:dyDescent="0.3">
      <c r="Z170" s="111">
        <v>167</v>
      </c>
      <c r="AA170" s="111" t="s">
        <v>446</v>
      </c>
      <c r="AB170" s="111">
        <v>598</v>
      </c>
      <c r="AC170" s="112">
        <v>27.75</v>
      </c>
      <c r="AD170" s="112">
        <f t="shared" si="5"/>
        <v>61.666666666666671</v>
      </c>
      <c r="AE170" s="112">
        <v>14.38</v>
      </c>
      <c r="AF170" s="112">
        <v>75.040000000000006</v>
      </c>
      <c r="AG170" s="111" t="s">
        <v>641</v>
      </c>
    </row>
    <row r="171" spans="2:34" ht="15.75" customHeight="1" x14ac:dyDescent="0.3">
      <c r="Z171" s="111">
        <v>168</v>
      </c>
      <c r="AA171" s="111" t="s">
        <v>475</v>
      </c>
      <c r="AB171" s="111">
        <v>445</v>
      </c>
      <c r="AC171" s="112">
        <v>30.65</v>
      </c>
      <c r="AD171" s="112">
        <f t="shared" si="5"/>
        <v>68.111111111111114</v>
      </c>
      <c r="AE171" s="112">
        <v>14.63</v>
      </c>
      <c r="AF171" s="112">
        <v>77.14</v>
      </c>
      <c r="AG171" s="111" t="s">
        <v>641</v>
      </c>
    </row>
    <row r="172" spans="2:34" ht="15.75" customHeight="1" x14ac:dyDescent="0.3">
      <c r="Z172" s="111">
        <v>169</v>
      </c>
      <c r="AA172" s="111" t="s">
        <v>459</v>
      </c>
      <c r="AB172" s="111">
        <v>64</v>
      </c>
      <c r="AC172" s="112">
        <v>28.94</v>
      </c>
      <c r="AD172" s="112">
        <f t="shared" si="5"/>
        <v>64.311111111111117</v>
      </c>
      <c r="AE172" s="112">
        <v>14.1</v>
      </c>
      <c r="AF172" s="112">
        <v>57.34</v>
      </c>
      <c r="AG172" s="111" t="s">
        <v>641</v>
      </c>
    </row>
    <row r="173" spans="2:34" ht="15.75" customHeight="1" x14ac:dyDescent="0.3">
      <c r="Z173" s="111">
        <v>170</v>
      </c>
      <c r="AA173" s="111" t="s">
        <v>365</v>
      </c>
      <c r="AB173" s="111">
        <v>695</v>
      </c>
      <c r="AC173" s="112">
        <v>22.73</v>
      </c>
      <c r="AD173" s="112">
        <f t="shared" si="5"/>
        <v>50.511111111111106</v>
      </c>
      <c r="AE173" s="112">
        <v>14.96</v>
      </c>
      <c r="AF173" s="112">
        <v>63.25</v>
      </c>
      <c r="AG173" s="111" t="s">
        <v>641</v>
      </c>
      <c r="AH173" s="31"/>
    </row>
    <row r="174" spans="2:34" ht="15.75" customHeight="1" x14ac:dyDescent="0.3">
      <c r="Z174" s="111">
        <v>171</v>
      </c>
      <c r="AA174" s="111" t="s">
        <v>386</v>
      </c>
      <c r="AB174" s="111">
        <v>463</v>
      </c>
      <c r="AC174" s="112">
        <v>23.63</v>
      </c>
      <c r="AD174" s="112">
        <f t="shared" si="5"/>
        <v>52.511111111111106</v>
      </c>
      <c r="AE174" s="112">
        <v>5.15</v>
      </c>
      <c r="AF174" s="112">
        <v>53.92</v>
      </c>
      <c r="AG174" s="111" t="s">
        <v>640</v>
      </c>
    </row>
    <row r="175" spans="2:34" ht="15.75" customHeight="1" x14ac:dyDescent="0.3">
      <c r="Z175" s="111">
        <v>172</v>
      </c>
      <c r="AA175" s="111" t="s">
        <v>478</v>
      </c>
      <c r="AB175" s="111">
        <v>296</v>
      </c>
      <c r="AC175" s="112">
        <v>30.77</v>
      </c>
      <c r="AD175" s="112">
        <f t="shared" si="5"/>
        <v>68.37777777777778</v>
      </c>
      <c r="AE175" s="112">
        <v>7.71</v>
      </c>
      <c r="AF175" s="112">
        <v>58.779999999999994</v>
      </c>
      <c r="AG175" s="111" t="s">
        <v>641</v>
      </c>
    </row>
    <row r="176" spans="2:34" ht="15.75" customHeight="1" x14ac:dyDescent="0.3">
      <c r="Z176" s="111">
        <v>173</v>
      </c>
      <c r="AA176" s="111" t="s">
        <v>497</v>
      </c>
      <c r="AB176" s="111">
        <v>2581</v>
      </c>
      <c r="AC176" s="112">
        <v>32.97</v>
      </c>
      <c r="AD176" s="112">
        <f t="shared" si="5"/>
        <v>73.266666666666666</v>
      </c>
      <c r="AE176" s="112">
        <v>13.4</v>
      </c>
      <c r="AF176" s="112">
        <v>72.87</v>
      </c>
      <c r="AG176" s="111" t="s">
        <v>641</v>
      </c>
    </row>
    <row r="177" spans="26:34" ht="15.75" customHeight="1" x14ac:dyDescent="0.3">
      <c r="Z177" s="111">
        <v>174</v>
      </c>
      <c r="AA177" s="111" t="s">
        <v>420</v>
      </c>
      <c r="AB177" s="111">
        <v>876</v>
      </c>
      <c r="AC177" s="112">
        <v>26.13</v>
      </c>
      <c r="AD177" s="112">
        <f t="shared" si="5"/>
        <v>58.066666666666663</v>
      </c>
      <c r="AE177" s="112">
        <v>12.13</v>
      </c>
      <c r="AF177" s="112">
        <v>52.26</v>
      </c>
      <c r="AG177" s="111" t="s">
        <v>640</v>
      </c>
    </row>
    <row r="178" spans="26:34" ht="15.75" customHeight="1" x14ac:dyDescent="0.3">
      <c r="Z178" s="111">
        <v>175</v>
      </c>
      <c r="AA178" s="111" t="s">
        <v>465</v>
      </c>
      <c r="AB178" s="111">
        <v>148</v>
      </c>
      <c r="AC178" s="112">
        <v>29.82</v>
      </c>
      <c r="AD178" s="112">
        <f t="shared" si="5"/>
        <v>66.266666666666666</v>
      </c>
      <c r="AE178" s="112">
        <v>13.38</v>
      </c>
      <c r="AF178" s="112">
        <v>62.2</v>
      </c>
      <c r="AG178" s="111" t="s">
        <v>641</v>
      </c>
    </row>
    <row r="179" spans="26:34" ht="15.75" customHeight="1" x14ac:dyDescent="0.3">
      <c r="Z179" s="111">
        <v>176</v>
      </c>
      <c r="AA179" s="111" t="s">
        <v>469</v>
      </c>
      <c r="AB179" s="111">
        <v>1046</v>
      </c>
      <c r="AC179" s="112">
        <v>30</v>
      </c>
      <c r="AD179" s="112">
        <f t="shared" si="5"/>
        <v>66.666666666666657</v>
      </c>
      <c r="AE179" s="112">
        <v>9.64</v>
      </c>
      <c r="AF179" s="112">
        <v>69.77000000000001</v>
      </c>
      <c r="AG179" s="111" t="s">
        <v>641</v>
      </c>
    </row>
    <row r="180" spans="26:34" ht="15.75" customHeight="1" x14ac:dyDescent="0.3">
      <c r="Z180" s="111">
        <v>177</v>
      </c>
      <c r="AA180" s="111" t="s">
        <v>339</v>
      </c>
      <c r="AB180" s="111">
        <v>367</v>
      </c>
      <c r="AC180" s="112">
        <v>20.94</v>
      </c>
      <c r="AD180" s="112">
        <f t="shared" si="5"/>
        <v>46.533333333333339</v>
      </c>
      <c r="AE180" s="112">
        <v>11.4</v>
      </c>
      <c r="AF180" s="112">
        <v>58.470000000000006</v>
      </c>
      <c r="AG180" s="111" t="s">
        <v>643</v>
      </c>
      <c r="AH180" s="31"/>
    </row>
    <row r="181" spans="26:34" ht="15.75" customHeight="1" x14ac:dyDescent="0.3">
      <c r="Z181" s="111">
        <v>178</v>
      </c>
      <c r="AA181" s="111" t="s">
        <v>346</v>
      </c>
      <c r="AB181" s="111">
        <v>1372</v>
      </c>
      <c r="AC181" s="112">
        <v>21.51</v>
      </c>
      <c r="AD181" s="112">
        <f t="shared" si="5"/>
        <v>47.800000000000004</v>
      </c>
      <c r="AE181" s="112">
        <v>8.18</v>
      </c>
      <c r="AF181" s="112">
        <v>59.82</v>
      </c>
      <c r="AG181" s="111" t="s">
        <v>643</v>
      </c>
      <c r="AH181" s="31"/>
    </row>
    <row r="182" spans="26:34" ht="15.75" customHeight="1" x14ac:dyDescent="0.3">
      <c r="AB182" s="102">
        <f>SUM(AB4:AB181)</f>
        <v>167128</v>
      </c>
    </row>
    <row r="183" spans="26:34" ht="15.75" customHeight="1" x14ac:dyDescent="0.3"/>
    <row r="184" spans="26:34" ht="15.75" customHeight="1" x14ac:dyDescent="0.3"/>
    <row r="185" spans="26:34" ht="15.75" customHeight="1" x14ac:dyDescent="0.3"/>
    <row r="186" spans="26:34" ht="15.75" customHeight="1" x14ac:dyDescent="0.3"/>
    <row r="187" spans="26:34" ht="15.75" customHeight="1" x14ac:dyDescent="0.3"/>
    <row r="188" spans="26:34" ht="15.75" customHeight="1" x14ac:dyDescent="0.3"/>
    <row r="189" spans="26:34" ht="15.75" customHeight="1" x14ac:dyDescent="0.3"/>
    <row r="190" spans="26:34" ht="15.75" customHeight="1" x14ac:dyDescent="0.3"/>
    <row r="191" spans="26:34" ht="15.75" customHeight="1" x14ac:dyDescent="0.3"/>
    <row r="192" spans="26:3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Z2:AG2"/>
  </mergeCells>
  <pageMargins left="0.70866141732283472" right="0.70866141732283472" top="0.74803149606299213" bottom="0.74803149606299213" header="0" footer="0"/>
  <pageSetup paperSize="9" scale="8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AE1000"/>
  <sheetViews>
    <sheetView workbookViewId="0"/>
  </sheetViews>
  <sheetFormatPr defaultColWidth="14.44140625" defaultRowHeight="15" customHeight="1" x14ac:dyDescent="0.3"/>
  <cols>
    <col min="1" max="1" width="8.6640625" customWidth="1"/>
    <col min="2" max="4" width="13.44140625" customWidth="1"/>
    <col min="5" max="5" width="8.6640625" customWidth="1"/>
    <col min="6" max="7" width="10.88671875" customWidth="1"/>
    <col min="8" max="14" width="8.6640625" customWidth="1"/>
    <col min="15" max="16" width="18.88671875" customWidth="1"/>
    <col min="17" max="17" width="9.44140625" customWidth="1"/>
    <col min="18" max="19" width="8.6640625" customWidth="1"/>
    <col min="20" max="21" width="18.88671875" customWidth="1"/>
    <col min="22" max="24" width="8.6640625" customWidth="1"/>
    <col min="25" max="25" width="6.33203125" customWidth="1"/>
    <col min="26" max="26" width="36.88671875" customWidth="1"/>
    <col min="27" max="27" width="8.6640625" customWidth="1"/>
    <col min="28" max="29" width="13.44140625" customWidth="1"/>
    <col min="30" max="30" width="8.88671875" customWidth="1"/>
    <col min="31" max="31" width="18.88671875" customWidth="1"/>
  </cols>
  <sheetData>
    <row r="1" spans="2:31" ht="14.4" x14ac:dyDescent="0.3">
      <c r="AC1" s="16"/>
      <c r="AD1" s="16"/>
    </row>
    <row r="2" spans="2:31" ht="14.25" customHeight="1" x14ac:dyDescent="0.3">
      <c r="B2" s="126" t="s">
        <v>528</v>
      </c>
      <c r="C2" s="126" t="s">
        <v>528</v>
      </c>
      <c r="D2" s="215" t="s">
        <v>633</v>
      </c>
      <c r="E2" s="130" t="s">
        <v>518</v>
      </c>
      <c r="F2" s="102" t="s">
        <v>634</v>
      </c>
      <c r="G2" s="1" t="s">
        <v>258</v>
      </c>
      <c r="O2" s="102" t="s">
        <v>635</v>
      </c>
      <c r="P2" s="4" t="s">
        <v>513</v>
      </c>
      <c r="Q2" s="4" t="s">
        <v>513</v>
      </c>
      <c r="T2" s="102" t="s">
        <v>635</v>
      </c>
      <c r="U2" s="4" t="s">
        <v>514</v>
      </c>
      <c r="V2" s="4" t="s">
        <v>514</v>
      </c>
      <c r="Y2" s="130" t="s">
        <v>0</v>
      </c>
      <c r="Z2" s="130" t="s">
        <v>520</v>
      </c>
      <c r="AA2" s="130" t="s">
        <v>262</v>
      </c>
      <c r="AB2" s="126" t="s">
        <v>528</v>
      </c>
      <c r="AC2" s="220" t="s">
        <v>528</v>
      </c>
      <c r="AD2" s="221" t="s">
        <v>518</v>
      </c>
      <c r="AE2" s="130" t="s">
        <v>637</v>
      </c>
    </row>
    <row r="3" spans="2:31" ht="14.25" customHeight="1" x14ac:dyDescent="0.3">
      <c r="B3" s="114">
        <v>29.82</v>
      </c>
      <c r="C3" s="114">
        <f t="shared" ref="C3:C160" si="0">+B3/45*100</f>
        <v>66.266666666666666</v>
      </c>
      <c r="D3" s="107">
        <f t="shared" ref="D3:D160" si="1">100-C3</f>
        <v>33.733333333333334</v>
      </c>
      <c r="E3" s="107">
        <v>62.2</v>
      </c>
      <c r="F3" s="216" t="s">
        <v>638</v>
      </c>
      <c r="G3" s="14">
        <v>148</v>
      </c>
      <c r="H3" s="217" t="str">
        <f t="shared" ref="H3:H160" si="2">IF(AND($B3&lt;27,$E3&lt;55),"Rehab J.I",IF(AND($B3&lt;=36,$E3&lt;=69),"Perbaikan",IF(AND($B3&lt;=40.5,$E3&gt;=55),"Perawatan","Rutin")))</f>
        <v>Perbaikan</v>
      </c>
      <c r="J3" s="109"/>
      <c r="K3" s="217" t="s">
        <v>639</v>
      </c>
      <c r="L3" s="14">
        <v>54</v>
      </c>
      <c r="O3" s="4" t="s">
        <v>640</v>
      </c>
      <c r="P3" s="101">
        <f t="shared" ref="P3:P5" si="3">+Q3/$Q$6</f>
        <v>0.10112359550561797</v>
      </c>
      <c r="Q3" s="4">
        <v>18</v>
      </c>
      <c r="T3" s="4" t="s">
        <v>640</v>
      </c>
      <c r="U3" s="101">
        <f>+V3/$V$6</f>
        <v>7.678545785266383E-2</v>
      </c>
      <c r="V3" s="4">
        <f>+SUM(AA42,AA44,AA67,AA70,AA74:AA76,AA86,AA100,AA115,AA118,AA137,AA139,AA148,AA151,AA166,AA173,AA176)</f>
        <v>12833</v>
      </c>
      <c r="Y3" s="4">
        <v>1</v>
      </c>
      <c r="Z3" s="4" t="s">
        <v>273</v>
      </c>
      <c r="AA3" s="4">
        <v>1000</v>
      </c>
      <c r="AB3" s="109">
        <v>30</v>
      </c>
      <c r="AC3" s="222">
        <f t="shared" ref="AC3:AC180" si="4">+AB3/45*100</f>
        <v>66.666666666666657</v>
      </c>
      <c r="AD3" s="16">
        <v>69.759999999999991</v>
      </c>
      <c r="AE3" s="4" t="s">
        <v>649</v>
      </c>
    </row>
    <row r="4" spans="2:31" ht="14.25" customHeight="1" x14ac:dyDescent="0.3">
      <c r="B4" s="114">
        <v>29.92</v>
      </c>
      <c r="C4" s="114">
        <f t="shared" si="0"/>
        <v>66.488888888888894</v>
      </c>
      <c r="D4" s="107">
        <f t="shared" si="1"/>
        <v>33.511111111111106</v>
      </c>
      <c r="E4" s="107">
        <v>61.88</v>
      </c>
      <c r="F4" s="216" t="s">
        <v>638</v>
      </c>
      <c r="G4" s="14">
        <v>156</v>
      </c>
      <c r="H4" s="217" t="str">
        <f t="shared" si="2"/>
        <v>Perbaikan</v>
      </c>
      <c r="K4" s="217" t="s">
        <v>639</v>
      </c>
      <c r="L4" s="14">
        <v>23</v>
      </c>
      <c r="O4" s="4" t="s">
        <v>649</v>
      </c>
      <c r="P4" s="101">
        <f t="shared" si="3"/>
        <v>0.8820224719101124</v>
      </c>
      <c r="Q4" s="4">
        <f>178-Q3-Q5</f>
        <v>157</v>
      </c>
      <c r="T4" s="4" t="s">
        <v>649</v>
      </c>
      <c r="U4" s="101">
        <f>V4/$V$6</f>
        <v>0.88610526063855244</v>
      </c>
      <c r="V4" s="100">
        <f>+SUM(AA3:AA40,AA43,AA45:AA66,AA68:AA69,AA71:AA73,AA77:AA78,AA80:AA85,AA87:AA99,AA101:AA104,AA106:AA114,AA116:AA117,AA119:AA136,AA138,AA140:AA147,AA149:AA150,AA152:AA165,AA167:AA172,AA174:AA175,AA177:AA180)</f>
        <v>148093</v>
      </c>
      <c r="Y4" s="4">
        <v>2</v>
      </c>
      <c r="Z4" s="4" t="s">
        <v>277</v>
      </c>
      <c r="AA4" s="4">
        <v>1403</v>
      </c>
      <c r="AB4" s="109">
        <v>21.53</v>
      </c>
      <c r="AC4" s="222">
        <f t="shared" si="4"/>
        <v>47.844444444444449</v>
      </c>
      <c r="AD4" s="16">
        <v>66.84</v>
      </c>
      <c r="AE4" s="4" t="s">
        <v>649</v>
      </c>
    </row>
    <row r="5" spans="2:31" ht="14.25" customHeight="1" x14ac:dyDescent="0.3">
      <c r="B5" s="114">
        <v>30.26</v>
      </c>
      <c r="C5" s="114">
        <f t="shared" si="0"/>
        <v>67.244444444444454</v>
      </c>
      <c r="D5" s="107">
        <f t="shared" si="1"/>
        <v>32.755555555555546</v>
      </c>
      <c r="E5" s="115">
        <v>63.050000000000004</v>
      </c>
      <c r="F5" s="216" t="s">
        <v>638</v>
      </c>
      <c r="G5" s="117">
        <v>1212</v>
      </c>
      <c r="H5" s="217" t="str">
        <f t="shared" si="2"/>
        <v>Perbaikan</v>
      </c>
      <c r="K5" s="217" t="s">
        <v>639</v>
      </c>
      <c r="L5" s="14">
        <v>42</v>
      </c>
      <c r="O5" s="4" t="s">
        <v>650</v>
      </c>
      <c r="P5" s="101">
        <f t="shared" si="3"/>
        <v>1.6853932584269662E-2</v>
      </c>
      <c r="Q5" s="4">
        <v>3</v>
      </c>
      <c r="T5" s="4" t="s">
        <v>650</v>
      </c>
      <c r="U5" s="101">
        <f>+V5/$V$6</f>
        <v>3.710928150878369E-2</v>
      </c>
      <c r="V5" s="100">
        <f>+SUM(AA41,AA79,AA105)</f>
        <v>6202</v>
      </c>
      <c r="Y5" s="4">
        <v>3</v>
      </c>
      <c r="Z5" s="4" t="s">
        <v>280</v>
      </c>
      <c r="AA5" s="4">
        <v>1370</v>
      </c>
      <c r="AB5" s="109">
        <v>30.94</v>
      </c>
      <c r="AC5" s="222">
        <f t="shared" si="4"/>
        <v>68.75555555555556</v>
      </c>
      <c r="AD5" s="16">
        <v>76.819999999999993</v>
      </c>
      <c r="AE5" s="4" t="s">
        <v>649</v>
      </c>
    </row>
    <row r="6" spans="2:31" ht="14.25" customHeight="1" x14ac:dyDescent="0.3">
      <c r="B6" s="114">
        <v>28.65</v>
      </c>
      <c r="C6" s="114">
        <f t="shared" si="0"/>
        <v>63.666666666666657</v>
      </c>
      <c r="D6" s="107">
        <f t="shared" si="1"/>
        <v>36.333333333333343</v>
      </c>
      <c r="E6" s="107">
        <v>60.78</v>
      </c>
      <c r="F6" s="216" t="s">
        <v>638</v>
      </c>
      <c r="G6" s="14">
        <v>20</v>
      </c>
      <c r="H6" s="217" t="str">
        <f t="shared" si="2"/>
        <v>Perbaikan</v>
      </c>
      <c r="K6" s="217" t="s">
        <v>639</v>
      </c>
      <c r="L6" s="117">
        <v>1763</v>
      </c>
      <c r="P6" s="101">
        <f t="shared" ref="P6:Q6" si="5">SUM(P3:P5)</f>
        <v>1</v>
      </c>
      <c r="Q6" s="4">
        <f t="shared" si="5"/>
        <v>178</v>
      </c>
      <c r="U6" s="101">
        <f t="shared" ref="U6:V6" si="6">SUM(U3:U5)</f>
        <v>1</v>
      </c>
      <c r="V6" s="100">
        <f t="shared" si="6"/>
        <v>167128</v>
      </c>
      <c r="Y6" s="4">
        <v>4</v>
      </c>
      <c r="Z6" s="4" t="s">
        <v>282</v>
      </c>
      <c r="AA6" s="4">
        <v>1787</v>
      </c>
      <c r="AB6" s="109">
        <v>27.97</v>
      </c>
      <c r="AC6" s="222">
        <f t="shared" si="4"/>
        <v>62.155555555555551</v>
      </c>
      <c r="AD6" s="16">
        <v>59.97</v>
      </c>
      <c r="AE6" s="4" t="s">
        <v>649</v>
      </c>
    </row>
    <row r="7" spans="2:31" ht="14.25" customHeight="1" x14ac:dyDescent="0.3">
      <c r="B7" s="114">
        <v>19.29</v>
      </c>
      <c r="C7" s="114">
        <f t="shared" si="0"/>
        <v>42.866666666666667</v>
      </c>
      <c r="D7" s="107">
        <f t="shared" si="1"/>
        <v>57.133333333333333</v>
      </c>
      <c r="E7" s="107">
        <v>54.06</v>
      </c>
      <c r="F7" s="218" t="s">
        <v>645</v>
      </c>
      <c r="G7" s="14">
        <v>527</v>
      </c>
      <c r="H7" s="217" t="str">
        <f t="shared" si="2"/>
        <v>Rehab J.I</v>
      </c>
      <c r="K7" s="217" t="s">
        <v>639</v>
      </c>
      <c r="L7" s="117">
        <v>2946</v>
      </c>
      <c r="Y7" s="4">
        <v>5</v>
      </c>
      <c r="Z7" s="4" t="s">
        <v>285</v>
      </c>
      <c r="AA7" s="4">
        <v>1096</v>
      </c>
      <c r="AB7" s="109">
        <v>25.69</v>
      </c>
      <c r="AC7" s="222">
        <f t="shared" si="4"/>
        <v>57.088888888888889</v>
      </c>
      <c r="AD7" s="16">
        <v>65.28</v>
      </c>
      <c r="AE7" s="4" t="s">
        <v>649</v>
      </c>
    </row>
    <row r="8" spans="2:31" ht="14.25" customHeight="1" x14ac:dyDescent="0.3">
      <c r="B8" s="114">
        <v>23.97</v>
      </c>
      <c r="C8" s="114">
        <f t="shared" si="0"/>
        <v>53.266666666666666</v>
      </c>
      <c r="D8" s="107">
        <f t="shared" si="1"/>
        <v>46.733333333333334</v>
      </c>
      <c r="E8" s="107">
        <v>59.179999999999993</v>
      </c>
      <c r="F8" s="218" t="s">
        <v>645</v>
      </c>
      <c r="G8" s="14">
        <v>457</v>
      </c>
      <c r="H8" s="217" t="str">
        <f t="shared" si="2"/>
        <v>Perbaikan</v>
      </c>
      <c r="K8" s="217" t="s">
        <v>639</v>
      </c>
      <c r="L8" s="14">
        <v>1637</v>
      </c>
      <c r="Y8" s="4">
        <v>6</v>
      </c>
      <c r="Z8" s="4" t="s">
        <v>287</v>
      </c>
      <c r="AA8" s="4">
        <v>1727</v>
      </c>
      <c r="AB8" s="109">
        <v>29.38</v>
      </c>
      <c r="AC8" s="222">
        <f t="shared" si="4"/>
        <v>65.288888888888891</v>
      </c>
      <c r="AD8" s="16">
        <v>65.88</v>
      </c>
      <c r="AE8" s="4" t="s">
        <v>649</v>
      </c>
    </row>
    <row r="9" spans="2:31" ht="14.25" customHeight="1" x14ac:dyDescent="0.3">
      <c r="B9" s="114">
        <v>29.45</v>
      </c>
      <c r="C9" s="114">
        <f t="shared" si="0"/>
        <v>65.444444444444443</v>
      </c>
      <c r="D9" s="107">
        <f t="shared" si="1"/>
        <v>34.555555555555557</v>
      </c>
      <c r="E9" s="107">
        <v>61.43</v>
      </c>
      <c r="F9" s="218" t="s">
        <v>638</v>
      </c>
      <c r="G9" s="14">
        <v>107</v>
      </c>
      <c r="H9" s="217" t="str">
        <f t="shared" si="2"/>
        <v>Perbaikan</v>
      </c>
      <c r="K9" s="217" t="s">
        <v>639</v>
      </c>
      <c r="L9" s="117">
        <v>1086</v>
      </c>
      <c r="Y9" s="4">
        <v>7</v>
      </c>
      <c r="Z9" s="4" t="s">
        <v>289</v>
      </c>
      <c r="AA9" s="4">
        <v>1378</v>
      </c>
      <c r="AB9" s="109">
        <v>23.96</v>
      </c>
      <c r="AC9" s="222">
        <f t="shared" si="4"/>
        <v>53.244444444444447</v>
      </c>
      <c r="AD9" s="16">
        <v>62.7</v>
      </c>
      <c r="AE9" s="4" t="s">
        <v>649</v>
      </c>
    </row>
    <row r="10" spans="2:31" ht="14.25" customHeight="1" x14ac:dyDescent="0.3">
      <c r="B10" s="114">
        <v>28.57</v>
      </c>
      <c r="C10" s="114">
        <f t="shared" si="0"/>
        <v>63.488888888888894</v>
      </c>
      <c r="D10" s="107">
        <f t="shared" si="1"/>
        <v>36.511111111111106</v>
      </c>
      <c r="E10" s="107">
        <v>61.320000000000007</v>
      </c>
      <c r="F10" s="218" t="s">
        <v>638</v>
      </c>
      <c r="G10" s="14">
        <v>39</v>
      </c>
      <c r="H10" s="217" t="str">
        <f t="shared" si="2"/>
        <v>Perbaikan</v>
      </c>
      <c r="K10" s="217" t="s">
        <v>639</v>
      </c>
      <c r="L10" s="14">
        <v>1812</v>
      </c>
      <c r="Y10" s="4">
        <v>8</v>
      </c>
      <c r="Z10" s="4" t="s">
        <v>291</v>
      </c>
      <c r="AA10" s="4">
        <v>1763</v>
      </c>
      <c r="AB10" s="109">
        <v>33.18</v>
      </c>
      <c r="AC10" s="222">
        <f t="shared" si="4"/>
        <v>73.733333333333334</v>
      </c>
      <c r="AD10" s="16">
        <v>72.05</v>
      </c>
      <c r="AE10" s="4" t="s">
        <v>649</v>
      </c>
    </row>
    <row r="11" spans="2:31" ht="14.25" customHeight="1" x14ac:dyDescent="0.3">
      <c r="B11" s="114">
        <v>28.48</v>
      </c>
      <c r="C11" s="114">
        <f t="shared" si="0"/>
        <v>63.288888888888891</v>
      </c>
      <c r="D11" s="107">
        <f t="shared" si="1"/>
        <v>36.711111111111109</v>
      </c>
      <c r="E11" s="107">
        <v>61.419999999999995</v>
      </c>
      <c r="F11" s="218" t="s">
        <v>638</v>
      </c>
      <c r="G11" s="14">
        <v>282</v>
      </c>
      <c r="H11" s="217" t="str">
        <f t="shared" si="2"/>
        <v>Perbaikan</v>
      </c>
      <c r="K11" s="217" t="s">
        <v>639</v>
      </c>
      <c r="L11" s="14">
        <v>1182</v>
      </c>
      <c r="Y11" s="4">
        <v>9</v>
      </c>
      <c r="Z11" s="4" t="s">
        <v>294</v>
      </c>
      <c r="AA11" s="4">
        <v>1637</v>
      </c>
      <c r="AB11" s="109">
        <v>32</v>
      </c>
      <c r="AC11" s="222">
        <f t="shared" si="4"/>
        <v>71.111111111111114</v>
      </c>
      <c r="AD11" s="16">
        <v>74.990000000000009</v>
      </c>
      <c r="AE11" s="4" t="s">
        <v>649</v>
      </c>
    </row>
    <row r="12" spans="2:31" ht="14.25" customHeight="1" x14ac:dyDescent="0.3">
      <c r="B12" s="114">
        <v>31.96</v>
      </c>
      <c r="C12" s="114">
        <f t="shared" si="0"/>
        <v>71.022222222222226</v>
      </c>
      <c r="D12" s="107">
        <f t="shared" si="1"/>
        <v>28.977777777777774</v>
      </c>
      <c r="E12" s="107">
        <v>63.730000000000004</v>
      </c>
      <c r="F12" s="218" t="s">
        <v>638</v>
      </c>
      <c r="G12" s="14">
        <v>726</v>
      </c>
      <c r="H12" s="217" t="str">
        <f t="shared" si="2"/>
        <v>Perbaikan</v>
      </c>
      <c r="K12" s="217" t="s">
        <v>639</v>
      </c>
      <c r="L12" s="14">
        <v>445</v>
      </c>
      <c r="Y12" s="4">
        <v>10</v>
      </c>
      <c r="Z12" s="4" t="s">
        <v>297</v>
      </c>
      <c r="AA12" s="4">
        <v>1086</v>
      </c>
      <c r="AB12" s="109">
        <v>30</v>
      </c>
      <c r="AC12" s="222">
        <f t="shared" si="4"/>
        <v>66.666666666666657</v>
      </c>
      <c r="AD12" s="16">
        <v>73.820000000000007</v>
      </c>
      <c r="AE12" s="4" t="s">
        <v>649</v>
      </c>
    </row>
    <row r="13" spans="2:31" ht="14.25" customHeight="1" x14ac:dyDescent="0.3">
      <c r="B13" s="114">
        <v>27.57</v>
      </c>
      <c r="C13" s="114">
        <f t="shared" si="0"/>
        <v>61.266666666666666</v>
      </c>
      <c r="D13" s="107">
        <f t="shared" si="1"/>
        <v>38.733333333333334</v>
      </c>
      <c r="E13" s="107">
        <v>59.63</v>
      </c>
      <c r="F13" s="218" t="s">
        <v>638</v>
      </c>
      <c r="G13" s="14">
        <v>63</v>
      </c>
      <c r="H13" s="217" t="str">
        <f t="shared" si="2"/>
        <v>Perbaikan</v>
      </c>
      <c r="K13" s="217" t="s">
        <v>639</v>
      </c>
      <c r="L13" s="117">
        <v>2522</v>
      </c>
      <c r="Y13" s="4">
        <v>11</v>
      </c>
      <c r="Z13" s="4" t="s">
        <v>299</v>
      </c>
      <c r="AA13" s="4">
        <v>1094</v>
      </c>
      <c r="AB13" s="109">
        <v>32.119999999999997</v>
      </c>
      <c r="AC13" s="222">
        <f t="shared" si="4"/>
        <v>71.37777777777778</v>
      </c>
      <c r="AD13" s="16">
        <v>70.819999999999993</v>
      </c>
      <c r="AE13" s="4" t="s">
        <v>649</v>
      </c>
    </row>
    <row r="14" spans="2:31" ht="14.25" customHeight="1" x14ac:dyDescent="0.3">
      <c r="B14" s="114">
        <v>28.39</v>
      </c>
      <c r="C14" s="114">
        <f t="shared" si="0"/>
        <v>63.088888888888896</v>
      </c>
      <c r="D14" s="107">
        <f t="shared" si="1"/>
        <v>36.911111111111104</v>
      </c>
      <c r="E14" s="107">
        <v>61.63</v>
      </c>
      <c r="F14" s="218" t="s">
        <v>638</v>
      </c>
      <c r="G14" s="14">
        <v>70</v>
      </c>
      <c r="H14" s="217" t="str">
        <f t="shared" si="2"/>
        <v>Perbaikan</v>
      </c>
      <c r="K14" s="217" t="s">
        <v>639</v>
      </c>
      <c r="L14" s="13">
        <v>1370</v>
      </c>
      <c r="Y14" s="4">
        <v>12</v>
      </c>
      <c r="Z14" s="4" t="s">
        <v>301</v>
      </c>
      <c r="AA14" s="4">
        <v>1867</v>
      </c>
      <c r="AB14" s="109">
        <v>33.119999999999997</v>
      </c>
      <c r="AC14" s="222">
        <f t="shared" si="4"/>
        <v>73.599999999999994</v>
      </c>
      <c r="AD14" s="16">
        <v>78.72</v>
      </c>
      <c r="AE14" s="4" t="s">
        <v>649</v>
      </c>
    </row>
    <row r="15" spans="2:31" ht="14.25" customHeight="1" x14ac:dyDescent="0.3">
      <c r="B15" s="114">
        <v>22.16</v>
      </c>
      <c r="C15" s="114">
        <f t="shared" si="0"/>
        <v>49.244444444444447</v>
      </c>
      <c r="D15" s="107">
        <f t="shared" si="1"/>
        <v>50.755555555555553</v>
      </c>
      <c r="E15" s="107">
        <v>59.910000000000011</v>
      </c>
      <c r="F15" s="218" t="s">
        <v>645</v>
      </c>
      <c r="G15" s="14">
        <v>53</v>
      </c>
      <c r="H15" s="217" t="str">
        <f t="shared" si="2"/>
        <v>Perbaikan</v>
      </c>
      <c r="K15" s="217" t="s">
        <v>639</v>
      </c>
      <c r="L15" s="116">
        <v>1449</v>
      </c>
      <c r="Y15" s="4">
        <v>13</v>
      </c>
      <c r="Z15" s="4" t="s">
        <v>303</v>
      </c>
      <c r="AA15" s="4">
        <v>1088</v>
      </c>
      <c r="AB15" s="109">
        <v>21.64</v>
      </c>
      <c r="AC15" s="222">
        <f t="shared" si="4"/>
        <v>48.088888888888889</v>
      </c>
      <c r="AD15" s="16">
        <v>67.100000000000009</v>
      </c>
      <c r="AE15" s="4" t="s">
        <v>649</v>
      </c>
    </row>
    <row r="16" spans="2:31" ht="14.25" customHeight="1" x14ac:dyDescent="0.3">
      <c r="B16" s="114">
        <v>27.55</v>
      </c>
      <c r="C16" s="114">
        <f t="shared" si="0"/>
        <v>61.222222222222221</v>
      </c>
      <c r="D16" s="107">
        <f t="shared" si="1"/>
        <v>38.777777777777779</v>
      </c>
      <c r="E16" s="107">
        <v>56.850000000000009</v>
      </c>
      <c r="F16" s="218" t="s">
        <v>638</v>
      </c>
      <c r="G16" s="14">
        <v>193</v>
      </c>
      <c r="H16" s="217" t="str">
        <f t="shared" si="2"/>
        <v>Perbaikan</v>
      </c>
      <c r="K16" s="217" t="s">
        <v>639</v>
      </c>
      <c r="L16" s="116">
        <v>1057</v>
      </c>
      <c r="Y16" s="4">
        <v>14</v>
      </c>
      <c r="Z16" s="4" t="s">
        <v>305</v>
      </c>
      <c r="AA16" s="4">
        <v>1920</v>
      </c>
      <c r="AB16" s="109">
        <v>22.26</v>
      </c>
      <c r="AC16" s="222">
        <f t="shared" si="4"/>
        <v>49.466666666666669</v>
      </c>
      <c r="AD16" s="16">
        <v>65.430000000000007</v>
      </c>
      <c r="AE16" s="4" t="s">
        <v>649</v>
      </c>
    </row>
    <row r="17" spans="2:31" ht="14.4" x14ac:dyDescent="0.3">
      <c r="B17" s="114">
        <v>27.88</v>
      </c>
      <c r="C17" s="114">
        <f t="shared" si="0"/>
        <v>61.955555555555556</v>
      </c>
      <c r="D17" s="107">
        <f t="shared" si="1"/>
        <v>38.044444444444444</v>
      </c>
      <c r="E17" s="107">
        <v>53.14</v>
      </c>
      <c r="F17" s="218" t="s">
        <v>638</v>
      </c>
      <c r="G17" s="14">
        <v>455</v>
      </c>
      <c r="H17" s="217" t="str">
        <f t="shared" si="2"/>
        <v>Perbaikan</v>
      </c>
      <c r="K17" s="217" t="s">
        <v>639</v>
      </c>
      <c r="L17" s="116">
        <v>1393</v>
      </c>
      <c r="Y17" s="4">
        <v>15</v>
      </c>
      <c r="Z17" s="4" t="s">
        <v>308</v>
      </c>
      <c r="AA17" s="4">
        <v>1262</v>
      </c>
      <c r="AB17" s="109">
        <v>23.34</v>
      </c>
      <c r="AC17" s="222">
        <f t="shared" si="4"/>
        <v>51.86666666666666</v>
      </c>
      <c r="AD17" s="16">
        <v>68.260000000000005</v>
      </c>
      <c r="AE17" s="4" t="s">
        <v>649</v>
      </c>
    </row>
    <row r="18" spans="2:31" ht="14.4" x14ac:dyDescent="0.3">
      <c r="B18" s="114">
        <v>27.18</v>
      </c>
      <c r="C18" s="114">
        <f t="shared" si="0"/>
        <v>60.4</v>
      </c>
      <c r="D18" s="107">
        <f t="shared" si="1"/>
        <v>39.6</v>
      </c>
      <c r="E18" s="107">
        <v>59.58</v>
      </c>
      <c r="F18" s="218" t="s">
        <v>638</v>
      </c>
      <c r="G18" s="14">
        <v>16</v>
      </c>
      <c r="H18" s="217" t="str">
        <f t="shared" si="2"/>
        <v>Perbaikan</v>
      </c>
      <c r="K18" s="217" t="s">
        <v>639</v>
      </c>
      <c r="L18" s="13">
        <v>1447</v>
      </c>
      <c r="Y18" s="4">
        <v>16</v>
      </c>
      <c r="Z18" s="4" t="s">
        <v>310</v>
      </c>
      <c r="AA18" s="4">
        <v>2188</v>
      </c>
      <c r="AB18" s="109">
        <v>30.37</v>
      </c>
      <c r="AC18" s="222">
        <f t="shared" si="4"/>
        <v>67.48888888888888</v>
      </c>
      <c r="AD18" s="16">
        <v>73.72</v>
      </c>
      <c r="AE18" s="4" t="s">
        <v>649</v>
      </c>
    </row>
    <row r="19" spans="2:31" ht="14.4" x14ac:dyDescent="0.3">
      <c r="B19" s="114">
        <v>22.54</v>
      </c>
      <c r="C19" s="114">
        <f t="shared" si="0"/>
        <v>50.088888888888881</v>
      </c>
      <c r="D19" s="107">
        <f t="shared" si="1"/>
        <v>49.911111111111119</v>
      </c>
      <c r="E19" s="107">
        <v>54.64</v>
      </c>
      <c r="F19" s="218" t="s">
        <v>645</v>
      </c>
      <c r="G19" s="14">
        <v>32</v>
      </c>
      <c r="H19" s="217" t="str">
        <f t="shared" si="2"/>
        <v>Rehab J.I</v>
      </c>
      <c r="K19" s="217" t="s">
        <v>639</v>
      </c>
      <c r="L19" s="116">
        <v>1239</v>
      </c>
      <c r="Y19" s="4">
        <v>17</v>
      </c>
      <c r="Z19" s="4" t="s">
        <v>312</v>
      </c>
      <c r="AA19" s="4">
        <v>1239</v>
      </c>
      <c r="AB19" s="109">
        <v>30</v>
      </c>
      <c r="AC19" s="222">
        <f t="shared" si="4"/>
        <v>66.666666666666657</v>
      </c>
      <c r="AD19" s="16">
        <v>75.42</v>
      </c>
      <c r="AE19" s="4" t="s">
        <v>649</v>
      </c>
    </row>
    <row r="20" spans="2:31" ht="14.4" x14ac:dyDescent="0.3">
      <c r="B20" s="114">
        <v>27.43</v>
      </c>
      <c r="C20" s="114">
        <f t="shared" si="0"/>
        <v>60.955555555555549</v>
      </c>
      <c r="D20" s="107">
        <f t="shared" si="1"/>
        <v>39.044444444444451</v>
      </c>
      <c r="E20" s="107">
        <v>61.73</v>
      </c>
      <c r="F20" s="218" t="s">
        <v>638</v>
      </c>
      <c r="G20" s="14">
        <v>46</v>
      </c>
      <c r="H20" s="217" t="str">
        <f t="shared" si="2"/>
        <v>Perbaikan</v>
      </c>
      <c r="K20" s="217" t="s">
        <v>639</v>
      </c>
      <c r="L20" s="116">
        <v>1244</v>
      </c>
      <c r="Y20" s="4">
        <v>18</v>
      </c>
      <c r="Z20" s="4" t="s">
        <v>315</v>
      </c>
      <c r="AA20" s="4">
        <v>2323</v>
      </c>
      <c r="AB20" s="109">
        <v>20.18</v>
      </c>
      <c r="AC20" s="222">
        <f t="shared" si="4"/>
        <v>44.844444444444441</v>
      </c>
      <c r="AD20" s="16">
        <v>62.86</v>
      </c>
      <c r="AE20" s="4" t="s">
        <v>649</v>
      </c>
    </row>
    <row r="21" spans="2:31" ht="15.75" customHeight="1" x14ac:dyDescent="0.3">
      <c r="B21" s="114">
        <v>21.83</v>
      </c>
      <c r="C21" s="114">
        <f t="shared" si="0"/>
        <v>48.511111111111106</v>
      </c>
      <c r="D21" s="107">
        <f t="shared" si="1"/>
        <v>51.488888888888894</v>
      </c>
      <c r="E21" s="107">
        <v>53.64</v>
      </c>
      <c r="F21" s="218" t="s">
        <v>645</v>
      </c>
      <c r="G21" s="14">
        <v>59</v>
      </c>
      <c r="H21" s="217" t="str">
        <f t="shared" si="2"/>
        <v>Rehab J.I</v>
      </c>
      <c r="K21" s="217" t="s">
        <v>639</v>
      </c>
      <c r="L21" s="116">
        <v>2188</v>
      </c>
      <c r="Y21" s="4">
        <v>19</v>
      </c>
      <c r="Z21" s="4" t="s">
        <v>317</v>
      </c>
      <c r="AA21" s="4">
        <v>1447</v>
      </c>
      <c r="AB21" s="109">
        <v>28.1</v>
      </c>
      <c r="AC21" s="222">
        <f t="shared" si="4"/>
        <v>62.44444444444445</v>
      </c>
      <c r="AD21" s="16">
        <v>69.7</v>
      </c>
      <c r="AE21" s="4" t="s">
        <v>649</v>
      </c>
    </row>
    <row r="22" spans="2:31" ht="15.75" customHeight="1" x14ac:dyDescent="0.3">
      <c r="B22" s="114">
        <v>28.83</v>
      </c>
      <c r="C22" s="114">
        <f t="shared" si="0"/>
        <v>64.066666666666663</v>
      </c>
      <c r="D22" s="107">
        <f t="shared" si="1"/>
        <v>35.933333333333337</v>
      </c>
      <c r="E22" s="107">
        <v>61.69</v>
      </c>
      <c r="F22" s="218" t="s">
        <v>638</v>
      </c>
      <c r="G22" s="14">
        <v>119</v>
      </c>
      <c r="H22" s="217" t="str">
        <f t="shared" si="2"/>
        <v>Perbaikan</v>
      </c>
      <c r="K22" s="217" t="s">
        <v>639</v>
      </c>
      <c r="L22" s="116">
        <v>2056</v>
      </c>
      <c r="Y22" s="4">
        <v>20</v>
      </c>
      <c r="Z22" s="4" t="s">
        <v>320</v>
      </c>
      <c r="AA22" s="4">
        <v>2056</v>
      </c>
      <c r="AB22" s="109">
        <v>28.8</v>
      </c>
      <c r="AC22" s="222">
        <f t="shared" si="4"/>
        <v>64</v>
      </c>
      <c r="AD22" s="16">
        <v>69.569999999999993</v>
      </c>
      <c r="AE22" s="4" t="s">
        <v>649</v>
      </c>
    </row>
    <row r="23" spans="2:31" ht="15.75" customHeight="1" x14ac:dyDescent="0.3">
      <c r="B23" s="114">
        <v>21.53</v>
      </c>
      <c r="C23" s="114">
        <f t="shared" si="0"/>
        <v>47.844444444444449</v>
      </c>
      <c r="D23" s="107">
        <f t="shared" si="1"/>
        <v>52.155555555555551</v>
      </c>
      <c r="E23" s="107">
        <v>65.039999999999992</v>
      </c>
      <c r="F23" s="218" t="s">
        <v>645</v>
      </c>
      <c r="G23" s="14">
        <v>165</v>
      </c>
      <c r="H23" s="217" t="str">
        <f t="shared" si="2"/>
        <v>Perbaikan</v>
      </c>
      <c r="K23" s="217" t="s">
        <v>639</v>
      </c>
      <c r="L23" s="13">
        <v>1088</v>
      </c>
      <c r="Y23" s="4">
        <v>21</v>
      </c>
      <c r="Z23" s="4" t="s">
        <v>322</v>
      </c>
      <c r="AA23" s="4">
        <v>1879</v>
      </c>
      <c r="AB23" s="109">
        <v>32.979999999999997</v>
      </c>
      <c r="AC23" s="222">
        <f t="shared" si="4"/>
        <v>73.288888888888877</v>
      </c>
      <c r="AD23" s="16">
        <v>79.739999999999995</v>
      </c>
      <c r="AE23" s="4" t="s">
        <v>649</v>
      </c>
    </row>
    <row r="24" spans="2:31" ht="15.75" customHeight="1" x14ac:dyDescent="0.3">
      <c r="B24" s="114">
        <v>17.97</v>
      </c>
      <c r="C24" s="114">
        <f t="shared" si="0"/>
        <v>39.93333333333333</v>
      </c>
      <c r="D24" s="107">
        <f t="shared" si="1"/>
        <v>60.06666666666667</v>
      </c>
      <c r="E24" s="107">
        <v>53.709999999999994</v>
      </c>
      <c r="F24" s="218" t="s">
        <v>645</v>
      </c>
      <c r="G24" s="14">
        <v>551</v>
      </c>
      <c r="H24" s="217" t="str">
        <f t="shared" si="2"/>
        <v>Rehab J.I</v>
      </c>
      <c r="K24" s="217" t="s">
        <v>639</v>
      </c>
      <c r="L24" s="13">
        <v>309</v>
      </c>
      <c r="Y24" s="4">
        <v>22</v>
      </c>
      <c r="Z24" s="4" t="s">
        <v>325</v>
      </c>
      <c r="AA24" s="4">
        <v>1244</v>
      </c>
      <c r="AB24" s="109">
        <v>32.25</v>
      </c>
      <c r="AC24" s="222">
        <f t="shared" si="4"/>
        <v>71.666666666666671</v>
      </c>
      <c r="AD24" s="16">
        <v>77.930000000000007</v>
      </c>
      <c r="AE24" s="4" t="s">
        <v>649</v>
      </c>
    </row>
    <row r="25" spans="2:31" ht="15.75" customHeight="1" x14ac:dyDescent="0.3">
      <c r="B25" s="114">
        <v>24.75</v>
      </c>
      <c r="C25" s="114">
        <f t="shared" si="0"/>
        <v>55.000000000000007</v>
      </c>
      <c r="D25" s="107">
        <f t="shared" si="1"/>
        <v>44.999999999999993</v>
      </c>
      <c r="E25" s="107">
        <v>64.820000000000007</v>
      </c>
      <c r="F25" s="218" t="s">
        <v>645</v>
      </c>
      <c r="G25" s="14">
        <v>69</v>
      </c>
      <c r="H25" s="217" t="str">
        <f t="shared" si="2"/>
        <v>Perbaikan</v>
      </c>
      <c r="K25" s="217" t="s">
        <v>639</v>
      </c>
      <c r="L25" s="13">
        <v>63</v>
      </c>
      <c r="Y25" s="4">
        <v>23</v>
      </c>
      <c r="Z25" s="4" t="s">
        <v>327</v>
      </c>
      <c r="AA25" s="4">
        <v>1393</v>
      </c>
      <c r="AB25" s="109">
        <v>33.1</v>
      </c>
      <c r="AC25" s="222">
        <f t="shared" si="4"/>
        <v>73.555555555555557</v>
      </c>
      <c r="AD25" s="16">
        <v>78.069999999999993</v>
      </c>
      <c r="AE25" s="4" t="s">
        <v>649</v>
      </c>
    </row>
    <row r="26" spans="2:31" ht="15.75" customHeight="1" x14ac:dyDescent="0.3">
      <c r="B26" s="114">
        <v>29.82</v>
      </c>
      <c r="C26" s="114">
        <f t="shared" si="0"/>
        <v>66.266666666666666</v>
      </c>
      <c r="D26" s="107">
        <f t="shared" si="1"/>
        <v>33.733333333333334</v>
      </c>
      <c r="E26" s="107">
        <v>70.33</v>
      </c>
      <c r="F26" s="218" t="s">
        <v>638</v>
      </c>
      <c r="G26" s="14">
        <v>54</v>
      </c>
      <c r="H26" s="217" t="str">
        <f t="shared" si="2"/>
        <v>Perawatan</v>
      </c>
      <c r="K26" s="217" t="s">
        <v>639</v>
      </c>
      <c r="L26" s="29">
        <v>777</v>
      </c>
      <c r="Y26" s="4">
        <v>24</v>
      </c>
      <c r="Z26" s="4" t="s">
        <v>329</v>
      </c>
      <c r="AA26" s="4">
        <v>1523</v>
      </c>
      <c r="AB26" s="109">
        <v>32.229999999999997</v>
      </c>
      <c r="AC26" s="222">
        <f t="shared" si="4"/>
        <v>71.62222222222222</v>
      </c>
      <c r="AD26" s="16">
        <v>59.639999999999993</v>
      </c>
      <c r="AE26" s="4" t="s">
        <v>649</v>
      </c>
    </row>
    <row r="27" spans="2:31" ht="15.75" customHeight="1" x14ac:dyDescent="0.3">
      <c r="B27" s="114">
        <v>29.66</v>
      </c>
      <c r="C27" s="114">
        <f t="shared" si="0"/>
        <v>65.911111111111111</v>
      </c>
      <c r="D27" s="107">
        <f t="shared" si="1"/>
        <v>34.088888888888889</v>
      </c>
      <c r="E27" s="107">
        <v>71.19</v>
      </c>
      <c r="F27" s="218" t="s">
        <v>638</v>
      </c>
      <c r="G27" s="14">
        <v>23</v>
      </c>
      <c r="H27" s="217" t="str">
        <f t="shared" si="2"/>
        <v>Perawatan</v>
      </c>
      <c r="K27" s="217" t="s">
        <v>639</v>
      </c>
      <c r="L27" s="13">
        <v>1499</v>
      </c>
      <c r="Y27" s="4">
        <v>25</v>
      </c>
      <c r="Z27" s="4" t="s">
        <v>331</v>
      </c>
      <c r="AA27" s="4">
        <v>1736</v>
      </c>
      <c r="AB27" s="109">
        <v>24.43</v>
      </c>
      <c r="AC27" s="222">
        <f t="shared" si="4"/>
        <v>54.288888888888884</v>
      </c>
      <c r="AD27" s="16">
        <v>55.480000000000004</v>
      </c>
      <c r="AE27" s="4" t="s">
        <v>649</v>
      </c>
    </row>
    <row r="28" spans="2:31" ht="15.75" customHeight="1" x14ac:dyDescent="0.3">
      <c r="B28" s="114">
        <v>28.87</v>
      </c>
      <c r="C28" s="114">
        <f t="shared" si="0"/>
        <v>64.155555555555551</v>
      </c>
      <c r="D28" s="107">
        <f t="shared" si="1"/>
        <v>35.844444444444449</v>
      </c>
      <c r="E28" s="107">
        <v>70.02000000000001</v>
      </c>
      <c r="F28" s="218" t="s">
        <v>638</v>
      </c>
      <c r="G28" s="14">
        <v>42</v>
      </c>
      <c r="H28" s="217" t="str">
        <f t="shared" si="2"/>
        <v>Perawatan</v>
      </c>
      <c r="K28" s="217" t="s">
        <v>639</v>
      </c>
      <c r="L28" s="116">
        <v>1523</v>
      </c>
      <c r="Y28" s="4">
        <v>26</v>
      </c>
      <c r="Z28" s="4" t="s">
        <v>334</v>
      </c>
      <c r="AA28" s="4">
        <v>1074</v>
      </c>
      <c r="AB28" s="109">
        <v>27.37</v>
      </c>
      <c r="AC28" s="222">
        <f t="shared" si="4"/>
        <v>60.822222222222223</v>
      </c>
      <c r="AD28" s="16">
        <v>65.790000000000006</v>
      </c>
      <c r="AE28" s="4" t="s">
        <v>649</v>
      </c>
    </row>
    <row r="29" spans="2:31" ht="15.75" customHeight="1" x14ac:dyDescent="0.3">
      <c r="B29" s="114">
        <v>13.8</v>
      </c>
      <c r="C29" s="114">
        <f t="shared" si="0"/>
        <v>30.666666666666671</v>
      </c>
      <c r="D29" s="107">
        <f t="shared" si="1"/>
        <v>69.333333333333329</v>
      </c>
      <c r="E29" s="107">
        <v>55.02</v>
      </c>
      <c r="F29" s="218" t="s">
        <v>645</v>
      </c>
      <c r="G29" s="14">
        <v>51</v>
      </c>
      <c r="H29" s="217" t="str">
        <f t="shared" si="2"/>
        <v>Perbaikan</v>
      </c>
      <c r="K29" s="217" t="s">
        <v>639</v>
      </c>
      <c r="L29" s="116">
        <v>2462</v>
      </c>
      <c r="Y29" s="4">
        <v>27</v>
      </c>
      <c r="Z29" s="4" t="s">
        <v>336</v>
      </c>
      <c r="AA29" s="4">
        <v>1074</v>
      </c>
      <c r="AB29" s="109">
        <v>23.65</v>
      </c>
      <c r="AC29" s="222">
        <f t="shared" si="4"/>
        <v>52.555555555555557</v>
      </c>
      <c r="AD29" s="16">
        <v>57.150000000000006</v>
      </c>
      <c r="AE29" s="4" t="s">
        <v>649</v>
      </c>
    </row>
    <row r="30" spans="2:31" ht="15.75" customHeight="1" x14ac:dyDescent="0.3">
      <c r="B30" s="114">
        <v>27.48</v>
      </c>
      <c r="C30" s="114">
        <f t="shared" si="0"/>
        <v>61.06666666666667</v>
      </c>
      <c r="D30" s="107">
        <f t="shared" si="1"/>
        <v>38.93333333333333</v>
      </c>
      <c r="E30" s="107">
        <v>69</v>
      </c>
      <c r="F30" s="218" t="s">
        <v>638</v>
      </c>
      <c r="G30" s="14">
        <v>82</v>
      </c>
      <c r="H30" s="217" t="str">
        <f t="shared" si="2"/>
        <v>Perbaikan</v>
      </c>
      <c r="K30" s="217" t="s">
        <v>646</v>
      </c>
      <c r="L30" s="14">
        <v>148</v>
      </c>
      <c r="Y30" s="4">
        <v>28</v>
      </c>
      <c r="Z30" s="4" t="s">
        <v>338</v>
      </c>
      <c r="AA30" s="4">
        <v>1499</v>
      </c>
      <c r="AB30" s="109">
        <v>27.53</v>
      </c>
      <c r="AC30" s="222">
        <f t="shared" si="4"/>
        <v>61.177777777777777</v>
      </c>
      <c r="AD30" s="16">
        <v>73.600000000000009</v>
      </c>
      <c r="AE30" s="4" t="s">
        <v>649</v>
      </c>
    </row>
    <row r="31" spans="2:31" ht="15.75" customHeight="1" x14ac:dyDescent="0.3">
      <c r="B31" s="114">
        <v>24.65</v>
      </c>
      <c r="C31" s="114">
        <f t="shared" si="0"/>
        <v>54.777777777777771</v>
      </c>
      <c r="D31" s="107">
        <f t="shared" si="1"/>
        <v>45.222222222222229</v>
      </c>
      <c r="E31" s="107">
        <v>66.22</v>
      </c>
      <c r="F31" s="218" t="s">
        <v>645</v>
      </c>
      <c r="G31" s="14">
        <v>62</v>
      </c>
      <c r="H31" s="217" t="str">
        <f t="shared" si="2"/>
        <v>Perbaikan</v>
      </c>
      <c r="K31" s="217" t="s">
        <v>646</v>
      </c>
      <c r="L31" s="14">
        <v>156</v>
      </c>
      <c r="Y31" s="4">
        <v>29</v>
      </c>
      <c r="Z31" s="4" t="s">
        <v>340</v>
      </c>
      <c r="AA31" s="4">
        <v>2184</v>
      </c>
      <c r="AB31" s="109">
        <v>34</v>
      </c>
      <c r="AC31" s="222">
        <f t="shared" si="4"/>
        <v>75.555555555555557</v>
      </c>
      <c r="AD31" s="16">
        <v>71.16</v>
      </c>
      <c r="AE31" s="4" t="s">
        <v>649</v>
      </c>
    </row>
    <row r="32" spans="2:31" ht="15.75" customHeight="1" x14ac:dyDescent="0.3">
      <c r="B32" s="114">
        <v>26.65</v>
      </c>
      <c r="C32" s="114">
        <f t="shared" si="0"/>
        <v>59.222222222222221</v>
      </c>
      <c r="D32" s="107">
        <f t="shared" si="1"/>
        <v>40.777777777777779</v>
      </c>
      <c r="E32" s="107">
        <v>67.819999999999993</v>
      </c>
      <c r="F32" s="218" t="s">
        <v>645</v>
      </c>
      <c r="G32" s="14">
        <v>56</v>
      </c>
      <c r="H32" s="217" t="str">
        <f t="shared" si="2"/>
        <v>Perbaikan</v>
      </c>
      <c r="K32" s="217" t="s">
        <v>646</v>
      </c>
      <c r="L32" s="117">
        <v>1212</v>
      </c>
      <c r="Y32" s="4">
        <v>30</v>
      </c>
      <c r="Z32" s="4" t="s">
        <v>343</v>
      </c>
      <c r="AA32" s="4">
        <v>1523</v>
      </c>
      <c r="AB32" s="109">
        <v>31.88</v>
      </c>
      <c r="AC32" s="222">
        <f t="shared" si="4"/>
        <v>70.844444444444449</v>
      </c>
      <c r="AD32" s="16">
        <v>72.089999999999989</v>
      </c>
      <c r="AE32" s="4" t="s">
        <v>649</v>
      </c>
    </row>
    <row r="33" spans="2:31" ht="15.75" customHeight="1" x14ac:dyDescent="0.3">
      <c r="B33" s="114">
        <v>17.25</v>
      </c>
      <c r="C33" s="114">
        <f t="shared" si="0"/>
        <v>38.333333333333336</v>
      </c>
      <c r="D33" s="107">
        <f t="shared" si="1"/>
        <v>61.666666666666664</v>
      </c>
      <c r="E33" s="107">
        <v>58.83</v>
      </c>
      <c r="F33" s="218" t="s">
        <v>645</v>
      </c>
      <c r="G33" s="14">
        <v>38</v>
      </c>
      <c r="H33" s="217" t="str">
        <f t="shared" si="2"/>
        <v>Perbaikan</v>
      </c>
      <c r="K33" s="217" t="s">
        <v>646</v>
      </c>
      <c r="L33" s="14">
        <v>20</v>
      </c>
      <c r="Y33" s="4">
        <v>31</v>
      </c>
      <c r="Z33" s="4" t="s">
        <v>345</v>
      </c>
      <c r="AA33" s="4">
        <v>1744</v>
      </c>
      <c r="AB33" s="109">
        <v>31.21</v>
      </c>
      <c r="AC33" s="222">
        <f t="shared" si="4"/>
        <v>69.355555555555554</v>
      </c>
      <c r="AD33" s="16">
        <v>62.41</v>
      </c>
      <c r="AE33" s="4" t="s">
        <v>649</v>
      </c>
    </row>
    <row r="34" spans="2:31" ht="15.75" customHeight="1" x14ac:dyDescent="0.3">
      <c r="B34" s="105">
        <v>25.3</v>
      </c>
      <c r="C34" s="114">
        <f t="shared" si="0"/>
        <v>56.222222222222229</v>
      </c>
      <c r="D34" s="107">
        <f t="shared" si="1"/>
        <v>43.777777777777771</v>
      </c>
      <c r="E34" s="107">
        <v>64.81</v>
      </c>
      <c r="F34" s="218" t="s">
        <v>645</v>
      </c>
      <c r="G34" s="14">
        <v>45</v>
      </c>
      <c r="H34" s="217" t="str">
        <f t="shared" si="2"/>
        <v>Perbaikan</v>
      </c>
      <c r="K34" s="217" t="s">
        <v>646</v>
      </c>
      <c r="L34" s="14">
        <v>457</v>
      </c>
      <c r="Y34" s="4">
        <v>32</v>
      </c>
      <c r="Z34" s="4" t="s">
        <v>347</v>
      </c>
      <c r="AA34" s="4">
        <v>1126</v>
      </c>
      <c r="AB34" s="109">
        <v>32.32</v>
      </c>
      <c r="AC34" s="222">
        <f t="shared" si="4"/>
        <v>71.822222222222223</v>
      </c>
      <c r="AD34" s="16">
        <v>69.77000000000001</v>
      </c>
      <c r="AE34" s="4" t="s">
        <v>649</v>
      </c>
    </row>
    <row r="35" spans="2:31" ht="15.75" customHeight="1" x14ac:dyDescent="0.3">
      <c r="B35" s="114">
        <v>19.7</v>
      </c>
      <c r="C35" s="114">
        <f t="shared" si="0"/>
        <v>43.777777777777779</v>
      </c>
      <c r="D35" s="107">
        <f t="shared" si="1"/>
        <v>56.222222222222221</v>
      </c>
      <c r="E35" s="107">
        <v>52.57</v>
      </c>
      <c r="F35" s="218" t="s">
        <v>645</v>
      </c>
      <c r="G35" s="14">
        <v>461</v>
      </c>
      <c r="H35" s="217" t="str">
        <f t="shared" si="2"/>
        <v>Rehab J.I</v>
      </c>
      <c r="K35" s="217" t="s">
        <v>646</v>
      </c>
      <c r="L35" s="14">
        <v>107</v>
      </c>
      <c r="Y35" s="4">
        <v>33</v>
      </c>
      <c r="Z35" s="4" t="s">
        <v>349</v>
      </c>
      <c r="AA35" s="4">
        <v>1909</v>
      </c>
      <c r="AB35" s="109">
        <v>28.37</v>
      </c>
      <c r="AC35" s="222">
        <f t="shared" si="4"/>
        <v>63.044444444444444</v>
      </c>
      <c r="AD35" s="16">
        <v>59.48</v>
      </c>
      <c r="AE35" s="4" t="s">
        <v>649</v>
      </c>
    </row>
    <row r="36" spans="2:31" ht="15.75" customHeight="1" x14ac:dyDescent="0.3">
      <c r="B36" s="105">
        <v>36.72</v>
      </c>
      <c r="C36" s="114">
        <f t="shared" si="0"/>
        <v>81.599999999999994</v>
      </c>
      <c r="D36" s="107">
        <f t="shared" si="1"/>
        <v>18.400000000000006</v>
      </c>
      <c r="E36" s="115">
        <v>69.789999999999992</v>
      </c>
      <c r="F36" s="218" t="s">
        <v>647</v>
      </c>
      <c r="G36" s="117">
        <v>1763</v>
      </c>
      <c r="H36" s="217" t="str">
        <f t="shared" si="2"/>
        <v>Perawatan</v>
      </c>
      <c r="K36" s="217" t="s">
        <v>646</v>
      </c>
      <c r="L36" s="14">
        <v>39</v>
      </c>
      <c r="Y36" s="4">
        <v>34</v>
      </c>
      <c r="Z36" s="4" t="s">
        <v>352</v>
      </c>
      <c r="AA36" s="4">
        <v>1513</v>
      </c>
      <c r="AB36" s="109">
        <v>23.99</v>
      </c>
      <c r="AC36" s="222">
        <f t="shared" si="4"/>
        <v>53.31111111111111</v>
      </c>
      <c r="AD36" s="16">
        <v>62.42</v>
      </c>
      <c r="AE36" s="4" t="s">
        <v>649</v>
      </c>
    </row>
    <row r="37" spans="2:31" ht="15.75" customHeight="1" x14ac:dyDescent="0.3">
      <c r="B37" s="114">
        <v>23.96</v>
      </c>
      <c r="C37" s="114">
        <f t="shared" si="0"/>
        <v>53.244444444444447</v>
      </c>
      <c r="D37" s="107">
        <f t="shared" si="1"/>
        <v>46.755555555555553</v>
      </c>
      <c r="E37" s="107">
        <v>62.7</v>
      </c>
      <c r="F37" s="218" t="s">
        <v>645</v>
      </c>
      <c r="G37" s="14">
        <v>1378</v>
      </c>
      <c r="H37" s="217" t="str">
        <f t="shared" si="2"/>
        <v>Perbaikan</v>
      </c>
      <c r="K37" s="217" t="s">
        <v>646</v>
      </c>
      <c r="L37" s="14">
        <v>282</v>
      </c>
      <c r="Y37" s="4">
        <v>35</v>
      </c>
      <c r="Z37" s="4" t="s">
        <v>354</v>
      </c>
      <c r="AA37" s="4">
        <v>1843</v>
      </c>
      <c r="AB37" s="109">
        <v>31</v>
      </c>
      <c r="AC37" s="222">
        <f t="shared" si="4"/>
        <v>68.888888888888886</v>
      </c>
      <c r="AD37" s="16">
        <v>64.95</v>
      </c>
      <c r="AE37" s="4" t="s">
        <v>649</v>
      </c>
    </row>
    <row r="38" spans="2:31" ht="15.75" customHeight="1" x14ac:dyDescent="0.3">
      <c r="B38" s="114">
        <v>25.99</v>
      </c>
      <c r="C38" s="114">
        <f t="shared" si="0"/>
        <v>57.755555555555546</v>
      </c>
      <c r="D38" s="107">
        <f t="shared" si="1"/>
        <v>42.244444444444454</v>
      </c>
      <c r="E38" s="115">
        <v>57.33</v>
      </c>
      <c r="F38" s="218" t="s">
        <v>645</v>
      </c>
      <c r="G38" s="117">
        <v>1926</v>
      </c>
      <c r="H38" s="217" t="str">
        <f t="shared" si="2"/>
        <v>Perbaikan</v>
      </c>
      <c r="K38" s="217" t="s">
        <v>646</v>
      </c>
      <c r="L38" s="14">
        <v>726</v>
      </c>
      <c r="Y38" s="4">
        <v>36</v>
      </c>
      <c r="Z38" s="4" t="s">
        <v>356</v>
      </c>
      <c r="AA38" s="4">
        <v>1613</v>
      </c>
      <c r="AB38" s="109">
        <v>28.11</v>
      </c>
      <c r="AC38" s="222">
        <f t="shared" si="4"/>
        <v>62.466666666666669</v>
      </c>
      <c r="AD38" s="16">
        <v>54</v>
      </c>
      <c r="AE38" s="4" t="s">
        <v>649</v>
      </c>
    </row>
    <row r="39" spans="2:31" ht="15.75" customHeight="1" x14ac:dyDescent="0.3">
      <c r="B39" s="105">
        <v>38.83</v>
      </c>
      <c r="C39" s="114">
        <f t="shared" si="0"/>
        <v>86.288888888888877</v>
      </c>
      <c r="D39" s="107">
        <f t="shared" si="1"/>
        <v>13.711111111111123</v>
      </c>
      <c r="E39" s="115">
        <v>68.309999999999988</v>
      </c>
      <c r="F39" s="218" t="s">
        <v>647</v>
      </c>
      <c r="G39" s="117">
        <v>2946</v>
      </c>
      <c r="H39" s="217" t="str">
        <f t="shared" si="2"/>
        <v>Perawatan</v>
      </c>
      <c r="K39" s="217" t="s">
        <v>646</v>
      </c>
      <c r="L39" s="14">
        <v>63</v>
      </c>
      <c r="Y39" s="4">
        <v>37</v>
      </c>
      <c r="Z39" s="4" t="s">
        <v>358</v>
      </c>
      <c r="AA39" s="4">
        <v>1057</v>
      </c>
      <c r="AB39" s="109">
        <v>31.79</v>
      </c>
      <c r="AC39" s="222">
        <f t="shared" si="4"/>
        <v>70.644444444444446</v>
      </c>
      <c r="AD39" s="16">
        <v>72.59</v>
      </c>
      <c r="AE39" s="4" t="s">
        <v>649</v>
      </c>
    </row>
    <row r="40" spans="2:31" ht="15.75" customHeight="1" x14ac:dyDescent="0.3">
      <c r="B40" s="114">
        <v>22</v>
      </c>
      <c r="C40" s="114">
        <f t="shared" si="0"/>
        <v>48.888888888888886</v>
      </c>
      <c r="D40" s="107">
        <f t="shared" si="1"/>
        <v>51.111111111111114</v>
      </c>
      <c r="E40" s="107">
        <v>66.209999999999994</v>
      </c>
      <c r="F40" s="218" t="s">
        <v>645</v>
      </c>
      <c r="G40" s="14">
        <v>369</v>
      </c>
      <c r="H40" s="217" t="str">
        <f t="shared" si="2"/>
        <v>Perbaikan</v>
      </c>
      <c r="K40" s="217" t="s">
        <v>646</v>
      </c>
      <c r="L40" s="14">
        <v>70</v>
      </c>
      <c r="Y40" s="4">
        <v>38</v>
      </c>
      <c r="Z40" s="4" t="s">
        <v>360</v>
      </c>
      <c r="AA40" s="4">
        <v>1008</v>
      </c>
      <c r="AB40" s="109">
        <v>30.41</v>
      </c>
      <c r="AC40" s="222">
        <f t="shared" si="4"/>
        <v>67.577777777777783</v>
      </c>
      <c r="AD40" s="16">
        <v>63</v>
      </c>
      <c r="AE40" s="4" t="s">
        <v>649</v>
      </c>
    </row>
    <row r="41" spans="2:31" ht="15.75" customHeight="1" x14ac:dyDescent="0.3">
      <c r="B41" s="114">
        <v>13.45</v>
      </c>
      <c r="C41" s="114">
        <f t="shared" si="0"/>
        <v>29.888888888888886</v>
      </c>
      <c r="D41" s="107">
        <f t="shared" si="1"/>
        <v>70.111111111111114</v>
      </c>
      <c r="E41" s="107">
        <v>57.11</v>
      </c>
      <c r="F41" s="218" t="s">
        <v>645</v>
      </c>
      <c r="G41" s="14">
        <v>281</v>
      </c>
      <c r="H41" s="217" t="str">
        <f t="shared" si="2"/>
        <v>Perbaikan</v>
      </c>
      <c r="K41" s="217" t="s">
        <v>646</v>
      </c>
      <c r="L41" s="14">
        <v>53</v>
      </c>
      <c r="Y41" s="4">
        <v>39</v>
      </c>
      <c r="Z41" s="4" t="s">
        <v>361</v>
      </c>
      <c r="AA41" s="4">
        <v>1449</v>
      </c>
      <c r="AB41" s="109">
        <v>37.79</v>
      </c>
      <c r="AC41" s="222">
        <f t="shared" si="4"/>
        <v>83.977777777777774</v>
      </c>
      <c r="AD41" s="16">
        <v>76.89</v>
      </c>
      <c r="AE41" s="21" t="s">
        <v>651</v>
      </c>
    </row>
    <row r="42" spans="2:31" ht="15.75" customHeight="1" x14ac:dyDescent="0.3">
      <c r="B42" s="114">
        <v>23.79</v>
      </c>
      <c r="C42" s="114">
        <f t="shared" si="0"/>
        <v>52.86666666666666</v>
      </c>
      <c r="D42" s="107">
        <f t="shared" si="1"/>
        <v>47.13333333333334</v>
      </c>
      <c r="E42" s="107">
        <v>68.47</v>
      </c>
      <c r="F42" s="218" t="s">
        <v>645</v>
      </c>
      <c r="G42" s="14">
        <v>332</v>
      </c>
      <c r="H42" s="217" t="str">
        <f t="shared" si="2"/>
        <v>Perbaikan</v>
      </c>
      <c r="K42" s="217" t="s">
        <v>646</v>
      </c>
      <c r="L42" s="14">
        <v>193</v>
      </c>
      <c r="Y42" s="4">
        <v>40</v>
      </c>
      <c r="Z42" s="4" t="s">
        <v>323</v>
      </c>
      <c r="AA42" s="4">
        <v>1085</v>
      </c>
      <c r="AB42" s="109">
        <v>20.16</v>
      </c>
      <c r="AC42" s="222">
        <f t="shared" si="4"/>
        <v>44.800000000000004</v>
      </c>
      <c r="AD42" s="16">
        <v>39.17</v>
      </c>
      <c r="AE42" s="26" t="s">
        <v>640</v>
      </c>
    </row>
    <row r="43" spans="2:31" ht="15.75" customHeight="1" x14ac:dyDescent="0.3">
      <c r="B43" s="114">
        <v>28.53</v>
      </c>
      <c r="C43" s="114">
        <f t="shared" si="0"/>
        <v>63.4</v>
      </c>
      <c r="D43" s="107">
        <f t="shared" si="1"/>
        <v>36.6</v>
      </c>
      <c r="E43" s="107">
        <v>68.36999999999999</v>
      </c>
      <c r="F43" s="218" t="s">
        <v>638</v>
      </c>
      <c r="G43" s="14">
        <v>108</v>
      </c>
      <c r="H43" s="217" t="str">
        <f t="shared" si="2"/>
        <v>Perbaikan</v>
      </c>
      <c r="K43" s="217" t="s">
        <v>646</v>
      </c>
      <c r="L43" s="14">
        <v>455</v>
      </c>
      <c r="Y43" s="4">
        <v>41</v>
      </c>
      <c r="Z43" s="4" t="s">
        <v>364</v>
      </c>
      <c r="AA43" s="4">
        <v>1090</v>
      </c>
      <c r="AB43" s="109">
        <v>30.5</v>
      </c>
      <c r="AC43" s="222">
        <f t="shared" si="4"/>
        <v>67.777777777777786</v>
      </c>
      <c r="AD43" s="16">
        <v>62.8</v>
      </c>
      <c r="AE43" s="4" t="s">
        <v>649</v>
      </c>
    </row>
    <row r="44" spans="2:31" ht="15.75" customHeight="1" x14ac:dyDescent="0.3">
      <c r="B44" s="114">
        <v>24.05</v>
      </c>
      <c r="C44" s="114">
        <f t="shared" si="0"/>
        <v>53.44444444444445</v>
      </c>
      <c r="D44" s="107">
        <f t="shared" si="1"/>
        <v>46.55555555555555</v>
      </c>
      <c r="E44" s="107">
        <v>67.490000000000009</v>
      </c>
      <c r="F44" s="218" t="s">
        <v>645</v>
      </c>
      <c r="G44" s="14">
        <v>98</v>
      </c>
      <c r="H44" s="217" t="str">
        <f t="shared" si="2"/>
        <v>Perbaikan</v>
      </c>
      <c r="K44" s="217" t="s">
        <v>646</v>
      </c>
      <c r="L44" s="14">
        <v>16</v>
      </c>
      <c r="Y44" s="4">
        <v>42</v>
      </c>
      <c r="Z44" s="4" t="s">
        <v>366</v>
      </c>
      <c r="AA44" s="4">
        <v>1132</v>
      </c>
      <c r="AB44" s="109">
        <v>25.4</v>
      </c>
      <c r="AC44" s="222">
        <f t="shared" si="4"/>
        <v>56.444444444444443</v>
      </c>
      <c r="AD44" s="16">
        <v>45.2</v>
      </c>
      <c r="AE44" s="26" t="s">
        <v>640</v>
      </c>
    </row>
    <row r="45" spans="2:31" ht="15.75" customHeight="1" x14ac:dyDescent="0.3">
      <c r="B45" s="114">
        <v>20.81</v>
      </c>
      <c r="C45" s="114">
        <f t="shared" si="0"/>
        <v>46.24444444444444</v>
      </c>
      <c r="D45" s="107">
        <f t="shared" si="1"/>
        <v>53.75555555555556</v>
      </c>
      <c r="E45" s="107">
        <v>64.27</v>
      </c>
      <c r="F45" s="218" t="s">
        <v>645</v>
      </c>
      <c r="G45" s="14">
        <v>245</v>
      </c>
      <c r="H45" s="217" t="str">
        <f t="shared" si="2"/>
        <v>Perbaikan</v>
      </c>
      <c r="K45" s="217" t="s">
        <v>646</v>
      </c>
      <c r="L45" s="14">
        <v>46</v>
      </c>
      <c r="Y45" s="4">
        <v>43</v>
      </c>
      <c r="Z45" s="4" t="s">
        <v>368</v>
      </c>
      <c r="AA45" s="4">
        <v>1055</v>
      </c>
      <c r="AB45" s="109">
        <v>32.380000000000003</v>
      </c>
      <c r="AC45" s="222">
        <f t="shared" si="4"/>
        <v>71.955555555555563</v>
      </c>
      <c r="AD45" s="16">
        <v>69.180000000000007</v>
      </c>
      <c r="AE45" s="4" t="s">
        <v>649</v>
      </c>
    </row>
    <row r="46" spans="2:31" ht="15.75" customHeight="1" x14ac:dyDescent="0.3">
      <c r="B46" s="114">
        <v>13.38</v>
      </c>
      <c r="C46" s="114">
        <f t="shared" si="0"/>
        <v>29.733333333333334</v>
      </c>
      <c r="D46" s="107">
        <f t="shared" si="1"/>
        <v>70.266666666666666</v>
      </c>
      <c r="E46" s="107">
        <v>57.269999999999996</v>
      </c>
      <c r="F46" s="218" t="s">
        <v>645</v>
      </c>
      <c r="G46" s="14">
        <v>113</v>
      </c>
      <c r="H46" s="217" t="str">
        <f t="shared" si="2"/>
        <v>Perbaikan</v>
      </c>
      <c r="K46" s="217" t="s">
        <v>646</v>
      </c>
      <c r="L46" s="14">
        <v>119</v>
      </c>
      <c r="Y46" s="4">
        <v>44</v>
      </c>
      <c r="Z46" s="4" t="s">
        <v>371</v>
      </c>
      <c r="AA46" s="4">
        <v>1812</v>
      </c>
      <c r="AB46" s="109">
        <v>30.8</v>
      </c>
      <c r="AC46" s="222">
        <f t="shared" si="4"/>
        <v>68.444444444444443</v>
      </c>
      <c r="AD46" s="16">
        <v>75.22</v>
      </c>
      <c r="AE46" s="4" t="s">
        <v>649</v>
      </c>
    </row>
    <row r="47" spans="2:31" ht="15.75" customHeight="1" x14ac:dyDescent="0.3">
      <c r="B47" s="114">
        <v>23.57</v>
      </c>
      <c r="C47" s="114">
        <f t="shared" si="0"/>
        <v>52.37777777777778</v>
      </c>
      <c r="D47" s="107">
        <f t="shared" si="1"/>
        <v>47.62222222222222</v>
      </c>
      <c r="E47" s="107">
        <v>67.22</v>
      </c>
      <c r="F47" s="218" t="s">
        <v>645</v>
      </c>
      <c r="G47" s="14">
        <v>69</v>
      </c>
      <c r="H47" s="217" t="str">
        <f t="shared" si="2"/>
        <v>Perbaikan</v>
      </c>
      <c r="K47" s="217" t="s">
        <v>646</v>
      </c>
      <c r="L47" s="14">
        <v>165</v>
      </c>
      <c r="Y47" s="4">
        <v>45</v>
      </c>
      <c r="Z47" s="4" t="s">
        <v>374</v>
      </c>
      <c r="AA47" s="4">
        <v>1182</v>
      </c>
      <c r="AB47" s="109">
        <v>27.41</v>
      </c>
      <c r="AC47" s="222">
        <f t="shared" si="4"/>
        <v>60.911111111111119</v>
      </c>
      <c r="AD47" s="16">
        <v>71.41</v>
      </c>
      <c r="AE47" s="4" t="s">
        <v>649</v>
      </c>
    </row>
    <row r="48" spans="2:31" ht="15.75" customHeight="1" x14ac:dyDescent="0.3">
      <c r="B48" s="114">
        <v>24.48</v>
      </c>
      <c r="C48" s="114">
        <f t="shared" si="0"/>
        <v>54.400000000000006</v>
      </c>
      <c r="D48" s="107">
        <f t="shared" si="1"/>
        <v>45.599999999999994</v>
      </c>
      <c r="E48" s="107">
        <v>68.260000000000005</v>
      </c>
      <c r="F48" s="218" t="s">
        <v>645</v>
      </c>
      <c r="G48" s="14">
        <v>38</v>
      </c>
      <c r="H48" s="217" t="str">
        <f t="shared" si="2"/>
        <v>Perbaikan</v>
      </c>
      <c r="K48" s="217" t="s">
        <v>646</v>
      </c>
      <c r="L48" s="14">
        <v>69</v>
      </c>
      <c r="Y48" s="4">
        <v>46</v>
      </c>
      <c r="Z48" s="4" t="s">
        <v>377</v>
      </c>
      <c r="AA48" s="4">
        <v>1211</v>
      </c>
      <c r="AB48" s="109">
        <v>32.61</v>
      </c>
      <c r="AC48" s="222">
        <f t="shared" si="4"/>
        <v>72.466666666666669</v>
      </c>
      <c r="AD48" s="16">
        <v>73.259999999999991</v>
      </c>
      <c r="AE48" s="4" t="s">
        <v>649</v>
      </c>
    </row>
    <row r="49" spans="2:31" ht="15.75" customHeight="1" x14ac:dyDescent="0.3">
      <c r="B49" s="114">
        <v>32</v>
      </c>
      <c r="C49" s="114">
        <f t="shared" si="0"/>
        <v>71.111111111111114</v>
      </c>
      <c r="D49" s="107">
        <f t="shared" si="1"/>
        <v>28.888888888888886</v>
      </c>
      <c r="E49" s="107">
        <v>74.990000000000009</v>
      </c>
      <c r="F49" s="218" t="s">
        <v>638</v>
      </c>
      <c r="G49" s="14">
        <v>1637</v>
      </c>
      <c r="H49" s="217" t="str">
        <f t="shared" si="2"/>
        <v>Perawatan</v>
      </c>
      <c r="K49" s="217" t="s">
        <v>646</v>
      </c>
      <c r="L49" s="14">
        <v>51</v>
      </c>
      <c r="Y49" s="4">
        <v>47</v>
      </c>
      <c r="Z49" s="4" t="s">
        <v>380</v>
      </c>
      <c r="AA49" s="4">
        <v>1470</v>
      </c>
      <c r="AB49" s="109">
        <v>30</v>
      </c>
      <c r="AC49" s="222">
        <f t="shared" si="4"/>
        <v>66.666666666666657</v>
      </c>
      <c r="AD49" s="16">
        <v>60.899999999999991</v>
      </c>
      <c r="AE49" s="4" t="s">
        <v>649</v>
      </c>
    </row>
    <row r="50" spans="2:31" ht="15.75" customHeight="1" x14ac:dyDescent="0.3">
      <c r="B50" s="114">
        <v>29.28</v>
      </c>
      <c r="C50" s="114">
        <f t="shared" si="0"/>
        <v>65.066666666666677</v>
      </c>
      <c r="D50" s="107">
        <f t="shared" si="1"/>
        <v>34.933333333333323</v>
      </c>
      <c r="E50" s="115">
        <v>73.100000000000009</v>
      </c>
      <c r="F50" s="218" t="s">
        <v>638</v>
      </c>
      <c r="G50" s="117">
        <v>1086</v>
      </c>
      <c r="H50" s="217" t="str">
        <f t="shared" si="2"/>
        <v>Perawatan</v>
      </c>
      <c r="K50" s="217" t="s">
        <v>646</v>
      </c>
      <c r="L50" s="14">
        <v>82</v>
      </c>
      <c r="Y50" s="4">
        <v>48</v>
      </c>
      <c r="Z50" s="4" t="s">
        <v>381</v>
      </c>
      <c r="AA50" s="4">
        <v>1185</v>
      </c>
      <c r="AB50" s="109">
        <v>31.3</v>
      </c>
      <c r="AC50" s="222">
        <f t="shared" si="4"/>
        <v>69.555555555555557</v>
      </c>
      <c r="AD50" s="16">
        <v>69.969999999999985</v>
      </c>
      <c r="AE50" s="4" t="s">
        <v>649</v>
      </c>
    </row>
    <row r="51" spans="2:31" ht="15.75" customHeight="1" x14ac:dyDescent="0.3">
      <c r="B51" s="114">
        <v>23.37</v>
      </c>
      <c r="C51" s="114">
        <f t="shared" si="0"/>
        <v>51.93333333333333</v>
      </c>
      <c r="D51" s="107">
        <f t="shared" si="1"/>
        <v>48.06666666666667</v>
      </c>
      <c r="E51" s="107">
        <v>56.96</v>
      </c>
      <c r="F51" s="218" t="s">
        <v>645</v>
      </c>
      <c r="G51" s="14">
        <v>1211</v>
      </c>
      <c r="H51" s="217" t="str">
        <f t="shared" si="2"/>
        <v>Perbaikan</v>
      </c>
      <c r="K51" s="217" t="s">
        <v>646</v>
      </c>
      <c r="L51" s="14">
        <v>62</v>
      </c>
      <c r="Y51" s="4">
        <v>49</v>
      </c>
      <c r="Z51" s="4" t="s">
        <v>383</v>
      </c>
      <c r="AA51" s="4">
        <v>1058</v>
      </c>
      <c r="AB51" s="109">
        <v>27.41</v>
      </c>
      <c r="AC51" s="222">
        <f t="shared" si="4"/>
        <v>60.911111111111119</v>
      </c>
      <c r="AD51" s="16">
        <v>68.67</v>
      </c>
      <c r="AE51" s="4" t="s">
        <v>649</v>
      </c>
    </row>
    <row r="52" spans="2:31" ht="15.75" customHeight="1" x14ac:dyDescent="0.3">
      <c r="B52" s="114">
        <v>25.32</v>
      </c>
      <c r="C52" s="114">
        <f t="shared" si="0"/>
        <v>56.266666666666666</v>
      </c>
      <c r="D52" s="107">
        <f t="shared" si="1"/>
        <v>43.733333333333334</v>
      </c>
      <c r="E52" s="115">
        <v>56.22</v>
      </c>
      <c r="F52" s="218" t="s">
        <v>645</v>
      </c>
      <c r="G52" s="117">
        <v>1470</v>
      </c>
      <c r="H52" s="217" t="str">
        <f t="shared" si="2"/>
        <v>Perbaikan</v>
      </c>
      <c r="K52" s="217" t="s">
        <v>646</v>
      </c>
      <c r="L52" s="14">
        <v>56</v>
      </c>
      <c r="Y52" s="4">
        <v>50</v>
      </c>
      <c r="Z52" s="4" t="s">
        <v>385</v>
      </c>
      <c r="AA52" s="4">
        <v>2433</v>
      </c>
      <c r="AB52" s="109">
        <v>33.46</v>
      </c>
      <c r="AC52" s="222">
        <f t="shared" si="4"/>
        <v>74.355555555555554</v>
      </c>
      <c r="AD52" s="16">
        <v>67.47999999999999</v>
      </c>
      <c r="AE52" s="4" t="s">
        <v>649</v>
      </c>
    </row>
    <row r="53" spans="2:31" ht="15.75" customHeight="1" x14ac:dyDescent="0.3">
      <c r="B53" s="114">
        <v>30.8</v>
      </c>
      <c r="C53" s="114">
        <f t="shared" si="0"/>
        <v>68.444444444444443</v>
      </c>
      <c r="D53" s="107">
        <f t="shared" si="1"/>
        <v>31.555555555555557</v>
      </c>
      <c r="E53" s="107">
        <v>75.22</v>
      </c>
      <c r="F53" s="218" t="s">
        <v>638</v>
      </c>
      <c r="G53" s="14">
        <v>1812</v>
      </c>
      <c r="H53" s="217" t="str">
        <f t="shared" si="2"/>
        <v>Perawatan</v>
      </c>
      <c r="K53" s="217" t="s">
        <v>646</v>
      </c>
      <c r="L53" s="14">
        <v>38</v>
      </c>
      <c r="Y53" s="4">
        <v>51</v>
      </c>
      <c r="Z53" s="4" t="s">
        <v>384</v>
      </c>
      <c r="AA53" s="4">
        <v>1273</v>
      </c>
      <c r="AB53" s="109">
        <v>23.58</v>
      </c>
      <c r="AC53" s="222">
        <f t="shared" si="4"/>
        <v>52.399999999999991</v>
      </c>
      <c r="AD53" s="16">
        <v>59.5</v>
      </c>
      <c r="AE53" s="4" t="s">
        <v>649</v>
      </c>
    </row>
    <row r="54" spans="2:31" ht="15.75" customHeight="1" x14ac:dyDescent="0.3">
      <c r="B54" s="114">
        <v>27.41</v>
      </c>
      <c r="C54" s="114">
        <f t="shared" si="0"/>
        <v>60.911111111111119</v>
      </c>
      <c r="D54" s="107">
        <f t="shared" si="1"/>
        <v>39.088888888888881</v>
      </c>
      <c r="E54" s="107">
        <v>71.41</v>
      </c>
      <c r="F54" s="218" t="s">
        <v>638</v>
      </c>
      <c r="G54" s="14">
        <v>1182</v>
      </c>
      <c r="H54" s="217" t="str">
        <f t="shared" si="2"/>
        <v>Perawatan</v>
      </c>
      <c r="K54" s="217" t="s">
        <v>646</v>
      </c>
      <c r="L54" s="14">
        <v>45</v>
      </c>
      <c r="Y54" s="4">
        <v>52</v>
      </c>
      <c r="Z54" s="4" t="s">
        <v>375</v>
      </c>
      <c r="AA54" s="4">
        <v>1332</v>
      </c>
      <c r="AB54" s="109">
        <v>23.17</v>
      </c>
      <c r="AC54" s="222">
        <f t="shared" si="4"/>
        <v>51.488888888888894</v>
      </c>
      <c r="AD54" s="16">
        <v>64.110000000000014</v>
      </c>
      <c r="AE54" s="4" t="s">
        <v>649</v>
      </c>
    </row>
    <row r="55" spans="2:31" ht="15.75" customHeight="1" x14ac:dyDescent="0.3">
      <c r="B55" s="114">
        <v>25.55</v>
      </c>
      <c r="C55" s="114">
        <f t="shared" si="0"/>
        <v>56.777777777777786</v>
      </c>
      <c r="D55" s="107">
        <f t="shared" si="1"/>
        <v>43.222222222222214</v>
      </c>
      <c r="E55" s="107">
        <v>69.02000000000001</v>
      </c>
      <c r="F55" s="218" t="s">
        <v>645</v>
      </c>
      <c r="G55" s="14">
        <v>445</v>
      </c>
      <c r="H55" s="217" t="str">
        <f t="shared" si="2"/>
        <v>Perawatan</v>
      </c>
      <c r="K55" s="217" t="s">
        <v>646</v>
      </c>
      <c r="L55" s="14">
        <v>1378</v>
      </c>
      <c r="Y55" s="4">
        <v>53</v>
      </c>
      <c r="Z55" s="4" t="s">
        <v>389</v>
      </c>
      <c r="AA55" s="4">
        <v>1045</v>
      </c>
      <c r="AB55" s="109">
        <v>27.22</v>
      </c>
      <c r="AC55" s="222">
        <f t="shared" si="4"/>
        <v>60.48888888888888</v>
      </c>
      <c r="AD55" s="16">
        <v>66.320000000000007</v>
      </c>
      <c r="AE55" s="4" t="s">
        <v>649</v>
      </c>
    </row>
    <row r="56" spans="2:31" ht="15.75" customHeight="1" x14ac:dyDescent="0.3">
      <c r="B56" s="114">
        <v>21.06</v>
      </c>
      <c r="C56" s="114">
        <f t="shared" si="0"/>
        <v>46.8</v>
      </c>
      <c r="D56" s="107">
        <f t="shared" si="1"/>
        <v>53.2</v>
      </c>
      <c r="E56" s="107">
        <v>64.47</v>
      </c>
      <c r="F56" s="218" t="s">
        <v>645</v>
      </c>
      <c r="G56" s="14">
        <v>62</v>
      </c>
      <c r="H56" s="217" t="str">
        <f t="shared" si="2"/>
        <v>Perbaikan</v>
      </c>
      <c r="K56" s="217" t="s">
        <v>646</v>
      </c>
      <c r="L56" s="117">
        <v>1926</v>
      </c>
      <c r="Y56" s="4">
        <v>54</v>
      </c>
      <c r="Z56" s="4" t="s">
        <v>367</v>
      </c>
      <c r="AA56" s="4">
        <v>1921</v>
      </c>
      <c r="AB56" s="109">
        <v>22.88</v>
      </c>
      <c r="AC56" s="222">
        <f t="shared" si="4"/>
        <v>50.844444444444449</v>
      </c>
      <c r="AD56" s="16">
        <v>66.77000000000001</v>
      </c>
      <c r="AE56" s="4" t="s">
        <v>649</v>
      </c>
    </row>
    <row r="57" spans="2:31" ht="15.75" customHeight="1" x14ac:dyDescent="0.3">
      <c r="B57" s="114">
        <v>21.67</v>
      </c>
      <c r="C57" s="114">
        <f t="shared" si="0"/>
        <v>48.155555555555559</v>
      </c>
      <c r="D57" s="107">
        <f t="shared" si="1"/>
        <v>51.844444444444441</v>
      </c>
      <c r="E57" s="107">
        <v>63.960000000000008</v>
      </c>
      <c r="F57" s="218" t="s">
        <v>645</v>
      </c>
      <c r="G57" s="14">
        <v>288</v>
      </c>
      <c r="H57" s="217" t="str">
        <f t="shared" si="2"/>
        <v>Perbaikan</v>
      </c>
      <c r="K57" s="217" t="s">
        <v>646</v>
      </c>
      <c r="L57" s="14">
        <v>369</v>
      </c>
      <c r="Y57" s="4">
        <v>55</v>
      </c>
      <c r="Z57" s="4" t="s">
        <v>318</v>
      </c>
      <c r="AA57" s="4">
        <v>1593</v>
      </c>
      <c r="AB57" s="109">
        <v>19.649999999999999</v>
      </c>
      <c r="AC57" s="222">
        <f t="shared" si="4"/>
        <v>43.666666666666664</v>
      </c>
      <c r="AD57" s="16">
        <v>58.599999999999994</v>
      </c>
      <c r="AE57" s="4" t="s">
        <v>649</v>
      </c>
    </row>
    <row r="58" spans="2:31" ht="15.75" customHeight="1" x14ac:dyDescent="0.3">
      <c r="B58" s="114">
        <v>21.16</v>
      </c>
      <c r="C58" s="114">
        <f t="shared" si="0"/>
        <v>47.022222222222219</v>
      </c>
      <c r="D58" s="107">
        <f t="shared" si="1"/>
        <v>52.977777777777781</v>
      </c>
      <c r="E58" s="107">
        <v>64.61</v>
      </c>
      <c r="F58" s="218" t="s">
        <v>645</v>
      </c>
      <c r="G58" s="14">
        <v>69</v>
      </c>
      <c r="H58" s="217" t="str">
        <f t="shared" si="2"/>
        <v>Perbaikan</v>
      </c>
      <c r="K58" s="217" t="s">
        <v>646</v>
      </c>
      <c r="L58" s="14">
        <v>281</v>
      </c>
      <c r="Y58" s="4">
        <v>56</v>
      </c>
      <c r="Z58" s="4" t="s">
        <v>394</v>
      </c>
      <c r="AA58" s="4">
        <v>1246</v>
      </c>
      <c r="AB58" s="109">
        <v>31.44</v>
      </c>
      <c r="AC58" s="222">
        <f t="shared" si="4"/>
        <v>69.86666666666666</v>
      </c>
      <c r="AD58" s="16">
        <v>71.539999999999992</v>
      </c>
      <c r="AE58" s="4" t="s">
        <v>649</v>
      </c>
    </row>
    <row r="59" spans="2:31" ht="15.75" customHeight="1" x14ac:dyDescent="0.3">
      <c r="B59" s="114">
        <v>26.4</v>
      </c>
      <c r="C59" s="114">
        <f t="shared" si="0"/>
        <v>58.666666666666664</v>
      </c>
      <c r="D59" s="107">
        <f t="shared" si="1"/>
        <v>41.333333333333336</v>
      </c>
      <c r="E59" s="115">
        <v>66.949999999999989</v>
      </c>
      <c r="F59" s="218" t="s">
        <v>645</v>
      </c>
      <c r="G59" s="117">
        <v>661</v>
      </c>
      <c r="H59" s="217" t="str">
        <f t="shared" si="2"/>
        <v>Perbaikan</v>
      </c>
      <c r="K59" s="217" t="s">
        <v>646</v>
      </c>
      <c r="L59" s="14">
        <v>332</v>
      </c>
      <c r="Y59" s="4">
        <v>57</v>
      </c>
      <c r="Z59" s="4" t="s">
        <v>330</v>
      </c>
      <c r="AA59" s="4">
        <v>1341</v>
      </c>
      <c r="AB59" s="109">
        <v>20.32</v>
      </c>
      <c r="AC59" s="222">
        <f t="shared" si="4"/>
        <v>45.155555555555551</v>
      </c>
      <c r="AD59" s="16">
        <v>62.230000000000004</v>
      </c>
      <c r="AE59" s="4" t="s">
        <v>649</v>
      </c>
    </row>
    <row r="60" spans="2:31" ht="15.75" customHeight="1" x14ac:dyDescent="0.3">
      <c r="B60" s="114">
        <v>25.04</v>
      </c>
      <c r="C60" s="114">
        <f t="shared" si="0"/>
        <v>55.644444444444439</v>
      </c>
      <c r="D60" s="107">
        <f t="shared" si="1"/>
        <v>44.355555555555561</v>
      </c>
      <c r="E60" s="115">
        <v>55.87</v>
      </c>
      <c r="F60" s="218" t="s">
        <v>645</v>
      </c>
      <c r="G60" s="117">
        <v>515</v>
      </c>
      <c r="H60" s="217" t="str">
        <f t="shared" si="2"/>
        <v>Perbaikan</v>
      </c>
      <c r="K60" s="217" t="s">
        <v>646</v>
      </c>
      <c r="L60" s="14">
        <v>108</v>
      </c>
      <c r="Y60" s="4">
        <v>58</v>
      </c>
      <c r="Z60" s="4" t="s">
        <v>397</v>
      </c>
      <c r="AA60" s="4">
        <v>1884</v>
      </c>
      <c r="AB60" s="109">
        <v>27.13</v>
      </c>
      <c r="AC60" s="222">
        <f t="shared" si="4"/>
        <v>60.288888888888891</v>
      </c>
      <c r="AD60" s="16">
        <v>67.98</v>
      </c>
      <c r="AE60" s="4" t="s">
        <v>649</v>
      </c>
    </row>
    <row r="61" spans="2:31" ht="15.75" customHeight="1" x14ac:dyDescent="0.3">
      <c r="B61" s="105">
        <v>29.97</v>
      </c>
      <c r="C61" s="114">
        <f t="shared" si="0"/>
        <v>66.599999999999994</v>
      </c>
      <c r="D61" s="107">
        <f t="shared" si="1"/>
        <v>33.400000000000006</v>
      </c>
      <c r="E61" s="115">
        <v>61.04</v>
      </c>
      <c r="F61" s="218" t="s">
        <v>638</v>
      </c>
      <c r="G61" s="117">
        <v>293</v>
      </c>
      <c r="H61" s="217" t="str">
        <f t="shared" si="2"/>
        <v>Perbaikan</v>
      </c>
      <c r="K61" s="217" t="s">
        <v>646</v>
      </c>
      <c r="L61" s="14">
        <v>98</v>
      </c>
      <c r="Y61" s="4">
        <v>59</v>
      </c>
      <c r="Z61" s="4" t="s">
        <v>400</v>
      </c>
      <c r="AA61" s="4">
        <v>1337</v>
      </c>
      <c r="AB61" s="109">
        <v>26.07</v>
      </c>
      <c r="AC61" s="222">
        <f t="shared" si="4"/>
        <v>57.933333333333337</v>
      </c>
      <c r="AD61" s="16">
        <v>63.24</v>
      </c>
      <c r="AE61" s="4" t="s">
        <v>649</v>
      </c>
    </row>
    <row r="62" spans="2:31" ht="15.75" customHeight="1" x14ac:dyDescent="0.3">
      <c r="B62" s="114">
        <v>24.68</v>
      </c>
      <c r="C62" s="114">
        <f t="shared" si="0"/>
        <v>54.844444444444441</v>
      </c>
      <c r="D62" s="107">
        <f t="shared" si="1"/>
        <v>45.155555555555559</v>
      </c>
      <c r="E62" s="115">
        <v>53.15</v>
      </c>
      <c r="F62" s="218" t="s">
        <v>645</v>
      </c>
      <c r="G62" s="117">
        <v>971</v>
      </c>
      <c r="H62" s="217" t="str">
        <f t="shared" si="2"/>
        <v>Rehab J.I</v>
      </c>
      <c r="K62" s="217" t="s">
        <v>646</v>
      </c>
      <c r="L62" s="14">
        <v>245</v>
      </c>
      <c r="Y62" s="4">
        <v>60</v>
      </c>
      <c r="Z62" s="4" t="s">
        <v>372</v>
      </c>
      <c r="AA62" s="4">
        <v>1733</v>
      </c>
      <c r="AB62" s="109">
        <v>23.01</v>
      </c>
      <c r="AC62" s="222">
        <f t="shared" si="4"/>
        <v>51.13333333333334</v>
      </c>
      <c r="AD62" s="16">
        <v>66.599999999999994</v>
      </c>
      <c r="AE62" s="4" t="s">
        <v>649</v>
      </c>
    </row>
    <row r="63" spans="2:31" ht="15.75" customHeight="1" x14ac:dyDescent="0.3">
      <c r="B63" s="114">
        <v>22.58</v>
      </c>
      <c r="C63" s="114">
        <f t="shared" si="0"/>
        <v>50.177777777777777</v>
      </c>
      <c r="D63" s="107">
        <f t="shared" si="1"/>
        <v>49.822222222222223</v>
      </c>
      <c r="E63" s="115">
        <v>54.65</v>
      </c>
      <c r="F63" s="218" t="s">
        <v>645</v>
      </c>
      <c r="G63" s="117">
        <v>1911</v>
      </c>
      <c r="H63" s="217" t="str">
        <f t="shared" si="2"/>
        <v>Rehab J.I</v>
      </c>
      <c r="K63" s="217" t="s">
        <v>646</v>
      </c>
      <c r="L63" s="14">
        <v>113</v>
      </c>
      <c r="Y63" s="4">
        <v>61</v>
      </c>
      <c r="Z63" s="4" t="s">
        <v>403</v>
      </c>
      <c r="AA63" s="4">
        <v>1347</v>
      </c>
      <c r="AB63" s="109">
        <v>26.61</v>
      </c>
      <c r="AC63" s="222">
        <f t="shared" si="4"/>
        <v>59.133333333333326</v>
      </c>
      <c r="AD63" s="16">
        <v>68.69</v>
      </c>
      <c r="AE63" s="4" t="s">
        <v>649</v>
      </c>
    </row>
    <row r="64" spans="2:31" ht="15.75" customHeight="1" x14ac:dyDescent="0.3">
      <c r="B64" s="114">
        <v>17.739999999999998</v>
      </c>
      <c r="C64" s="114">
        <f t="shared" si="0"/>
        <v>39.422222222222217</v>
      </c>
      <c r="D64" s="107">
        <f t="shared" si="1"/>
        <v>60.577777777777783</v>
      </c>
      <c r="E64" s="107">
        <v>52.179999999999993</v>
      </c>
      <c r="F64" s="218" t="s">
        <v>645</v>
      </c>
      <c r="G64" s="30">
        <v>1055</v>
      </c>
      <c r="H64" s="217" t="str">
        <f t="shared" si="2"/>
        <v>Rehab J.I</v>
      </c>
      <c r="K64" s="217" t="s">
        <v>646</v>
      </c>
      <c r="L64" s="14">
        <v>69</v>
      </c>
      <c r="Y64" s="4">
        <v>62</v>
      </c>
      <c r="Z64" s="4" t="s">
        <v>405</v>
      </c>
      <c r="AA64" s="4">
        <v>1144</v>
      </c>
      <c r="AB64" s="109">
        <v>25.16</v>
      </c>
      <c r="AC64" s="222">
        <f t="shared" si="4"/>
        <v>55.911111111111111</v>
      </c>
      <c r="AD64" s="16">
        <v>58.97</v>
      </c>
      <c r="AE64" s="4" t="s">
        <v>649</v>
      </c>
    </row>
    <row r="65" spans="2:31" ht="15.75" customHeight="1" x14ac:dyDescent="0.3">
      <c r="B65" s="114">
        <v>20.46</v>
      </c>
      <c r="C65" s="114">
        <f t="shared" si="0"/>
        <v>45.466666666666669</v>
      </c>
      <c r="D65" s="107">
        <f t="shared" si="1"/>
        <v>54.533333333333331</v>
      </c>
      <c r="E65" s="107">
        <v>57.160000000000004</v>
      </c>
      <c r="F65" s="218" t="s">
        <v>645</v>
      </c>
      <c r="G65" s="14">
        <v>2143</v>
      </c>
      <c r="H65" s="217" t="str">
        <f t="shared" si="2"/>
        <v>Perbaikan</v>
      </c>
      <c r="K65" s="217" t="s">
        <v>646</v>
      </c>
      <c r="L65" s="14">
        <v>38</v>
      </c>
      <c r="Y65" s="4">
        <v>63</v>
      </c>
      <c r="Z65" s="4" t="s">
        <v>406</v>
      </c>
      <c r="AA65" s="4">
        <v>2522</v>
      </c>
      <c r="AB65" s="109">
        <v>34.270000000000003</v>
      </c>
      <c r="AC65" s="222">
        <f t="shared" si="4"/>
        <v>76.155555555555566</v>
      </c>
      <c r="AD65" s="16">
        <v>68.03</v>
      </c>
      <c r="AE65" s="4" t="s">
        <v>649</v>
      </c>
    </row>
    <row r="66" spans="2:31" ht="15.75" customHeight="1" x14ac:dyDescent="0.3">
      <c r="B66" s="114">
        <v>23.24</v>
      </c>
      <c r="C66" s="114">
        <f t="shared" si="0"/>
        <v>51.644444444444439</v>
      </c>
      <c r="D66" s="107">
        <f t="shared" si="1"/>
        <v>48.355555555555561</v>
      </c>
      <c r="E66" s="115">
        <v>66.58</v>
      </c>
      <c r="F66" s="218" t="s">
        <v>645</v>
      </c>
      <c r="G66" s="117">
        <v>2721</v>
      </c>
      <c r="H66" s="217" t="str">
        <f t="shared" si="2"/>
        <v>Perbaikan</v>
      </c>
      <c r="K66" s="217" t="s">
        <v>646</v>
      </c>
      <c r="L66" s="14">
        <v>1211</v>
      </c>
      <c r="Y66" s="4">
        <v>64</v>
      </c>
      <c r="Z66" s="4" t="s">
        <v>409</v>
      </c>
      <c r="AA66" s="4">
        <v>1229</v>
      </c>
      <c r="AB66" s="109">
        <v>32.15</v>
      </c>
      <c r="AC66" s="222">
        <f t="shared" si="4"/>
        <v>71.444444444444443</v>
      </c>
      <c r="AD66" s="16">
        <v>68.900000000000006</v>
      </c>
      <c r="AE66" s="4" t="s">
        <v>649</v>
      </c>
    </row>
    <row r="67" spans="2:31" ht="15.75" customHeight="1" x14ac:dyDescent="0.3">
      <c r="B67" s="114">
        <v>23.24</v>
      </c>
      <c r="C67" s="114">
        <f t="shared" si="0"/>
        <v>51.644444444444439</v>
      </c>
      <c r="D67" s="107">
        <f t="shared" si="1"/>
        <v>48.355555555555561</v>
      </c>
      <c r="E67" s="107">
        <v>64.91</v>
      </c>
      <c r="F67" s="218" t="s">
        <v>645</v>
      </c>
      <c r="G67" s="14">
        <v>1146</v>
      </c>
      <c r="H67" s="217" t="str">
        <f t="shared" si="2"/>
        <v>Perbaikan</v>
      </c>
      <c r="K67" s="217" t="s">
        <v>646</v>
      </c>
      <c r="L67" s="117">
        <v>1470</v>
      </c>
      <c r="Y67" s="4">
        <v>65</v>
      </c>
      <c r="Z67" s="4" t="s">
        <v>306</v>
      </c>
      <c r="AA67" s="4">
        <v>1475</v>
      </c>
      <c r="AB67" s="109">
        <v>16.59</v>
      </c>
      <c r="AC67" s="222">
        <f t="shared" si="4"/>
        <v>36.866666666666667</v>
      </c>
      <c r="AD67" s="16">
        <v>48.47</v>
      </c>
      <c r="AE67" s="26" t="s">
        <v>640</v>
      </c>
    </row>
    <row r="68" spans="2:31" ht="15.75" customHeight="1" x14ac:dyDescent="0.3">
      <c r="B68" s="114">
        <v>21.75</v>
      </c>
      <c r="C68" s="114">
        <f t="shared" si="0"/>
        <v>48.333333333333336</v>
      </c>
      <c r="D68" s="107">
        <f t="shared" si="1"/>
        <v>51.666666666666664</v>
      </c>
      <c r="E68" s="107">
        <v>63.36999999999999</v>
      </c>
      <c r="F68" s="218" t="s">
        <v>645</v>
      </c>
      <c r="G68" s="14">
        <v>1144</v>
      </c>
      <c r="H68" s="217" t="str">
        <f t="shared" si="2"/>
        <v>Perbaikan</v>
      </c>
      <c r="K68" s="217" t="s">
        <v>646</v>
      </c>
      <c r="L68" s="14">
        <v>62</v>
      </c>
      <c r="Y68" s="4">
        <v>66</v>
      </c>
      <c r="Z68" s="4" t="s">
        <v>412</v>
      </c>
      <c r="AA68" s="4">
        <v>1292</v>
      </c>
      <c r="AB68" s="109">
        <v>27.83</v>
      </c>
      <c r="AC68" s="222">
        <f t="shared" si="4"/>
        <v>61.844444444444434</v>
      </c>
      <c r="AD68" s="16">
        <v>71.219999999999985</v>
      </c>
      <c r="AE68" s="4" t="s">
        <v>649</v>
      </c>
    </row>
    <row r="69" spans="2:31" ht="15.75" customHeight="1" x14ac:dyDescent="0.3">
      <c r="B69" s="114">
        <v>26.6</v>
      </c>
      <c r="C69" s="114">
        <f t="shared" si="0"/>
        <v>59.111111111111114</v>
      </c>
      <c r="D69" s="107">
        <f t="shared" si="1"/>
        <v>40.888888888888886</v>
      </c>
      <c r="E69" s="107">
        <v>68.680000000000007</v>
      </c>
      <c r="F69" s="218" t="s">
        <v>645</v>
      </c>
      <c r="G69" s="14">
        <v>1347</v>
      </c>
      <c r="H69" s="217" t="str">
        <f t="shared" si="2"/>
        <v>Perbaikan</v>
      </c>
      <c r="K69" s="217" t="s">
        <v>646</v>
      </c>
      <c r="L69" s="14">
        <v>288</v>
      </c>
      <c r="Y69" s="4">
        <v>67</v>
      </c>
      <c r="Z69" s="4" t="s">
        <v>414</v>
      </c>
      <c r="AA69" s="4">
        <v>1274</v>
      </c>
      <c r="AB69" s="109">
        <v>30.14</v>
      </c>
      <c r="AC69" s="222">
        <f t="shared" si="4"/>
        <v>66.977777777777774</v>
      </c>
      <c r="AD69" s="16">
        <v>68.790000000000006</v>
      </c>
      <c r="AE69" s="4" t="s">
        <v>649</v>
      </c>
    </row>
    <row r="70" spans="2:31" ht="15.75" customHeight="1" x14ac:dyDescent="0.3">
      <c r="B70" s="114">
        <v>22.83</v>
      </c>
      <c r="C70" s="114">
        <f t="shared" si="0"/>
        <v>50.733333333333327</v>
      </c>
      <c r="D70" s="107">
        <f t="shared" si="1"/>
        <v>49.266666666666673</v>
      </c>
      <c r="E70" s="107">
        <v>66.419999999999987</v>
      </c>
      <c r="F70" s="218" t="s">
        <v>645</v>
      </c>
      <c r="G70" s="14">
        <v>1733</v>
      </c>
      <c r="H70" s="217" t="str">
        <f t="shared" si="2"/>
        <v>Perbaikan</v>
      </c>
      <c r="K70" s="217" t="s">
        <v>646</v>
      </c>
      <c r="L70" s="14">
        <v>69</v>
      </c>
      <c r="Y70" s="4">
        <v>68</v>
      </c>
      <c r="Z70" s="4" t="s">
        <v>298</v>
      </c>
      <c r="AA70" s="4">
        <v>1779</v>
      </c>
      <c r="AB70" s="109">
        <v>14.54</v>
      </c>
      <c r="AC70" s="222">
        <f t="shared" si="4"/>
        <v>32.31111111111111</v>
      </c>
      <c r="AD70" s="16">
        <v>53.22</v>
      </c>
      <c r="AE70" s="26" t="s">
        <v>640</v>
      </c>
    </row>
    <row r="71" spans="2:31" ht="15.75" customHeight="1" x14ac:dyDescent="0.3">
      <c r="B71" s="114">
        <v>24.5</v>
      </c>
      <c r="C71" s="114">
        <f t="shared" si="0"/>
        <v>54.444444444444443</v>
      </c>
      <c r="D71" s="107">
        <f t="shared" si="1"/>
        <v>45.555555555555557</v>
      </c>
      <c r="E71" s="115">
        <v>61.250000000000007</v>
      </c>
      <c r="F71" s="218" t="s">
        <v>645</v>
      </c>
      <c r="G71" s="117">
        <v>1229</v>
      </c>
      <c r="H71" s="217" t="str">
        <f t="shared" si="2"/>
        <v>Perbaikan</v>
      </c>
      <c r="K71" s="217" t="s">
        <v>646</v>
      </c>
      <c r="L71" s="117">
        <v>661</v>
      </c>
      <c r="Y71" s="4">
        <v>69</v>
      </c>
      <c r="Z71" s="4" t="s">
        <v>417</v>
      </c>
      <c r="AA71" s="4">
        <v>1661</v>
      </c>
      <c r="AB71" s="109">
        <v>31.54</v>
      </c>
      <c r="AC71" s="222">
        <f t="shared" si="4"/>
        <v>70.088888888888889</v>
      </c>
      <c r="AD71" s="16">
        <v>68.94</v>
      </c>
      <c r="AE71" s="4" t="s">
        <v>649</v>
      </c>
    </row>
    <row r="72" spans="2:31" ht="15.75" customHeight="1" x14ac:dyDescent="0.3">
      <c r="B72" s="114">
        <v>27.87</v>
      </c>
      <c r="C72" s="114">
        <f t="shared" si="0"/>
        <v>61.933333333333337</v>
      </c>
      <c r="D72" s="107">
        <f t="shared" si="1"/>
        <v>38.066666666666663</v>
      </c>
      <c r="E72" s="107">
        <v>64.040000000000006</v>
      </c>
      <c r="F72" s="218" t="s">
        <v>638</v>
      </c>
      <c r="G72" s="14">
        <v>1292</v>
      </c>
      <c r="H72" s="217" t="str">
        <f t="shared" si="2"/>
        <v>Perbaikan</v>
      </c>
      <c r="K72" s="217" t="s">
        <v>646</v>
      </c>
      <c r="L72" s="117">
        <v>515</v>
      </c>
      <c r="Y72" s="4">
        <v>70</v>
      </c>
      <c r="Z72" s="4" t="s">
        <v>335</v>
      </c>
      <c r="AA72" s="4">
        <v>1044</v>
      </c>
      <c r="AB72" s="109">
        <v>20.72</v>
      </c>
      <c r="AC72" s="222">
        <f t="shared" si="4"/>
        <v>46.044444444444444</v>
      </c>
      <c r="AD72" s="16">
        <v>63.949999999999996</v>
      </c>
      <c r="AE72" s="4" t="s">
        <v>649</v>
      </c>
    </row>
    <row r="73" spans="2:31" ht="15.75" customHeight="1" x14ac:dyDescent="0.3">
      <c r="B73" s="114">
        <v>11.3</v>
      </c>
      <c r="C73" s="114">
        <f t="shared" si="0"/>
        <v>25.111111111111111</v>
      </c>
      <c r="D73" s="107">
        <f t="shared" si="1"/>
        <v>74.888888888888886</v>
      </c>
      <c r="E73" s="107">
        <v>54.63</v>
      </c>
      <c r="F73" s="218" t="s">
        <v>645</v>
      </c>
      <c r="G73" s="14">
        <v>1475</v>
      </c>
      <c r="H73" s="217" t="str">
        <f t="shared" si="2"/>
        <v>Rehab J.I</v>
      </c>
      <c r="K73" s="217" t="s">
        <v>646</v>
      </c>
      <c r="L73" s="117">
        <v>293</v>
      </c>
      <c r="Y73" s="4">
        <v>71</v>
      </c>
      <c r="Z73" s="4" t="s">
        <v>418</v>
      </c>
      <c r="AA73" s="4">
        <v>1185</v>
      </c>
      <c r="AB73" s="109">
        <v>26</v>
      </c>
      <c r="AC73" s="222">
        <f t="shared" si="4"/>
        <v>57.777777777777771</v>
      </c>
      <c r="AD73" s="16">
        <v>57</v>
      </c>
      <c r="AE73" s="4" t="s">
        <v>649</v>
      </c>
    </row>
    <row r="74" spans="2:31" ht="15.75" customHeight="1" x14ac:dyDescent="0.3">
      <c r="B74" s="105">
        <v>37.57</v>
      </c>
      <c r="C74" s="114">
        <f t="shared" si="0"/>
        <v>83.488888888888894</v>
      </c>
      <c r="D74" s="107">
        <f t="shared" si="1"/>
        <v>16.511111111111106</v>
      </c>
      <c r="E74" s="115">
        <v>81.5</v>
      </c>
      <c r="F74" s="218" t="s">
        <v>647</v>
      </c>
      <c r="G74" s="117">
        <v>2522</v>
      </c>
      <c r="H74" s="217" t="str">
        <f t="shared" si="2"/>
        <v>Perawatan</v>
      </c>
      <c r="K74" s="217" t="s">
        <v>646</v>
      </c>
      <c r="L74" s="14">
        <v>2143</v>
      </c>
      <c r="Y74" s="4">
        <v>72</v>
      </c>
      <c r="Z74" s="4" t="s">
        <v>286</v>
      </c>
      <c r="AA74" s="4">
        <v>1120</v>
      </c>
      <c r="AB74" s="109">
        <v>12.44</v>
      </c>
      <c r="AC74" s="222">
        <f t="shared" si="4"/>
        <v>27.644444444444442</v>
      </c>
      <c r="AD74" s="16">
        <v>47.989999999999995</v>
      </c>
      <c r="AE74" s="26" t="s">
        <v>640</v>
      </c>
    </row>
    <row r="75" spans="2:31" ht="15.75" customHeight="1" x14ac:dyDescent="0.3">
      <c r="B75" s="114">
        <v>20.72</v>
      </c>
      <c r="C75" s="114">
        <f t="shared" si="0"/>
        <v>46.044444444444444</v>
      </c>
      <c r="D75" s="107">
        <f t="shared" si="1"/>
        <v>53.955555555555556</v>
      </c>
      <c r="E75" s="107">
        <v>63.949999999999996</v>
      </c>
      <c r="F75" s="218" t="s">
        <v>645</v>
      </c>
      <c r="G75" s="14">
        <v>1044</v>
      </c>
      <c r="H75" s="217" t="str">
        <f t="shared" si="2"/>
        <v>Perbaikan</v>
      </c>
      <c r="K75" s="217" t="s">
        <v>646</v>
      </c>
      <c r="L75" s="117">
        <v>2721</v>
      </c>
      <c r="Y75" s="4">
        <v>73</v>
      </c>
      <c r="Z75" s="4" t="s">
        <v>283</v>
      </c>
      <c r="AA75" s="4">
        <v>1476</v>
      </c>
      <c r="AB75" s="109">
        <v>12.06</v>
      </c>
      <c r="AC75" s="222">
        <f t="shared" si="4"/>
        <v>26.8</v>
      </c>
      <c r="AD75" s="16">
        <v>49.22</v>
      </c>
      <c r="AE75" s="26" t="s">
        <v>640</v>
      </c>
    </row>
    <row r="76" spans="2:31" ht="15.75" customHeight="1" x14ac:dyDescent="0.3">
      <c r="B76" s="114">
        <v>12.44</v>
      </c>
      <c r="C76" s="114">
        <f t="shared" si="0"/>
        <v>27.644444444444442</v>
      </c>
      <c r="D76" s="107">
        <f t="shared" si="1"/>
        <v>72.355555555555554</v>
      </c>
      <c r="E76" s="113">
        <v>47.994</v>
      </c>
      <c r="F76" s="218" t="s">
        <v>645</v>
      </c>
      <c r="G76" s="30">
        <v>1120</v>
      </c>
      <c r="H76" s="217" t="str">
        <f t="shared" si="2"/>
        <v>Rehab J.I</v>
      </c>
      <c r="K76" s="217" t="s">
        <v>646</v>
      </c>
      <c r="L76" s="14">
        <v>1146</v>
      </c>
      <c r="Y76" s="4">
        <v>74</v>
      </c>
      <c r="Z76" s="4" t="s">
        <v>288</v>
      </c>
      <c r="AA76" s="4">
        <v>1054</v>
      </c>
      <c r="AB76" s="109">
        <v>13.04</v>
      </c>
      <c r="AC76" s="222">
        <f t="shared" si="4"/>
        <v>28.977777777777774</v>
      </c>
      <c r="AD76" s="16">
        <v>44.400000000000006</v>
      </c>
      <c r="AE76" s="26" t="s">
        <v>640</v>
      </c>
    </row>
    <row r="77" spans="2:31" ht="15.75" customHeight="1" x14ac:dyDescent="0.3">
      <c r="B77" s="114">
        <v>19.809999999999999</v>
      </c>
      <c r="C77" s="114">
        <f t="shared" si="0"/>
        <v>44.022222222222219</v>
      </c>
      <c r="D77" s="107">
        <f t="shared" si="1"/>
        <v>55.977777777777781</v>
      </c>
      <c r="E77" s="107">
        <v>57.16</v>
      </c>
      <c r="F77" s="218" t="s">
        <v>645</v>
      </c>
      <c r="G77" s="14">
        <v>1274</v>
      </c>
      <c r="H77" s="217" t="str">
        <f t="shared" si="2"/>
        <v>Perbaikan</v>
      </c>
      <c r="K77" s="217" t="s">
        <v>646</v>
      </c>
      <c r="L77" s="14">
        <v>1144</v>
      </c>
      <c r="Y77" s="4">
        <v>75</v>
      </c>
      <c r="Z77" s="4" t="s">
        <v>316</v>
      </c>
      <c r="AA77" s="4">
        <v>1430</v>
      </c>
      <c r="AB77" s="109">
        <v>19.53</v>
      </c>
      <c r="AC77" s="222">
        <f t="shared" si="4"/>
        <v>43.400000000000006</v>
      </c>
      <c r="AD77" s="16">
        <v>58.750000000000007</v>
      </c>
      <c r="AE77" s="4" t="s">
        <v>649</v>
      </c>
    </row>
    <row r="78" spans="2:31" ht="15.75" customHeight="1" x14ac:dyDescent="0.3">
      <c r="B78" s="114">
        <v>19.23</v>
      </c>
      <c r="C78" s="114">
        <f t="shared" si="0"/>
        <v>42.733333333333334</v>
      </c>
      <c r="D78" s="107">
        <f t="shared" si="1"/>
        <v>57.266666666666666</v>
      </c>
      <c r="E78" s="107">
        <v>57.07</v>
      </c>
      <c r="F78" s="218" t="s">
        <v>645</v>
      </c>
      <c r="G78" s="14">
        <v>1661</v>
      </c>
      <c r="H78" s="217" t="str">
        <f t="shared" si="2"/>
        <v>Perbaikan</v>
      </c>
      <c r="K78" s="217" t="s">
        <v>646</v>
      </c>
      <c r="L78" s="14">
        <v>1347</v>
      </c>
      <c r="Y78" s="4">
        <v>76</v>
      </c>
      <c r="Z78" s="4" t="s">
        <v>424</v>
      </c>
      <c r="AA78" s="4">
        <v>1085</v>
      </c>
      <c r="AB78" s="109">
        <v>27.18</v>
      </c>
      <c r="AC78" s="222">
        <f t="shared" si="4"/>
        <v>60.4</v>
      </c>
      <c r="AD78" s="16">
        <v>60.389999999999993</v>
      </c>
      <c r="AE78" s="4" t="s">
        <v>649</v>
      </c>
    </row>
    <row r="79" spans="2:31" ht="15.75" customHeight="1" x14ac:dyDescent="0.3">
      <c r="B79" s="114">
        <v>14.54</v>
      </c>
      <c r="C79" s="114">
        <f t="shared" si="0"/>
        <v>32.31111111111111</v>
      </c>
      <c r="D79" s="107">
        <f t="shared" si="1"/>
        <v>67.688888888888897</v>
      </c>
      <c r="E79" s="107">
        <v>53.22</v>
      </c>
      <c r="F79" s="218" t="s">
        <v>645</v>
      </c>
      <c r="G79" s="14">
        <v>1779</v>
      </c>
      <c r="H79" s="217" t="str">
        <f t="shared" si="2"/>
        <v>Rehab J.I</v>
      </c>
      <c r="K79" s="217" t="s">
        <v>646</v>
      </c>
      <c r="L79" s="14">
        <v>1733</v>
      </c>
      <c r="Y79" s="4">
        <v>77</v>
      </c>
      <c r="Z79" s="4" t="s">
        <v>426</v>
      </c>
      <c r="AA79" s="4">
        <v>1807</v>
      </c>
      <c r="AB79" s="109">
        <v>39.49</v>
      </c>
      <c r="AC79" s="222">
        <f t="shared" si="4"/>
        <v>87.75555555555556</v>
      </c>
      <c r="AD79" s="16">
        <v>69.710000000000008</v>
      </c>
      <c r="AE79" s="21" t="s">
        <v>651</v>
      </c>
    </row>
    <row r="80" spans="2:31" ht="15.75" customHeight="1" x14ac:dyDescent="0.3">
      <c r="B80" s="114">
        <v>27.63</v>
      </c>
      <c r="C80" s="114">
        <f t="shared" si="0"/>
        <v>61.4</v>
      </c>
      <c r="D80" s="107">
        <f t="shared" si="1"/>
        <v>38.6</v>
      </c>
      <c r="E80" s="107">
        <v>51.629999999999995</v>
      </c>
      <c r="F80" s="218" t="s">
        <v>638</v>
      </c>
      <c r="G80" s="13">
        <v>1232</v>
      </c>
      <c r="H80" s="217" t="str">
        <f t="shared" si="2"/>
        <v>Perbaikan</v>
      </c>
      <c r="K80" s="217" t="s">
        <v>646</v>
      </c>
      <c r="L80" s="117">
        <v>1229</v>
      </c>
      <c r="Y80" s="4">
        <v>78</v>
      </c>
      <c r="Z80" s="4" t="s">
        <v>428</v>
      </c>
      <c r="AA80" s="4">
        <v>1799</v>
      </c>
      <c r="AB80" s="109">
        <v>32</v>
      </c>
      <c r="AC80" s="222">
        <f t="shared" si="4"/>
        <v>71.111111111111114</v>
      </c>
      <c r="AD80" s="16">
        <v>68.289999999999992</v>
      </c>
      <c r="AE80" s="4" t="s">
        <v>649</v>
      </c>
    </row>
    <row r="81" spans="2:31" ht="15.75" customHeight="1" x14ac:dyDescent="0.3">
      <c r="B81" s="114">
        <v>20.7</v>
      </c>
      <c r="C81" s="114">
        <f t="shared" si="0"/>
        <v>46</v>
      </c>
      <c r="D81" s="107">
        <f t="shared" si="1"/>
        <v>54</v>
      </c>
      <c r="E81" s="107">
        <v>56.28</v>
      </c>
      <c r="F81" s="218" t="s">
        <v>645</v>
      </c>
      <c r="G81" s="13">
        <v>1155</v>
      </c>
      <c r="H81" s="217" t="str">
        <f t="shared" si="2"/>
        <v>Perbaikan</v>
      </c>
      <c r="K81" s="217" t="s">
        <v>646</v>
      </c>
      <c r="L81" s="14">
        <v>1292</v>
      </c>
      <c r="Y81" s="4">
        <v>79</v>
      </c>
      <c r="Z81" s="4" t="s">
        <v>430</v>
      </c>
      <c r="AA81" s="4">
        <v>2462</v>
      </c>
      <c r="AB81" s="109">
        <v>33.450000000000003</v>
      </c>
      <c r="AC81" s="222">
        <f t="shared" si="4"/>
        <v>74.333333333333343</v>
      </c>
      <c r="AD81" s="16">
        <v>72.8</v>
      </c>
      <c r="AE81" s="4" t="s">
        <v>649</v>
      </c>
    </row>
    <row r="82" spans="2:31" ht="15.75" customHeight="1" x14ac:dyDescent="0.3">
      <c r="B82" s="114">
        <v>19.88</v>
      </c>
      <c r="C82" s="114">
        <f t="shared" si="0"/>
        <v>44.177777777777777</v>
      </c>
      <c r="D82" s="107">
        <f t="shared" si="1"/>
        <v>55.822222222222223</v>
      </c>
      <c r="E82" s="107">
        <v>61.069999999999993</v>
      </c>
      <c r="F82" s="218" t="s">
        <v>645</v>
      </c>
      <c r="G82" s="13">
        <v>422</v>
      </c>
      <c r="H82" s="217" t="str">
        <f t="shared" si="2"/>
        <v>Perbaikan</v>
      </c>
      <c r="K82" s="217" t="s">
        <v>646</v>
      </c>
      <c r="L82" s="14">
        <v>1044</v>
      </c>
      <c r="Y82" s="4">
        <v>80</v>
      </c>
      <c r="Z82" s="4" t="s">
        <v>432</v>
      </c>
      <c r="AA82" s="4">
        <v>1424</v>
      </c>
      <c r="AB82" s="109">
        <v>35.369999999999997</v>
      </c>
      <c r="AC82" s="222">
        <f t="shared" si="4"/>
        <v>78.599999999999994</v>
      </c>
      <c r="AD82" s="16">
        <v>69.38</v>
      </c>
      <c r="AE82" s="4" t="s">
        <v>649</v>
      </c>
    </row>
    <row r="83" spans="2:31" ht="15.75" customHeight="1" x14ac:dyDescent="0.3">
      <c r="B83" s="114">
        <v>17.02</v>
      </c>
      <c r="C83" s="114">
        <f t="shared" si="0"/>
        <v>37.822222222222223</v>
      </c>
      <c r="D83" s="107">
        <f t="shared" si="1"/>
        <v>62.177777777777777</v>
      </c>
      <c r="E83" s="107">
        <v>51.4</v>
      </c>
      <c r="F83" s="218" t="s">
        <v>645</v>
      </c>
      <c r="G83" s="13">
        <v>194</v>
      </c>
      <c r="H83" s="217" t="str">
        <f t="shared" si="2"/>
        <v>Rehab J.I</v>
      </c>
      <c r="K83" s="217" t="s">
        <v>646</v>
      </c>
      <c r="L83" s="14">
        <v>1274</v>
      </c>
      <c r="Y83" s="4">
        <v>81</v>
      </c>
      <c r="Z83" s="4" t="s">
        <v>433</v>
      </c>
      <c r="AA83" s="4">
        <v>156</v>
      </c>
      <c r="AB83" s="109">
        <v>29.92</v>
      </c>
      <c r="AC83" s="222">
        <f t="shared" si="4"/>
        <v>66.488888888888894</v>
      </c>
      <c r="AD83" s="16">
        <v>61.88</v>
      </c>
      <c r="AE83" s="4" t="s">
        <v>649</v>
      </c>
    </row>
    <row r="84" spans="2:31" ht="15.75" customHeight="1" x14ac:dyDescent="0.3">
      <c r="B84" s="114">
        <v>22.09</v>
      </c>
      <c r="C84" s="114">
        <f t="shared" si="0"/>
        <v>49.088888888888889</v>
      </c>
      <c r="D84" s="107">
        <f t="shared" si="1"/>
        <v>50.911111111111111</v>
      </c>
      <c r="E84" s="107">
        <v>56.330000000000005</v>
      </c>
      <c r="F84" s="218" t="s">
        <v>645</v>
      </c>
      <c r="G84" s="13">
        <v>684</v>
      </c>
      <c r="H84" s="217" t="str">
        <f t="shared" si="2"/>
        <v>Perbaikan</v>
      </c>
      <c r="K84" s="217" t="s">
        <v>646</v>
      </c>
      <c r="L84" s="14">
        <v>1661</v>
      </c>
      <c r="Y84" s="4">
        <v>82</v>
      </c>
      <c r="Z84" s="4" t="s">
        <v>434</v>
      </c>
      <c r="AA84" s="4">
        <v>1212</v>
      </c>
      <c r="AB84" s="109">
        <v>32.25</v>
      </c>
      <c r="AC84" s="222">
        <f t="shared" si="4"/>
        <v>71.666666666666671</v>
      </c>
      <c r="AD84" s="16">
        <v>65.039999999999992</v>
      </c>
      <c r="AE84" s="4" t="s">
        <v>649</v>
      </c>
    </row>
    <row r="85" spans="2:31" ht="15.75" customHeight="1" x14ac:dyDescent="0.3">
      <c r="B85" s="114">
        <v>29.73</v>
      </c>
      <c r="C85" s="114">
        <f t="shared" si="0"/>
        <v>66.066666666666663</v>
      </c>
      <c r="D85" s="107">
        <f t="shared" si="1"/>
        <v>33.933333333333337</v>
      </c>
      <c r="E85" s="107">
        <v>68.52</v>
      </c>
      <c r="F85" s="218" t="s">
        <v>638</v>
      </c>
      <c r="G85" s="13">
        <v>461</v>
      </c>
      <c r="H85" s="217" t="str">
        <f t="shared" si="2"/>
        <v>Perbaikan</v>
      </c>
      <c r="K85" s="217" t="s">
        <v>646</v>
      </c>
      <c r="L85" s="13">
        <v>1232</v>
      </c>
      <c r="Y85" s="4">
        <v>83</v>
      </c>
      <c r="Z85" s="4" t="s">
        <v>436</v>
      </c>
      <c r="AA85" s="4">
        <v>20</v>
      </c>
      <c r="AB85" s="109">
        <v>28.65</v>
      </c>
      <c r="AC85" s="222">
        <f t="shared" si="4"/>
        <v>63.666666666666657</v>
      </c>
      <c r="AD85" s="16">
        <v>60.78</v>
      </c>
      <c r="AE85" s="4" t="s">
        <v>649</v>
      </c>
    </row>
    <row r="86" spans="2:31" ht="15.75" customHeight="1" x14ac:dyDescent="0.3">
      <c r="B86" s="114">
        <v>12.03</v>
      </c>
      <c r="C86" s="114">
        <f t="shared" si="0"/>
        <v>26.733333333333331</v>
      </c>
      <c r="D86" s="107">
        <f t="shared" si="1"/>
        <v>73.266666666666666</v>
      </c>
      <c r="E86" s="107">
        <v>48.529999999999994</v>
      </c>
      <c r="F86" s="218" t="s">
        <v>645</v>
      </c>
      <c r="G86" s="13">
        <v>50</v>
      </c>
      <c r="H86" s="217" t="str">
        <f t="shared" si="2"/>
        <v>Rehab J.I</v>
      </c>
      <c r="K86" s="217" t="s">
        <v>646</v>
      </c>
      <c r="L86" s="13">
        <v>1155</v>
      </c>
      <c r="Y86" s="4">
        <v>84</v>
      </c>
      <c r="Z86" s="4" t="s">
        <v>311</v>
      </c>
      <c r="AA86" s="4">
        <v>527</v>
      </c>
      <c r="AB86" s="109">
        <v>19.29</v>
      </c>
      <c r="AC86" s="222">
        <f t="shared" si="4"/>
        <v>42.866666666666667</v>
      </c>
      <c r="AD86" s="16">
        <v>54.06</v>
      </c>
      <c r="AE86" s="26" t="s">
        <v>640</v>
      </c>
    </row>
    <row r="87" spans="2:31" ht="15.75" customHeight="1" x14ac:dyDescent="0.3">
      <c r="B87" s="114">
        <v>27.01</v>
      </c>
      <c r="C87" s="114">
        <f t="shared" si="0"/>
        <v>60.022222222222219</v>
      </c>
      <c r="D87" s="107">
        <f t="shared" si="1"/>
        <v>39.977777777777781</v>
      </c>
      <c r="E87" s="107">
        <v>67.789999999999992</v>
      </c>
      <c r="F87" s="218" t="s">
        <v>638</v>
      </c>
      <c r="G87" s="13">
        <v>1554</v>
      </c>
      <c r="H87" s="217" t="str">
        <f t="shared" si="2"/>
        <v>Perbaikan</v>
      </c>
      <c r="K87" s="217" t="s">
        <v>646</v>
      </c>
      <c r="L87" s="13">
        <v>422</v>
      </c>
      <c r="Y87" s="4">
        <v>85</v>
      </c>
      <c r="Z87" s="4" t="s">
        <v>390</v>
      </c>
      <c r="AA87" s="4">
        <v>457</v>
      </c>
      <c r="AB87" s="109">
        <v>23.97</v>
      </c>
      <c r="AC87" s="222">
        <f t="shared" si="4"/>
        <v>53.266666666666666</v>
      </c>
      <c r="AD87" s="16">
        <v>59.179999999999993</v>
      </c>
      <c r="AE87" s="4" t="s">
        <v>649</v>
      </c>
    </row>
    <row r="88" spans="2:31" ht="15.75" customHeight="1" x14ac:dyDescent="0.3">
      <c r="B88" s="114">
        <v>28.63</v>
      </c>
      <c r="C88" s="114">
        <f t="shared" si="0"/>
        <v>63.622222222222227</v>
      </c>
      <c r="D88" s="107">
        <f t="shared" si="1"/>
        <v>36.377777777777773</v>
      </c>
      <c r="E88" s="107">
        <v>66.759999999999991</v>
      </c>
      <c r="F88" s="218" t="s">
        <v>638</v>
      </c>
      <c r="G88" s="13">
        <v>745</v>
      </c>
      <c r="H88" s="217" t="str">
        <f t="shared" si="2"/>
        <v>Perbaikan</v>
      </c>
      <c r="K88" s="217" t="s">
        <v>646</v>
      </c>
      <c r="L88" s="13">
        <v>684</v>
      </c>
      <c r="Y88" s="4">
        <v>86</v>
      </c>
      <c r="Z88" s="4" t="s">
        <v>439</v>
      </c>
      <c r="AA88" s="4">
        <v>107</v>
      </c>
      <c r="AB88" s="109">
        <v>29.45</v>
      </c>
      <c r="AC88" s="222">
        <f t="shared" si="4"/>
        <v>65.444444444444443</v>
      </c>
      <c r="AD88" s="16">
        <v>61.43</v>
      </c>
      <c r="AE88" s="4" t="s">
        <v>649</v>
      </c>
    </row>
    <row r="89" spans="2:31" ht="15.75" customHeight="1" x14ac:dyDescent="0.3">
      <c r="B89" s="114">
        <v>26.37</v>
      </c>
      <c r="C89" s="114">
        <f t="shared" si="0"/>
        <v>58.600000000000009</v>
      </c>
      <c r="D89" s="107">
        <f t="shared" si="1"/>
        <v>41.399999999999991</v>
      </c>
      <c r="E89" s="107">
        <v>67.739999999999995</v>
      </c>
      <c r="F89" s="218" t="s">
        <v>645</v>
      </c>
      <c r="G89" s="13">
        <v>230</v>
      </c>
      <c r="H89" s="217" t="str">
        <f t="shared" si="2"/>
        <v>Perbaikan</v>
      </c>
      <c r="K89" s="217" t="s">
        <v>646</v>
      </c>
      <c r="L89" s="13">
        <v>461</v>
      </c>
      <c r="Y89" s="4">
        <v>87</v>
      </c>
      <c r="Z89" s="4" t="s">
        <v>440</v>
      </c>
      <c r="AA89" s="4">
        <v>39</v>
      </c>
      <c r="AB89" s="109">
        <v>28.57</v>
      </c>
      <c r="AC89" s="222">
        <f t="shared" si="4"/>
        <v>63.488888888888894</v>
      </c>
      <c r="AD89" s="16">
        <v>61.320000000000007</v>
      </c>
      <c r="AE89" s="4" t="s">
        <v>649</v>
      </c>
    </row>
    <row r="90" spans="2:31" ht="15.75" customHeight="1" x14ac:dyDescent="0.3">
      <c r="B90" s="114">
        <v>20.94</v>
      </c>
      <c r="C90" s="114">
        <f t="shared" si="0"/>
        <v>46.533333333333339</v>
      </c>
      <c r="D90" s="107">
        <f t="shared" si="1"/>
        <v>53.466666666666661</v>
      </c>
      <c r="E90" s="107">
        <v>58.470000000000006</v>
      </c>
      <c r="F90" s="218" t="s">
        <v>645</v>
      </c>
      <c r="G90" s="13">
        <v>367</v>
      </c>
      <c r="H90" s="217" t="str">
        <f t="shared" si="2"/>
        <v>Perbaikan</v>
      </c>
      <c r="K90" s="217" t="s">
        <v>646</v>
      </c>
      <c r="L90" s="13">
        <v>1554</v>
      </c>
      <c r="Y90" s="4">
        <v>88</v>
      </c>
      <c r="Z90" s="4" t="s">
        <v>442</v>
      </c>
      <c r="AA90" s="4">
        <v>282</v>
      </c>
      <c r="AB90" s="109">
        <v>28.48</v>
      </c>
      <c r="AC90" s="222">
        <f t="shared" si="4"/>
        <v>63.288888888888891</v>
      </c>
      <c r="AD90" s="16">
        <v>61.419999999999995</v>
      </c>
      <c r="AE90" s="4" t="s">
        <v>649</v>
      </c>
    </row>
    <row r="91" spans="2:31" ht="15.75" customHeight="1" x14ac:dyDescent="0.3">
      <c r="B91" s="114">
        <v>25.35</v>
      </c>
      <c r="C91" s="114">
        <f t="shared" si="0"/>
        <v>56.333333333333336</v>
      </c>
      <c r="D91" s="107">
        <f t="shared" si="1"/>
        <v>43.666666666666664</v>
      </c>
      <c r="E91" s="107">
        <v>60.89</v>
      </c>
      <c r="F91" s="218" t="s">
        <v>645</v>
      </c>
      <c r="G91" s="13">
        <v>215</v>
      </c>
      <c r="H91" s="217" t="str">
        <f t="shared" si="2"/>
        <v>Perbaikan</v>
      </c>
      <c r="K91" s="217" t="s">
        <v>646</v>
      </c>
      <c r="L91" s="13">
        <v>745</v>
      </c>
      <c r="Y91" s="4">
        <v>89</v>
      </c>
      <c r="Z91" s="4" t="s">
        <v>444</v>
      </c>
      <c r="AA91" s="4">
        <v>726</v>
      </c>
      <c r="AB91" s="109">
        <v>31.96</v>
      </c>
      <c r="AC91" s="222">
        <f t="shared" si="4"/>
        <v>71.022222222222226</v>
      </c>
      <c r="AD91" s="16">
        <v>63.730000000000004</v>
      </c>
      <c r="AE91" s="4" t="s">
        <v>649</v>
      </c>
    </row>
    <row r="92" spans="2:31" ht="15.75" customHeight="1" x14ac:dyDescent="0.3">
      <c r="B92" s="114">
        <v>20.22</v>
      </c>
      <c r="C92" s="114">
        <f t="shared" si="0"/>
        <v>44.93333333333333</v>
      </c>
      <c r="D92" s="107">
        <f t="shared" si="1"/>
        <v>55.06666666666667</v>
      </c>
      <c r="E92" s="107">
        <v>62.11</v>
      </c>
      <c r="F92" s="218" t="s">
        <v>645</v>
      </c>
      <c r="G92" s="13">
        <v>165</v>
      </c>
      <c r="H92" s="217" t="str">
        <f t="shared" si="2"/>
        <v>Perbaikan</v>
      </c>
      <c r="K92" s="217" t="s">
        <v>646</v>
      </c>
      <c r="L92" s="13">
        <v>230</v>
      </c>
      <c r="Y92" s="4">
        <v>90</v>
      </c>
      <c r="Z92" s="4" t="s">
        <v>443</v>
      </c>
      <c r="AA92" s="4">
        <v>63</v>
      </c>
      <c r="AB92" s="109">
        <v>27.57</v>
      </c>
      <c r="AC92" s="222">
        <f t="shared" si="4"/>
        <v>61.266666666666666</v>
      </c>
      <c r="AD92" s="16">
        <v>59.63</v>
      </c>
      <c r="AE92" s="4" t="s">
        <v>649</v>
      </c>
    </row>
    <row r="93" spans="2:31" ht="15.75" customHeight="1" x14ac:dyDescent="0.3">
      <c r="B93" s="114">
        <v>19.66</v>
      </c>
      <c r="C93" s="114">
        <f t="shared" si="0"/>
        <v>43.68888888888889</v>
      </c>
      <c r="D93" s="107">
        <f t="shared" si="1"/>
        <v>56.31111111111111</v>
      </c>
      <c r="E93" s="107">
        <v>53.59</v>
      </c>
      <c r="F93" s="218" t="s">
        <v>645</v>
      </c>
      <c r="G93" s="13">
        <v>629</v>
      </c>
      <c r="H93" s="217" t="str">
        <f t="shared" si="2"/>
        <v>Rehab J.I</v>
      </c>
      <c r="K93" s="217" t="s">
        <v>646</v>
      </c>
      <c r="L93" s="13">
        <v>367</v>
      </c>
      <c r="Y93" s="4">
        <v>91</v>
      </c>
      <c r="Z93" s="4" t="s">
        <v>447</v>
      </c>
      <c r="AA93" s="4">
        <v>70</v>
      </c>
      <c r="AB93" s="109">
        <v>28.39</v>
      </c>
      <c r="AC93" s="222">
        <f t="shared" si="4"/>
        <v>63.088888888888896</v>
      </c>
      <c r="AD93" s="16">
        <v>61.63</v>
      </c>
      <c r="AE93" s="4" t="s">
        <v>649</v>
      </c>
    </row>
    <row r="94" spans="2:31" ht="15.75" customHeight="1" x14ac:dyDescent="0.3">
      <c r="B94" s="114">
        <v>19.25</v>
      </c>
      <c r="C94" s="114">
        <f t="shared" si="0"/>
        <v>42.777777777777779</v>
      </c>
      <c r="D94" s="107">
        <f t="shared" si="1"/>
        <v>57.222222222222221</v>
      </c>
      <c r="E94" s="107">
        <v>51.189999999999991</v>
      </c>
      <c r="F94" s="218" t="s">
        <v>645</v>
      </c>
      <c r="G94" s="13">
        <v>2340</v>
      </c>
      <c r="H94" s="217" t="str">
        <f t="shared" si="2"/>
        <v>Rehab J.I</v>
      </c>
      <c r="K94" s="217" t="s">
        <v>646</v>
      </c>
      <c r="L94" s="13">
        <v>215</v>
      </c>
      <c r="Y94" s="4">
        <v>92</v>
      </c>
      <c r="Z94" s="4" t="s">
        <v>359</v>
      </c>
      <c r="AA94" s="4">
        <v>53</v>
      </c>
      <c r="AB94" s="109">
        <v>22.16</v>
      </c>
      <c r="AC94" s="222">
        <f t="shared" si="4"/>
        <v>49.244444444444447</v>
      </c>
      <c r="AD94" s="16">
        <v>59.910000000000011</v>
      </c>
      <c r="AE94" s="4" t="s">
        <v>649</v>
      </c>
    </row>
    <row r="95" spans="2:31" ht="15.75" customHeight="1" x14ac:dyDescent="0.3">
      <c r="B95" s="114">
        <v>23.87</v>
      </c>
      <c r="C95" s="114">
        <f t="shared" si="0"/>
        <v>53.044444444444451</v>
      </c>
      <c r="D95" s="107">
        <f t="shared" si="1"/>
        <v>46.955555555555549</v>
      </c>
      <c r="E95" s="107">
        <v>65.44</v>
      </c>
      <c r="F95" s="218" t="s">
        <v>645</v>
      </c>
      <c r="G95" s="13">
        <v>789</v>
      </c>
      <c r="H95" s="217" t="str">
        <f t="shared" si="2"/>
        <v>Perbaikan</v>
      </c>
      <c r="K95" s="217" t="s">
        <v>646</v>
      </c>
      <c r="L95" s="13">
        <v>165</v>
      </c>
      <c r="Y95" s="4">
        <v>93</v>
      </c>
      <c r="Z95" s="4" t="s">
        <v>441</v>
      </c>
      <c r="AA95" s="4">
        <v>193</v>
      </c>
      <c r="AB95" s="109">
        <v>27.55</v>
      </c>
      <c r="AC95" s="222">
        <f t="shared" si="4"/>
        <v>61.222222222222221</v>
      </c>
      <c r="AD95" s="16">
        <v>56.850000000000009</v>
      </c>
      <c r="AE95" s="4" t="s">
        <v>649</v>
      </c>
    </row>
    <row r="96" spans="2:31" ht="15.75" customHeight="1" x14ac:dyDescent="0.3">
      <c r="B96" s="114">
        <v>15.05</v>
      </c>
      <c r="C96" s="114">
        <f t="shared" si="0"/>
        <v>33.444444444444443</v>
      </c>
      <c r="D96" s="107">
        <f t="shared" si="1"/>
        <v>66.555555555555557</v>
      </c>
      <c r="E96" s="107">
        <v>52.18</v>
      </c>
      <c r="F96" s="218" t="s">
        <v>645</v>
      </c>
      <c r="G96" s="13">
        <v>209</v>
      </c>
      <c r="H96" s="217" t="str">
        <f t="shared" si="2"/>
        <v>Rehab J.I</v>
      </c>
      <c r="K96" s="217" t="s">
        <v>646</v>
      </c>
      <c r="L96" s="13">
        <v>789</v>
      </c>
      <c r="Y96" s="4">
        <v>94</v>
      </c>
      <c r="Z96" s="4" t="s">
        <v>448</v>
      </c>
      <c r="AA96" s="4">
        <v>455</v>
      </c>
      <c r="AB96" s="109">
        <v>27.88</v>
      </c>
      <c r="AC96" s="222">
        <f t="shared" si="4"/>
        <v>61.955555555555556</v>
      </c>
      <c r="AD96" s="16">
        <v>53.14</v>
      </c>
      <c r="AE96" s="4" t="s">
        <v>649</v>
      </c>
    </row>
    <row r="97" spans="2:31" ht="15.75" customHeight="1" x14ac:dyDescent="0.3">
      <c r="B97" s="114">
        <v>13.9</v>
      </c>
      <c r="C97" s="114">
        <f t="shared" si="0"/>
        <v>30.888888888888889</v>
      </c>
      <c r="D97" s="107">
        <f t="shared" si="1"/>
        <v>69.111111111111114</v>
      </c>
      <c r="E97" s="107">
        <v>58.36</v>
      </c>
      <c r="F97" s="218" t="s">
        <v>645</v>
      </c>
      <c r="G97" s="13">
        <v>13</v>
      </c>
      <c r="H97" s="217" t="str">
        <f t="shared" si="2"/>
        <v>Perbaikan</v>
      </c>
      <c r="K97" s="217" t="s">
        <v>646</v>
      </c>
      <c r="L97" s="13">
        <v>13</v>
      </c>
      <c r="Y97" s="4">
        <v>95</v>
      </c>
      <c r="Z97" s="4" t="s">
        <v>431</v>
      </c>
      <c r="AA97" s="4">
        <v>16</v>
      </c>
      <c r="AB97" s="109">
        <v>27.18</v>
      </c>
      <c r="AC97" s="222">
        <f t="shared" si="4"/>
        <v>60.4</v>
      </c>
      <c r="AD97" s="16">
        <v>59.58</v>
      </c>
      <c r="AE97" s="4" t="s">
        <v>649</v>
      </c>
    </row>
    <row r="98" spans="2:31" ht="15.75" customHeight="1" x14ac:dyDescent="0.3">
      <c r="B98" s="114">
        <v>24.64</v>
      </c>
      <c r="C98" s="114">
        <f t="shared" si="0"/>
        <v>54.75555555555556</v>
      </c>
      <c r="D98" s="107">
        <f t="shared" si="1"/>
        <v>45.24444444444444</v>
      </c>
      <c r="E98" s="107">
        <v>63.870000000000005</v>
      </c>
      <c r="F98" s="218" t="s">
        <v>645</v>
      </c>
      <c r="G98" s="13">
        <v>54</v>
      </c>
      <c r="H98" s="217" t="str">
        <f t="shared" si="2"/>
        <v>Perbaikan</v>
      </c>
      <c r="K98" s="217" t="s">
        <v>646</v>
      </c>
      <c r="L98" s="13">
        <v>54</v>
      </c>
      <c r="Y98" s="4">
        <v>96</v>
      </c>
      <c r="Z98" s="4" t="s">
        <v>363</v>
      </c>
      <c r="AA98" s="4">
        <v>32</v>
      </c>
      <c r="AB98" s="109">
        <v>22.54</v>
      </c>
      <c r="AC98" s="222">
        <f t="shared" si="4"/>
        <v>50.088888888888881</v>
      </c>
      <c r="AD98" s="16">
        <v>54.64</v>
      </c>
      <c r="AE98" s="4" t="s">
        <v>649</v>
      </c>
    </row>
    <row r="99" spans="2:31" ht="15.75" customHeight="1" x14ac:dyDescent="0.3">
      <c r="B99" s="114">
        <v>25.98</v>
      </c>
      <c r="C99" s="114">
        <f t="shared" si="0"/>
        <v>57.733333333333334</v>
      </c>
      <c r="D99" s="107">
        <f t="shared" si="1"/>
        <v>42.266666666666666</v>
      </c>
      <c r="E99" s="107">
        <v>61.080000000000005</v>
      </c>
      <c r="F99" s="218" t="s">
        <v>645</v>
      </c>
      <c r="G99" s="13">
        <v>1332</v>
      </c>
      <c r="H99" s="217" t="str">
        <f t="shared" si="2"/>
        <v>Perbaikan</v>
      </c>
      <c r="K99" s="217" t="s">
        <v>646</v>
      </c>
      <c r="L99" s="13">
        <v>1332</v>
      </c>
      <c r="Y99" s="4">
        <v>97</v>
      </c>
      <c r="Z99" s="4" t="s">
        <v>437</v>
      </c>
      <c r="AA99" s="4">
        <v>46</v>
      </c>
      <c r="AB99" s="109">
        <v>27.43</v>
      </c>
      <c r="AC99" s="222">
        <f t="shared" si="4"/>
        <v>60.955555555555549</v>
      </c>
      <c r="AD99" s="16">
        <v>61.73</v>
      </c>
      <c r="AE99" s="4" t="s">
        <v>649</v>
      </c>
    </row>
    <row r="100" spans="2:31" ht="15.75" customHeight="1" x14ac:dyDescent="0.3">
      <c r="B100" s="114">
        <v>27.41</v>
      </c>
      <c r="C100" s="114">
        <f t="shared" si="0"/>
        <v>60.911111111111119</v>
      </c>
      <c r="D100" s="107">
        <f t="shared" si="1"/>
        <v>39.088888888888881</v>
      </c>
      <c r="E100" s="107">
        <v>68.67</v>
      </c>
      <c r="F100" s="218" t="s">
        <v>638</v>
      </c>
      <c r="G100" s="13">
        <v>1058</v>
      </c>
      <c r="H100" s="217" t="str">
        <f t="shared" si="2"/>
        <v>Perbaikan</v>
      </c>
      <c r="K100" s="217" t="s">
        <v>646</v>
      </c>
      <c r="L100" s="13">
        <v>1058</v>
      </c>
      <c r="Y100" s="4">
        <v>98</v>
      </c>
      <c r="Z100" s="4" t="s">
        <v>357</v>
      </c>
      <c r="AA100" s="4">
        <v>59</v>
      </c>
      <c r="AB100" s="109">
        <v>21.83</v>
      </c>
      <c r="AC100" s="222">
        <f t="shared" si="4"/>
        <v>48.511111111111106</v>
      </c>
      <c r="AD100" s="16">
        <v>53.64</v>
      </c>
      <c r="AE100" s="26" t="s">
        <v>640</v>
      </c>
    </row>
    <row r="101" spans="2:31" ht="15.75" customHeight="1" x14ac:dyDescent="0.3">
      <c r="B101" s="114">
        <v>27.22</v>
      </c>
      <c r="C101" s="114">
        <f t="shared" si="0"/>
        <v>60.48888888888888</v>
      </c>
      <c r="D101" s="107">
        <f t="shared" si="1"/>
        <v>39.51111111111112</v>
      </c>
      <c r="E101" s="107">
        <v>66.320000000000007</v>
      </c>
      <c r="F101" s="218" t="s">
        <v>638</v>
      </c>
      <c r="G101" s="13">
        <v>1045</v>
      </c>
      <c r="H101" s="217" t="str">
        <f t="shared" si="2"/>
        <v>Perbaikan</v>
      </c>
      <c r="K101" s="217" t="s">
        <v>646</v>
      </c>
      <c r="L101" s="13">
        <v>1045</v>
      </c>
      <c r="Y101" s="4">
        <v>99</v>
      </c>
      <c r="Z101" s="4" t="s">
        <v>339</v>
      </c>
      <c r="AA101" s="4">
        <v>119</v>
      </c>
      <c r="AB101" s="109">
        <v>28.83</v>
      </c>
      <c r="AC101" s="222">
        <f t="shared" si="4"/>
        <v>64.066666666666663</v>
      </c>
      <c r="AD101" s="16">
        <v>61.69</v>
      </c>
      <c r="AE101" s="4" t="s">
        <v>649</v>
      </c>
    </row>
    <row r="102" spans="2:31" ht="15.75" customHeight="1" x14ac:dyDescent="0.3">
      <c r="B102" s="114">
        <v>27.01</v>
      </c>
      <c r="C102" s="114">
        <f t="shared" si="0"/>
        <v>60.022222222222219</v>
      </c>
      <c r="D102" s="107">
        <f t="shared" si="1"/>
        <v>39.977777777777781</v>
      </c>
      <c r="E102" s="107">
        <v>68.709999999999994</v>
      </c>
      <c r="F102" s="218" t="s">
        <v>638</v>
      </c>
      <c r="G102" s="13">
        <v>1273</v>
      </c>
      <c r="H102" s="217" t="str">
        <f t="shared" si="2"/>
        <v>Perbaikan</v>
      </c>
      <c r="K102" s="217" t="s">
        <v>646</v>
      </c>
      <c r="L102" s="13">
        <v>1273</v>
      </c>
      <c r="Y102" s="4">
        <v>100</v>
      </c>
      <c r="Z102" s="4" t="s">
        <v>415</v>
      </c>
      <c r="AA102" s="4">
        <v>1926</v>
      </c>
      <c r="AB102" s="109">
        <v>25.99</v>
      </c>
      <c r="AC102" s="222">
        <f t="shared" si="4"/>
        <v>57.755555555555546</v>
      </c>
      <c r="AD102" s="16">
        <v>57.33</v>
      </c>
      <c r="AE102" s="4" t="s">
        <v>649</v>
      </c>
    </row>
    <row r="103" spans="2:31" ht="15.75" customHeight="1" x14ac:dyDescent="0.3">
      <c r="B103" s="114">
        <v>21.97</v>
      </c>
      <c r="C103" s="114">
        <f t="shared" si="0"/>
        <v>48.822222222222223</v>
      </c>
      <c r="D103" s="107">
        <f t="shared" si="1"/>
        <v>51.177777777777777</v>
      </c>
      <c r="E103" s="107">
        <v>55.57</v>
      </c>
      <c r="F103" s="218" t="s">
        <v>645</v>
      </c>
      <c r="G103" s="13">
        <v>2433</v>
      </c>
      <c r="H103" s="217" t="str">
        <f t="shared" si="2"/>
        <v>Perbaikan</v>
      </c>
      <c r="K103" s="217" t="s">
        <v>646</v>
      </c>
      <c r="L103" s="13">
        <v>2433</v>
      </c>
      <c r="Y103" s="4">
        <v>101</v>
      </c>
      <c r="Z103" s="4" t="s">
        <v>350</v>
      </c>
      <c r="AA103" s="4">
        <v>165</v>
      </c>
      <c r="AB103" s="109">
        <v>21.53</v>
      </c>
      <c r="AC103" s="222">
        <f t="shared" si="4"/>
        <v>47.844444444444449</v>
      </c>
      <c r="AD103" s="16">
        <v>65.039999999999992</v>
      </c>
      <c r="AE103" s="4" t="s">
        <v>649</v>
      </c>
    </row>
    <row r="104" spans="2:31" ht="15.75" customHeight="1" x14ac:dyDescent="0.3">
      <c r="B104" s="114">
        <v>21.53</v>
      </c>
      <c r="C104" s="114">
        <f t="shared" si="0"/>
        <v>47.844444444444449</v>
      </c>
      <c r="D104" s="107">
        <f t="shared" si="1"/>
        <v>52.155555555555551</v>
      </c>
      <c r="E104" s="107">
        <v>66.84</v>
      </c>
      <c r="F104" s="218" t="s">
        <v>645</v>
      </c>
      <c r="G104" s="13">
        <v>1403</v>
      </c>
      <c r="H104" s="217" t="str">
        <f t="shared" si="2"/>
        <v>Perbaikan</v>
      </c>
      <c r="K104" s="217" t="s">
        <v>646</v>
      </c>
      <c r="L104" s="13">
        <v>1403</v>
      </c>
      <c r="Y104" s="4">
        <v>102</v>
      </c>
      <c r="Z104" s="4" t="s">
        <v>452</v>
      </c>
      <c r="AA104" s="4">
        <v>551</v>
      </c>
      <c r="AB104" s="109">
        <v>33.729999999999997</v>
      </c>
      <c r="AC104" s="222">
        <f t="shared" si="4"/>
        <v>74.955555555555549</v>
      </c>
      <c r="AD104" s="16">
        <v>69.789999999999992</v>
      </c>
      <c r="AE104" s="4" t="s">
        <v>649</v>
      </c>
    </row>
    <row r="105" spans="2:31" ht="15.75" customHeight="1" x14ac:dyDescent="0.3">
      <c r="B105" s="114">
        <v>27.13</v>
      </c>
      <c r="C105" s="114">
        <f t="shared" si="0"/>
        <v>60.288888888888891</v>
      </c>
      <c r="D105" s="107">
        <f t="shared" si="1"/>
        <v>39.711111111111109</v>
      </c>
      <c r="E105" s="115">
        <v>66.889999999999986</v>
      </c>
      <c r="F105" s="218" t="s">
        <v>638</v>
      </c>
      <c r="G105" s="116">
        <v>1000</v>
      </c>
      <c r="H105" s="217" t="str">
        <f t="shared" si="2"/>
        <v>Perbaikan</v>
      </c>
      <c r="K105" s="217" t="s">
        <v>646</v>
      </c>
      <c r="L105" s="116">
        <v>1000</v>
      </c>
      <c r="Y105" s="4">
        <v>103</v>
      </c>
      <c r="Z105" s="4" t="s">
        <v>455</v>
      </c>
      <c r="AA105" s="4">
        <v>2946</v>
      </c>
      <c r="AB105" s="109">
        <v>38.83</v>
      </c>
      <c r="AC105" s="222">
        <f t="shared" si="4"/>
        <v>86.288888888888877</v>
      </c>
      <c r="AD105" s="16">
        <v>70.25</v>
      </c>
      <c r="AE105" s="21" t="s">
        <v>651</v>
      </c>
    </row>
    <row r="106" spans="2:31" ht="15.75" customHeight="1" x14ac:dyDescent="0.3">
      <c r="B106" s="114">
        <v>25.69</v>
      </c>
      <c r="C106" s="114">
        <f t="shared" si="0"/>
        <v>57.088888888888889</v>
      </c>
      <c r="D106" s="107">
        <f t="shared" si="1"/>
        <v>42.911111111111111</v>
      </c>
      <c r="E106" s="107">
        <v>65.28</v>
      </c>
      <c r="F106" s="218" t="s">
        <v>645</v>
      </c>
      <c r="G106" s="13">
        <v>1096</v>
      </c>
      <c r="H106" s="217" t="str">
        <f t="shared" si="2"/>
        <v>Perbaikan</v>
      </c>
      <c r="K106" s="217" t="s">
        <v>646</v>
      </c>
      <c r="L106" s="13">
        <v>1096</v>
      </c>
      <c r="Y106" s="4">
        <v>104</v>
      </c>
      <c r="Z106" s="4" t="s">
        <v>402</v>
      </c>
      <c r="AA106" s="4">
        <v>69</v>
      </c>
      <c r="AB106" s="109">
        <v>24.75</v>
      </c>
      <c r="AC106" s="222">
        <f t="shared" si="4"/>
        <v>55.000000000000007</v>
      </c>
      <c r="AD106" s="16">
        <v>64.820000000000007</v>
      </c>
      <c r="AE106" s="4" t="s">
        <v>649</v>
      </c>
    </row>
    <row r="107" spans="2:31" ht="15.75" customHeight="1" x14ac:dyDescent="0.3">
      <c r="B107" s="114">
        <v>27.97</v>
      </c>
      <c r="C107" s="114">
        <f t="shared" si="0"/>
        <v>62.155555555555551</v>
      </c>
      <c r="D107" s="107">
        <f t="shared" si="1"/>
        <v>37.844444444444449</v>
      </c>
      <c r="E107" s="107">
        <v>67.56</v>
      </c>
      <c r="F107" s="218" t="s">
        <v>638</v>
      </c>
      <c r="G107" s="13">
        <v>1787</v>
      </c>
      <c r="H107" s="217" t="str">
        <f t="shared" si="2"/>
        <v>Perbaikan</v>
      </c>
      <c r="K107" s="217" t="s">
        <v>646</v>
      </c>
      <c r="L107" s="13">
        <v>1787</v>
      </c>
      <c r="Y107" s="4">
        <v>105</v>
      </c>
      <c r="Z107" s="4" t="s">
        <v>456</v>
      </c>
      <c r="AA107" s="4">
        <v>54</v>
      </c>
      <c r="AB107" s="109">
        <v>29.82</v>
      </c>
      <c r="AC107" s="222">
        <f t="shared" si="4"/>
        <v>66.266666666666666</v>
      </c>
      <c r="AD107" s="16">
        <v>70.33</v>
      </c>
      <c r="AE107" s="4" t="s">
        <v>649</v>
      </c>
    </row>
    <row r="108" spans="2:31" ht="15.75" customHeight="1" x14ac:dyDescent="0.3">
      <c r="B108" s="114">
        <v>30.94</v>
      </c>
      <c r="C108" s="114">
        <f t="shared" si="0"/>
        <v>68.75555555555556</v>
      </c>
      <c r="D108" s="107">
        <f t="shared" si="1"/>
        <v>31.24444444444444</v>
      </c>
      <c r="E108" s="107">
        <v>76.819999999999993</v>
      </c>
      <c r="F108" s="218" t="s">
        <v>638</v>
      </c>
      <c r="G108" s="13">
        <v>1370</v>
      </c>
      <c r="H108" s="217" t="str">
        <f t="shared" si="2"/>
        <v>Perawatan</v>
      </c>
      <c r="K108" s="217" t="s">
        <v>646</v>
      </c>
      <c r="L108" s="13">
        <v>1341</v>
      </c>
      <c r="Y108" s="4">
        <v>106</v>
      </c>
      <c r="Z108" s="4" t="s">
        <v>457</v>
      </c>
      <c r="AA108" s="4">
        <v>23</v>
      </c>
      <c r="AB108" s="109">
        <v>29.66</v>
      </c>
      <c r="AC108" s="222">
        <f t="shared" si="4"/>
        <v>65.911111111111111</v>
      </c>
      <c r="AD108" s="16">
        <v>71.19</v>
      </c>
      <c r="AE108" s="4" t="s">
        <v>649</v>
      </c>
    </row>
    <row r="109" spans="2:31" ht="15.75" customHeight="1" x14ac:dyDescent="0.3">
      <c r="B109" s="114">
        <v>20.32</v>
      </c>
      <c r="C109" s="114">
        <f t="shared" si="0"/>
        <v>45.155555555555551</v>
      </c>
      <c r="D109" s="107">
        <f t="shared" si="1"/>
        <v>54.844444444444449</v>
      </c>
      <c r="E109" s="107">
        <v>62.230000000000004</v>
      </c>
      <c r="F109" s="218" t="s">
        <v>645</v>
      </c>
      <c r="G109" s="13">
        <v>1341</v>
      </c>
      <c r="H109" s="217" t="str">
        <f t="shared" si="2"/>
        <v>Perbaikan</v>
      </c>
      <c r="K109" s="217" t="s">
        <v>646</v>
      </c>
      <c r="L109" s="116">
        <v>1046</v>
      </c>
      <c r="Y109" s="4">
        <v>107</v>
      </c>
      <c r="Z109" s="4" t="s">
        <v>458</v>
      </c>
      <c r="AA109" s="4">
        <v>42</v>
      </c>
      <c r="AB109" s="109">
        <v>28.87</v>
      </c>
      <c r="AC109" s="222">
        <f t="shared" si="4"/>
        <v>64.155555555555551</v>
      </c>
      <c r="AD109" s="16">
        <v>70.02000000000001</v>
      </c>
      <c r="AE109" s="4" t="s">
        <v>649</v>
      </c>
    </row>
    <row r="110" spans="2:31" ht="15.75" customHeight="1" x14ac:dyDescent="0.3">
      <c r="B110" s="114">
        <v>23.73</v>
      </c>
      <c r="C110" s="114">
        <f t="shared" si="0"/>
        <v>52.733333333333334</v>
      </c>
      <c r="D110" s="107">
        <f t="shared" si="1"/>
        <v>47.266666666666666</v>
      </c>
      <c r="E110" s="115">
        <v>63.500000000000007</v>
      </c>
      <c r="F110" s="218" t="s">
        <v>645</v>
      </c>
      <c r="G110" s="116">
        <v>1046</v>
      </c>
      <c r="H110" s="217" t="str">
        <f t="shared" si="2"/>
        <v>Perbaikan</v>
      </c>
      <c r="K110" s="217" t="s">
        <v>646</v>
      </c>
      <c r="L110" s="13">
        <v>1593</v>
      </c>
      <c r="Y110" s="4">
        <v>108</v>
      </c>
      <c r="Z110" s="4" t="s">
        <v>292</v>
      </c>
      <c r="AA110" s="4">
        <v>51</v>
      </c>
      <c r="AB110" s="109">
        <v>13.8</v>
      </c>
      <c r="AC110" s="222">
        <f t="shared" si="4"/>
        <v>30.666666666666671</v>
      </c>
      <c r="AD110" s="16">
        <v>55.02</v>
      </c>
      <c r="AE110" s="4" t="s">
        <v>649</v>
      </c>
    </row>
    <row r="111" spans="2:31" ht="15.75" customHeight="1" x14ac:dyDescent="0.3">
      <c r="B111" s="114">
        <v>19.649999999999999</v>
      </c>
      <c r="C111" s="114">
        <f t="shared" si="0"/>
        <v>43.666666666666664</v>
      </c>
      <c r="D111" s="107">
        <f t="shared" si="1"/>
        <v>56.333333333333336</v>
      </c>
      <c r="E111" s="107">
        <v>58.599999999999994</v>
      </c>
      <c r="F111" s="218" t="s">
        <v>645</v>
      </c>
      <c r="G111" s="13">
        <v>1593</v>
      </c>
      <c r="H111" s="217" t="str">
        <f t="shared" si="2"/>
        <v>Perbaikan</v>
      </c>
      <c r="K111" s="217" t="s">
        <v>646</v>
      </c>
      <c r="L111" s="13">
        <v>1921</v>
      </c>
      <c r="Y111" s="4">
        <v>109</v>
      </c>
      <c r="Z111" s="4" t="s">
        <v>438</v>
      </c>
      <c r="AA111" s="4">
        <v>82</v>
      </c>
      <c r="AB111" s="109">
        <v>27.48</v>
      </c>
      <c r="AC111" s="222">
        <f t="shared" si="4"/>
        <v>61.06666666666667</v>
      </c>
      <c r="AD111" s="16">
        <v>69</v>
      </c>
      <c r="AE111" s="4" t="s">
        <v>649</v>
      </c>
    </row>
    <row r="112" spans="2:31" ht="15.75" customHeight="1" x14ac:dyDescent="0.3">
      <c r="B112" s="114">
        <v>22.88</v>
      </c>
      <c r="C112" s="114">
        <f t="shared" si="0"/>
        <v>50.844444444444449</v>
      </c>
      <c r="D112" s="107">
        <f t="shared" si="1"/>
        <v>49.155555555555551</v>
      </c>
      <c r="E112" s="107">
        <v>66.77000000000001</v>
      </c>
      <c r="F112" s="218" t="s">
        <v>645</v>
      </c>
      <c r="G112" s="13">
        <v>1921</v>
      </c>
      <c r="H112" s="217" t="str">
        <f t="shared" si="2"/>
        <v>Perbaikan</v>
      </c>
      <c r="K112" s="217" t="s">
        <v>646</v>
      </c>
      <c r="L112" s="13">
        <v>1884</v>
      </c>
      <c r="Y112" s="4">
        <v>110</v>
      </c>
      <c r="Z112" s="4" t="s">
        <v>401</v>
      </c>
      <c r="AA112" s="4">
        <v>62</v>
      </c>
      <c r="AB112" s="109">
        <v>24.65</v>
      </c>
      <c r="AC112" s="222">
        <f t="shared" si="4"/>
        <v>54.777777777777771</v>
      </c>
      <c r="AD112" s="16">
        <v>66.22</v>
      </c>
      <c r="AE112" s="4" t="s">
        <v>649</v>
      </c>
    </row>
    <row r="113" spans="2:31" ht="15.75" customHeight="1" x14ac:dyDescent="0.3">
      <c r="B113" s="114">
        <v>26.42</v>
      </c>
      <c r="C113" s="114">
        <f t="shared" si="0"/>
        <v>58.711111111111116</v>
      </c>
      <c r="D113" s="107">
        <f t="shared" si="1"/>
        <v>41.288888888888884</v>
      </c>
      <c r="E113" s="107">
        <v>67.960000000000008</v>
      </c>
      <c r="F113" s="218" t="s">
        <v>645</v>
      </c>
      <c r="G113" s="13">
        <v>1884</v>
      </c>
      <c r="H113" s="217" t="str">
        <f t="shared" si="2"/>
        <v>Perbaikan</v>
      </c>
      <c r="K113" s="217" t="s">
        <v>646</v>
      </c>
      <c r="L113" s="13">
        <v>1337</v>
      </c>
      <c r="Y113" s="4">
        <v>111</v>
      </c>
      <c r="Z113" s="4" t="s">
        <v>423</v>
      </c>
      <c r="AA113" s="4">
        <v>56</v>
      </c>
      <c r="AB113" s="109">
        <v>26.65</v>
      </c>
      <c r="AC113" s="222">
        <f t="shared" si="4"/>
        <v>59.222222222222221</v>
      </c>
      <c r="AD113" s="16">
        <v>67.819999999999993</v>
      </c>
      <c r="AE113" s="4" t="s">
        <v>649</v>
      </c>
    </row>
    <row r="114" spans="2:31" ht="15.75" customHeight="1" x14ac:dyDescent="0.3">
      <c r="B114" s="114">
        <v>26.07</v>
      </c>
      <c r="C114" s="114">
        <f t="shared" si="0"/>
        <v>57.933333333333337</v>
      </c>
      <c r="D114" s="107">
        <f t="shared" si="1"/>
        <v>42.066666666666663</v>
      </c>
      <c r="E114" s="107">
        <v>63.24</v>
      </c>
      <c r="F114" s="218" t="s">
        <v>645</v>
      </c>
      <c r="G114" s="13">
        <v>1337</v>
      </c>
      <c r="H114" s="217" t="str">
        <f t="shared" si="2"/>
        <v>Perbaikan</v>
      </c>
      <c r="K114" s="217" t="s">
        <v>646</v>
      </c>
      <c r="L114" s="13">
        <v>1246</v>
      </c>
      <c r="Y114" s="4">
        <v>112</v>
      </c>
      <c r="Z114" s="4" t="s">
        <v>309</v>
      </c>
      <c r="AA114" s="4">
        <v>38</v>
      </c>
      <c r="AB114" s="109">
        <v>17.25</v>
      </c>
      <c r="AC114" s="222">
        <f t="shared" si="4"/>
        <v>38.333333333333336</v>
      </c>
      <c r="AD114" s="16">
        <v>58.83</v>
      </c>
      <c r="AE114" s="4" t="s">
        <v>649</v>
      </c>
    </row>
    <row r="115" spans="2:31" ht="15.75" customHeight="1" x14ac:dyDescent="0.3">
      <c r="B115" s="114">
        <v>23.26</v>
      </c>
      <c r="C115" s="114">
        <f t="shared" si="0"/>
        <v>51.688888888888897</v>
      </c>
      <c r="D115" s="107">
        <f t="shared" si="1"/>
        <v>48.311111111111103</v>
      </c>
      <c r="E115" s="107">
        <v>61.64</v>
      </c>
      <c r="F115" s="218" t="s">
        <v>645</v>
      </c>
      <c r="G115" s="13">
        <v>1246</v>
      </c>
      <c r="H115" s="217" t="str">
        <f t="shared" si="2"/>
        <v>Perbaikan</v>
      </c>
      <c r="K115" s="217" t="s">
        <v>646</v>
      </c>
      <c r="L115" s="13">
        <v>1372</v>
      </c>
      <c r="Y115" s="4">
        <v>113</v>
      </c>
      <c r="Z115" s="4" t="s">
        <v>274</v>
      </c>
      <c r="AA115" s="4">
        <v>45</v>
      </c>
      <c r="AB115" s="109">
        <v>5.3</v>
      </c>
      <c r="AC115" s="222">
        <f t="shared" si="4"/>
        <v>11.777777777777777</v>
      </c>
      <c r="AD115" s="16">
        <v>44.81</v>
      </c>
      <c r="AE115" s="26" t="s">
        <v>640</v>
      </c>
    </row>
    <row r="116" spans="2:31" ht="15.75" customHeight="1" x14ac:dyDescent="0.3">
      <c r="B116" s="114">
        <v>21.51</v>
      </c>
      <c r="C116" s="114">
        <f t="shared" si="0"/>
        <v>47.800000000000004</v>
      </c>
      <c r="D116" s="107">
        <f t="shared" si="1"/>
        <v>52.199999999999996</v>
      </c>
      <c r="E116" s="107">
        <v>59.82</v>
      </c>
      <c r="F116" s="218" t="s">
        <v>645</v>
      </c>
      <c r="G116" s="13">
        <v>1372</v>
      </c>
      <c r="H116" s="217" t="str">
        <f t="shared" si="2"/>
        <v>Perbaikan</v>
      </c>
      <c r="K116" s="217" t="s">
        <v>646</v>
      </c>
      <c r="L116" s="13">
        <v>695</v>
      </c>
      <c r="Y116" s="4">
        <v>114</v>
      </c>
      <c r="Z116" s="4" t="s">
        <v>369</v>
      </c>
      <c r="AA116" s="4">
        <v>461</v>
      </c>
      <c r="AB116" s="109">
        <v>22.88</v>
      </c>
      <c r="AC116" s="222">
        <f t="shared" si="4"/>
        <v>50.844444444444449</v>
      </c>
      <c r="AD116" s="16">
        <v>61.169999999999995</v>
      </c>
      <c r="AE116" s="4" t="s">
        <v>649</v>
      </c>
    </row>
    <row r="117" spans="2:31" ht="15.75" customHeight="1" x14ac:dyDescent="0.3">
      <c r="B117" s="114">
        <v>22.73</v>
      </c>
      <c r="C117" s="114">
        <f t="shared" si="0"/>
        <v>50.511111111111106</v>
      </c>
      <c r="D117" s="107">
        <f t="shared" si="1"/>
        <v>49.488888888888894</v>
      </c>
      <c r="E117" s="107">
        <v>63.25</v>
      </c>
      <c r="F117" s="218" t="s">
        <v>645</v>
      </c>
      <c r="G117" s="13">
        <v>695</v>
      </c>
      <c r="H117" s="217" t="str">
        <f t="shared" si="2"/>
        <v>Perbaikan</v>
      </c>
      <c r="K117" s="217" t="s">
        <v>646</v>
      </c>
      <c r="L117" s="13">
        <v>463</v>
      </c>
      <c r="Y117" s="4">
        <v>115</v>
      </c>
      <c r="Z117" s="4" t="s">
        <v>464</v>
      </c>
      <c r="AA117" s="4">
        <v>369</v>
      </c>
      <c r="AB117" s="109">
        <v>30.28</v>
      </c>
      <c r="AC117" s="222">
        <f t="shared" si="4"/>
        <v>67.288888888888891</v>
      </c>
      <c r="AD117" s="16">
        <v>65.81</v>
      </c>
      <c r="AE117" s="4" t="s">
        <v>649</v>
      </c>
    </row>
    <row r="118" spans="2:31" ht="15.75" customHeight="1" x14ac:dyDescent="0.3">
      <c r="B118" s="114">
        <v>23.63</v>
      </c>
      <c r="C118" s="114">
        <f t="shared" si="0"/>
        <v>52.511111111111106</v>
      </c>
      <c r="D118" s="107">
        <f t="shared" si="1"/>
        <v>47.488888888888894</v>
      </c>
      <c r="E118" s="107">
        <v>64.150000000000006</v>
      </c>
      <c r="F118" s="218" t="s">
        <v>645</v>
      </c>
      <c r="G118" s="13">
        <v>463</v>
      </c>
      <c r="H118" s="217" t="str">
        <f t="shared" si="2"/>
        <v>Perbaikan</v>
      </c>
      <c r="K118" s="217" t="s">
        <v>646</v>
      </c>
      <c r="L118" s="13">
        <v>296</v>
      </c>
      <c r="Y118" s="4">
        <v>116</v>
      </c>
      <c r="Z118" s="4" t="s">
        <v>304</v>
      </c>
      <c r="AA118" s="4">
        <v>281</v>
      </c>
      <c r="AB118" s="109">
        <v>16.149999999999999</v>
      </c>
      <c r="AC118" s="222">
        <f t="shared" si="4"/>
        <v>35.888888888888886</v>
      </c>
      <c r="AD118" s="16">
        <v>50.43</v>
      </c>
      <c r="AE118" s="26" t="s">
        <v>640</v>
      </c>
    </row>
    <row r="119" spans="2:31" ht="15.75" customHeight="1" x14ac:dyDescent="0.3">
      <c r="B119" s="114">
        <v>30.77</v>
      </c>
      <c r="C119" s="114">
        <f t="shared" si="0"/>
        <v>68.37777777777778</v>
      </c>
      <c r="D119" s="107">
        <f t="shared" si="1"/>
        <v>31.62222222222222</v>
      </c>
      <c r="E119" s="107">
        <v>58.779999999999994</v>
      </c>
      <c r="F119" s="218" t="s">
        <v>638</v>
      </c>
      <c r="G119" s="13">
        <v>296</v>
      </c>
      <c r="H119" s="217" t="str">
        <f t="shared" si="2"/>
        <v>Perbaikan</v>
      </c>
      <c r="K119" s="217" t="s">
        <v>646</v>
      </c>
      <c r="L119" s="116">
        <v>2581</v>
      </c>
      <c r="Y119" s="4">
        <v>117</v>
      </c>
      <c r="Z119" s="4" t="s">
        <v>460</v>
      </c>
      <c r="AA119" s="4">
        <v>332</v>
      </c>
      <c r="AB119" s="109">
        <v>29.52</v>
      </c>
      <c r="AC119" s="222">
        <f t="shared" si="4"/>
        <v>65.600000000000009</v>
      </c>
      <c r="AD119" s="16">
        <v>74.88</v>
      </c>
      <c r="AE119" s="4" t="s">
        <v>649</v>
      </c>
    </row>
    <row r="120" spans="2:31" ht="15.75" customHeight="1" x14ac:dyDescent="0.3">
      <c r="B120" s="105">
        <v>35.97</v>
      </c>
      <c r="C120" s="114">
        <f t="shared" si="0"/>
        <v>79.933333333333337</v>
      </c>
      <c r="D120" s="107">
        <f t="shared" si="1"/>
        <v>20.066666666666663</v>
      </c>
      <c r="E120" s="115">
        <v>66.02000000000001</v>
      </c>
      <c r="F120" s="218" t="s">
        <v>638</v>
      </c>
      <c r="G120" s="116">
        <v>2581</v>
      </c>
      <c r="H120" s="217" t="str">
        <f t="shared" si="2"/>
        <v>Perbaikan</v>
      </c>
      <c r="K120" s="217" t="s">
        <v>646</v>
      </c>
      <c r="L120" s="13">
        <v>1126</v>
      </c>
      <c r="Y120" s="4">
        <v>118</v>
      </c>
      <c r="Z120" s="4" t="s">
        <v>451</v>
      </c>
      <c r="AA120" s="4">
        <v>108</v>
      </c>
      <c r="AB120" s="109">
        <v>28.53</v>
      </c>
      <c r="AC120" s="222">
        <f t="shared" si="4"/>
        <v>63.4</v>
      </c>
      <c r="AD120" s="16">
        <v>68.36999999999999</v>
      </c>
      <c r="AE120" s="4" t="s">
        <v>649</v>
      </c>
    </row>
    <row r="121" spans="2:31" ht="15.75" customHeight="1" x14ac:dyDescent="0.3">
      <c r="B121" s="114">
        <v>23.01</v>
      </c>
      <c r="C121" s="114">
        <f t="shared" si="0"/>
        <v>51.13333333333334</v>
      </c>
      <c r="D121" s="107">
        <f t="shared" si="1"/>
        <v>48.86666666666666</v>
      </c>
      <c r="E121" s="107">
        <v>60.89</v>
      </c>
      <c r="F121" s="218" t="s">
        <v>645</v>
      </c>
      <c r="G121" s="13">
        <v>1126</v>
      </c>
      <c r="H121" s="217" t="str">
        <f t="shared" si="2"/>
        <v>Perbaikan</v>
      </c>
      <c r="K121" s="217" t="s">
        <v>646</v>
      </c>
      <c r="L121" s="116">
        <v>1523</v>
      </c>
      <c r="Y121" s="4">
        <v>119</v>
      </c>
      <c r="Z121" s="4" t="s">
        <v>393</v>
      </c>
      <c r="AA121" s="4">
        <v>98</v>
      </c>
      <c r="AB121" s="109">
        <v>24.05</v>
      </c>
      <c r="AC121" s="222">
        <f t="shared" si="4"/>
        <v>53.44444444444445</v>
      </c>
      <c r="AD121" s="16">
        <v>67.490000000000009</v>
      </c>
      <c r="AE121" s="4" t="s">
        <v>649</v>
      </c>
    </row>
    <row r="122" spans="2:31" ht="15.75" customHeight="1" x14ac:dyDescent="0.3">
      <c r="B122" s="114">
        <v>31.88</v>
      </c>
      <c r="C122" s="114">
        <f t="shared" si="0"/>
        <v>70.844444444444449</v>
      </c>
      <c r="D122" s="107">
        <f t="shared" si="1"/>
        <v>29.155555555555551</v>
      </c>
      <c r="E122" s="115">
        <v>67.22999999999999</v>
      </c>
      <c r="F122" s="218" t="s">
        <v>638</v>
      </c>
      <c r="G122" s="116">
        <v>1523</v>
      </c>
      <c r="H122" s="217" t="str">
        <f t="shared" si="2"/>
        <v>Perbaikan</v>
      </c>
      <c r="K122" s="217" t="s">
        <v>646</v>
      </c>
      <c r="L122" s="13">
        <v>1744</v>
      </c>
      <c r="Y122" s="4">
        <v>120</v>
      </c>
      <c r="Z122" s="4" t="s">
        <v>337</v>
      </c>
      <c r="AA122" s="4">
        <v>245</v>
      </c>
      <c r="AB122" s="109">
        <v>20.81</v>
      </c>
      <c r="AC122" s="222">
        <f t="shared" si="4"/>
        <v>46.24444444444444</v>
      </c>
      <c r="AD122" s="16">
        <v>64.27</v>
      </c>
      <c r="AE122" s="4" t="s">
        <v>649</v>
      </c>
    </row>
    <row r="123" spans="2:31" ht="15.75" customHeight="1" x14ac:dyDescent="0.3">
      <c r="B123" s="114">
        <v>25.02</v>
      </c>
      <c r="C123" s="114">
        <f t="shared" si="0"/>
        <v>55.599999999999994</v>
      </c>
      <c r="D123" s="107">
        <f t="shared" si="1"/>
        <v>44.400000000000006</v>
      </c>
      <c r="E123" s="107">
        <v>56.55</v>
      </c>
      <c r="F123" s="218" t="s">
        <v>645</v>
      </c>
      <c r="G123" s="13">
        <v>1744</v>
      </c>
      <c r="H123" s="217" t="str">
        <f t="shared" si="2"/>
        <v>Perbaikan</v>
      </c>
      <c r="K123" s="217" t="s">
        <v>646</v>
      </c>
      <c r="L123" s="116">
        <v>1909</v>
      </c>
      <c r="Y123" s="4">
        <v>121</v>
      </c>
      <c r="Z123" s="4" t="s">
        <v>290</v>
      </c>
      <c r="AA123" s="4">
        <v>113</v>
      </c>
      <c r="AB123" s="109">
        <v>13.38</v>
      </c>
      <c r="AC123" s="222">
        <f t="shared" si="4"/>
        <v>29.733333333333334</v>
      </c>
      <c r="AD123" s="16">
        <v>57.269999999999996</v>
      </c>
      <c r="AE123" s="4" t="s">
        <v>649</v>
      </c>
    </row>
    <row r="124" spans="2:31" ht="15.75" customHeight="1" x14ac:dyDescent="0.3">
      <c r="B124" s="114">
        <v>28.37</v>
      </c>
      <c r="C124" s="114">
        <f t="shared" si="0"/>
        <v>63.044444444444444</v>
      </c>
      <c r="D124" s="107">
        <f t="shared" si="1"/>
        <v>36.955555555555556</v>
      </c>
      <c r="E124" s="115">
        <v>59.48</v>
      </c>
      <c r="F124" s="218" t="s">
        <v>638</v>
      </c>
      <c r="G124" s="116">
        <v>1909</v>
      </c>
      <c r="H124" s="217" t="str">
        <f t="shared" si="2"/>
        <v>Perbaikan</v>
      </c>
      <c r="K124" s="217" t="s">
        <v>646</v>
      </c>
      <c r="L124" s="13">
        <v>1090</v>
      </c>
      <c r="Y124" s="4">
        <v>122</v>
      </c>
      <c r="Z124" s="4" t="s">
        <v>382</v>
      </c>
      <c r="AA124" s="4">
        <v>69</v>
      </c>
      <c r="AB124" s="109">
        <v>23.57</v>
      </c>
      <c r="AC124" s="222">
        <f t="shared" si="4"/>
        <v>52.37777777777778</v>
      </c>
      <c r="AD124" s="16">
        <v>67.22</v>
      </c>
      <c r="AE124" s="4" t="s">
        <v>649</v>
      </c>
    </row>
    <row r="125" spans="2:31" ht="15.75" customHeight="1" x14ac:dyDescent="0.3">
      <c r="B125" s="114">
        <v>18.850000000000001</v>
      </c>
      <c r="C125" s="114">
        <f t="shared" si="0"/>
        <v>41.888888888888893</v>
      </c>
      <c r="D125" s="107">
        <f t="shared" si="1"/>
        <v>58.111111111111107</v>
      </c>
      <c r="E125" s="107">
        <v>51.07</v>
      </c>
      <c r="F125" s="218" t="s">
        <v>645</v>
      </c>
      <c r="G125" s="13">
        <v>1008</v>
      </c>
      <c r="H125" s="217" t="str">
        <f t="shared" si="2"/>
        <v>Rehab J.I</v>
      </c>
      <c r="K125" s="217" t="s">
        <v>646</v>
      </c>
      <c r="L125" s="116">
        <v>1843</v>
      </c>
      <c r="Y125" s="4">
        <v>123</v>
      </c>
      <c r="Z125" s="4" t="s">
        <v>396</v>
      </c>
      <c r="AA125" s="4">
        <v>38</v>
      </c>
      <c r="AB125" s="109">
        <v>24.48</v>
      </c>
      <c r="AC125" s="222">
        <f t="shared" si="4"/>
        <v>54.400000000000006</v>
      </c>
      <c r="AD125" s="16">
        <v>68.260000000000005</v>
      </c>
      <c r="AE125" s="4" t="s">
        <v>649</v>
      </c>
    </row>
    <row r="126" spans="2:31" ht="15.75" customHeight="1" x14ac:dyDescent="0.3">
      <c r="B126" s="114">
        <v>23.44</v>
      </c>
      <c r="C126" s="114">
        <f t="shared" si="0"/>
        <v>52.088888888888896</v>
      </c>
      <c r="D126" s="107">
        <f t="shared" si="1"/>
        <v>47.911111111111104</v>
      </c>
      <c r="E126" s="107">
        <v>55.37</v>
      </c>
      <c r="F126" s="218" t="s">
        <v>645</v>
      </c>
      <c r="G126" s="13">
        <v>1090</v>
      </c>
      <c r="H126" s="217" t="str">
        <f t="shared" si="2"/>
        <v>Perbaikan</v>
      </c>
      <c r="K126" s="217" t="s">
        <v>646</v>
      </c>
      <c r="L126" s="13">
        <v>1879</v>
      </c>
      <c r="Y126" s="4">
        <v>124</v>
      </c>
      <c r="Z126" s="4" t="s">
        <v>410</v>
      </c>
      <c r="AA126" s="4">
        <v>445</v>
      </c>
      <c r="AB126" s="109">
        <v>25.55</v>
      </c>
      <c r="AC126" s="222">
        <f t="shared" si="4"/>
        <v>56.777777777777786</v>
      </c>
      <c r="AD126" s="16">
        <v>69.02000000000001</v>
      </c>
      <c r="AE126" s="4" t="s">
        <v>649</v>
      </c>
    </row>
    <row r="127" spans="2:31" ht="15.75" customHeight="1" x14ac:dyDescent="0.3">
      <c r="B127" s="105">
        <v>37.79</v>
      </c>
      <c r="C127" s="114">
        <f t="shared" si="0"/>
        <v>83.977777777777774</v>
      </c>
      <c r="D127" s="107">
        <f t="shared" si="1"/>
        <v>16.022222222222226</v>
      </c>
      <c r="E127" s="115">
        <v>72.739999999999995</v>
      </c>
      <c r="F127" s="218" t="s">
        <v>647</v>
      </c>
      <c r="G127" s="116">
        <v>1449</v>
      </c>
      <c r="H127" s="217" t="str">
        <f t="shared" si="2"/>
        <v>Perawatan</v>
      </c>
      <c r="K127" s="217" t="s">
        <v>646</v>
      </c>
      <c r="L127" s="13">
        <v>2323</v>
      </c>
      <c r="Y127" s="4">
        <v>125</v>
      </c>
      <c r="Z127" s="4" t="s">
        <v>341</v>
      </c>
      <c r="AA127" s="4">
        <v>62</v>
      </c>
      <c r="AB127" s="109">
        <v>21.06</v>
      </c>
      <c r="AC127" s="222">
        <f t="shared" si="4"/>
        <v>46.8</v>
      </c>
      <c r="AD127" s="16">
        <v>64.47</v>
      </c>
      <c r="AE127" s="4" t="s">
        <v>649</v>
      </c>
    </row>
    <row r="128" spans="2:31" ht="15.75" customHeight="1" x14ac:dyDescent="0.3">
      <c r="B128" s="114">
        <v>27.72</v>
      </c>
      <c r="C128" s="114">
        <f t="shared" si="0"/>
        <v>61.6</v>
      </c>
      <c r="D128" s="107">
        <f t="shared" si="1"/>
        <v>38.4</v>
      </c>
      <c r="E128" s="115">
        <v>61.67</v>
      </c>
      <c r="F128" s="218" t="s">
        <v>638</v>
      </c>
      <c r="G128" s="116">
        <v>1843</v>
      </c>
      <c r="H128" s="217" t="str">
        <f t="shared" si="2"/>
        <v>Perbaikan</v>
      </c>
      <c r="K128" s="217" t="s">
        <v>646</v>
      </c>
      <c r="L128" s="13">
        <v>1920</v>
      </c>
      <c r="Y128" s="4">
        <v>126</v>
      </c>
      <c r="Z128" s="4" t="s">
        <v>355</v>
      </c>
      <c r="AA128" s="4">
        <v>288</v>
      </c>
      <c r="AB128" s="109">
        <v>21.67</v>
      </c>
      <c r="AC128" s="222">
        <f t="shared" si="4"/>
        <v>48.155555555555559</v>
      </c>
      <c r="AD128" s="16">
        <v>63.960000000000008</v>
      </c>
      <c r="AE128" s="4" t="s">
        <v>649</v>
      </c>
    </row>
    <row r="129" spans="2:31" ht="15.75" customHeight="1" x14ac:dyDescent="0.3">
      <c r="B129" s="114">
        <v>31.79</v>
      </c>
      <c r="C129" s="114">
        <f t="shared" si="0"/>
        <v>70.644444444444446</v>
      </c>
      <c r="D129" s="107">
        <f t="shared" si="1"/>
        <v>29.355555555555554</v>
      </c>
      <c r="E129" s="115">
        <v>72.59</v>
      </c>
      <c r="F129" s="218" t="s">
        <v>638</v>
      </c>
      <c r="G129" s="116">
        <v>1057</v>
      </c>
      <c r="H129" s="217" t="str">
        <f t="shared" si="2"/>
        <v>Perawatan</v>
      </c>
      <c r="K129" s="217" t="s">
        <v>646</v>
      </c>
      <c r="L129" s="13">
        <v>1867</v>
      </c>
      <c r="Y129" s="4">
        <v>127</v>
      </c>
      <c r="Z129" s="4" t="s">
        <v>344</v>
      </c>
      <c r="AA129" s="4">
        <v>69</v>
      </c>
      <c r="AB129" s="109">
        <v>21.16</v>
      </c>
      <c r="AC129" s="222">
        <f t="shared" si="4"/>
        <v>47.022222222222219</v>
      </c>
      <c r="AD129" s="16">
        <v>64.61</v>
      </c>
      <c r="AE129" s="4" t="s">
        <v>649</v>
      </c>
    </row>
    <row r="130" spans="2:31" ht="15.75" customHeight="1" x14ac:dyDescent="0.3">
      <c r="B130" s="105">
        <v>38.119999999999997</v>
      </c>
      <c r="C130" s="114">
        <f t="shared" si="0"/>
        <v>84.711111111111109</v>
      </c>
      <c r="D130" s="107">
        <f t="shared" si="1"/>
        <v>15.288888888888891</v>
      </c>
      <c r="E130" s="115">
        <v>83.089999999999989</v>
      </c>
      <c r="F130" s="218" t="s">
        <v>647</v>
      </c>
      <c r="G130" s="116">
        <v>1393</v>
      </c>
      <c r="H130" s="217" t="str">
        <f t="shared" si="2"/>
        <v>Perawatan</v>
      </c>
      <c r="K130" s="217" t="s">
        <v>646</v>
      </c>
      <c r="L130" s="13">
        <v>1262</v>
      </c>
      <c r="Y130" s="4">
        <v>128</v>
      </c>
      <c r="Z130" s="4" t="s">
        <v>471</v>
      </c>
      <c r="AA130" s="4">
        <v>661</v>
      </c>
      <c r="AB130" s="109">
        <v>30.28</v>
      </c>
      <c r="AC130" s="222">
        <f t="shared" si="4"/>
        <v>67.288888888888891</v>
      </c>
      <c r="AD130" s="16">
        <v>70.829999999999984</v>
      </c>
      <c r="AE130" s="4" t="s">
        <v>649</v>
      </c>
    </row>
    <row r="131" spans="2:31" ht="15.75" customHeight="1" x14ac:dyDescent="0.3">
      <c r="B131" s="114">
        <v>28.1</v>
      </c>
      <c r="C131" s="114">
        <f t="shared" si="0"/>
        <v>62.44444444444445</v>
      </c>
      <c r="D131" s="107">
        <f t="shared" si="1"/>
        <v>37.55555555555555</v>
      </c>
      <c r="E131" s="107">
        <v>69.7</v>
      </c>
      <c r="F131" s="218" t="s">
        <v>638</v>
      </c>
      <c r="G131" s="13">
        <v>1447</v>
      </c>
      <c r="H131" s="217" t="str">
        <f t="shared" si="2"/>
        <v>Perawatan</v>
      </c>
      <c r="K131" s="217" t="s">
        <v>646</v>
      </c>
      <c r="L131" s="13">
        <v>1094</v>
      </c>
      <c r="Y131" s="4">
        <v>129</v>
      </c>
      <c r="Z131" s="4" t="s">
        <v>461</v>
      </c>
      <c r="AA131" s="4">
        <v>515</v>
      </c>
      <c r="AB131" s="109">
        <v>29.54</v>
      </c>
      <c r="AC131" s="222">
        <f t="shared" si="4"/>
        <v>65.644444444444446</v>
      </c>
      <c r="AD131" s="16">
        <v>58.9</v>
      </c>
      <c r="AE131" s="4" t="s">
        <v>649</v>
      </c>
    </row>
    <row r="132" spans="2:31" ht="15.75" customHeight="1" x14ac:dyDescent="0.3">
      <c r="B132" s="114">
        <v>24.92</v>
      </c>
      <c r="C132" s="114">
        <f t="shared" si="0"/>
        <v>55.37777777777778</v>
      </c>
      <c r="D132" s="107">
        <f t="shared" si="1"/>
        <v>44.62222222222222</v>
      </c>
      <c r="E132" s="115">
        <v>70.320000000000007</v>
      </c>
      <c r="F132" s="218" t="s">
        <v>638</v>
      </c>
      <c r="G132" s="116">
        <v>1239</v>
      </c>
      <c r="H132" s="217" t="str">
        <f t="shared" si="2"/>
        <v>Perawatan</v>
      </c>
      <c r="K132" s="217" t="s">
        <v>646</v>
      </c>
      <c r="L132" s="13">
        <v>1151</v>
      </c>
      <c r="Y132" s="4">
        <v>130</v>
      </c>
      <c r="Z132" s="4" t="s">
        <v>466</v>
      </c>
      <c r="AA132" s="4">
        <v>293</v>
      </c>
      <c r="AB132" s="109">
        <v>29.84</v>
      </c>
      <c r="AC132" s="222">
        <f t="shared" si="4"/>
        <v>66.311111111111103</v>
      </c>
      <c r="AD132" s="16">
        <v>66.550000000000011</v>
      </c>
      <c r="AE132" s="4" t="s">
        <v>649</v>
      </c>
    </row>
    <row r="133" spans="2:31" ht="15.75" customHeight="1" x14ac:dyDescent="0.3">
      <c r="B133" s="105">
        <v>36.950000000000003</v>
      </c>
      <c r="C133" s="114">
        <f t="shared" si="0"/>
        <v>82.111111111111114</v>
      </c>
      <c r="D133" s="107">
        <f t="shared" si="1"/>
        <v>17.888888888888886</v>
      </c>
      <c r="E133" s="115">
        <v>82.660000000000011</v>
      </c>
      <c r="F133" s="218" t="s">
        <v>647</v>
      </c>
      <c r="G133" s="116">
        <v>1244</v>
      </c>
      <c r="H133" s="217" t="str">
        <f t="shared" si="2"/>
        <v>Perawatan</v>
      </c>
      <c r="K133" s="217" t="s">
        <v>646</v>
      </c>
      <c r="L133" s="116">
        <v>319</v>
      </c>
      <c r="Y133" s="4">
        <v>131</v>
      </c>
      <c r="Z133" s="4" t="s">
        <v>474</v>
      </c>
      <c r="AA133" s="4">
        <v>971</v>
      </c>
      <c r="AB133" s="109">
        <v>32.36</v>
      </c>
      <c r="AC133" s="222">
        <f t="shared" si="4"/>
        <v>71.911111111111111</v>
      </c>
      <c r="AD133" s="16">
        <v>60.83</v>
      </c>
      <c r="AE133" s="4" t="s">
        <v>649</v>
      </c>
    </row>
    <row r="134" spans="2:31" ht="15.75" customHeight="1" x14ac:dyDescent="0.3">
      <c r="B134" s="114">
        <v>21.97</v>
      </c>
      <c r="C134" s="114">
        <f t="shared" si="0"/>
        <v>48.822222222222223</v>
      </c>
      <c r="D134" s="107">
        <f t="shared" si="1"/>
        <v>51.177777777777777</v>
      </c>
      <c r="E134" s="107">
        <v>57.39</v>
      </c>
      <c r="F134" s="218" t="s">
        <v>645</v>
      </c>
      <c r="G134" s="13">
        <v>1879</v>
      </c>
      <c r="H134" s="217" t="str">
        <f t="shared" si="2"/>
        <v>Perbaikan</v>
      </c>
      <c r="K134" s="217" t="s">
        <v>646</v>
      </c>
      <c r="L134" s="13">
        <v>350</v>
      </c>
      <c r="Y134" s="4">
        <v>132</v>
      </c>
      <c r="Z134" s="4" t="s">
        <v>470</v>
      </c>
      <c r="AA134" s="4">
        <v>638</v>
      </c>
      <c r="AB134" s="109">
        <v>30.12</v>
      </c>
      <c r="AC134" s="222">
        <f t="shared" si="4"/>
        <v>66.933333333333337</v>
      </c>
      <c r="AD134" s="16">
        <v>67.100000000000009</v>
      </c>
      <c r="AE134" s="4" t="s">
        <v>649</v>
      </c>
    </row>
    <row r="135" spans="2:31" ht="15.75" customHeight="1" x14ac:dyDescent="0.3">
      <c r="B135" s="114">
        <v>30.37</v>
      </c>
      <c r="C135" s="114">
        <f t="shared" si="0"/>
        <v>67.48888888888888</v>
      </c>
      <c r="D135" s="107">
        <f t="shared" si="1"/>
        <v>32.51111111111112</v>
      </c>
      <c r="E135" s="115">
        <v>73.72</v>
      </c>
      <c r="F135" s="218" t="s">
        <v>638</v>
      </c>
      <c r="G135" s="116">
        <v>2188</v>
      </c>
      <c r="H135" s="217" t="str">
        <f t="shared" si="2"/>
        <v>Perawatan</v>
      </c>
      <c r="K135" s="217" t="s">
        <v>646</v>
      </c>
      <c r="L135" s="13">
        <v>80</v>
      </c>
      <c r="Y135" s="4">
        <v>133</v>
      </c>
      <c r="Z135" s="4" t="s">
        <v>477</v>
      </c>
      <c r="AA135" s="4">
        <v>1911</v>
      </c>
      <c r="AB135" s="109">
        <v>34</v>
      </c>
      <c r="AC135" s="222">
        <f t="shared" si="4"/>
        <v>75.555555555555557</v>
      </c>
      <c r="AD135" s="16">
        <v>67.28</v>
      </c>
      <c r="AE135" s="4" t="s">
        <v>649</v>
      </c>
    </row>
    <row r="136" spans="2:31" ht="15.75" customHeight="1" x14ac:dyDescent="0.3">
      <c r="B136" s="114">
        <v>28.8</v>
      </c>
      <c r="C136" s="114">
        <f t="shared" si="0"/>
        <v>64</v>
      </c>
      <c r="D136" s="107">
        <f t="shared" si="1"/>
        <v>36</v>
      </c>
      <c r="E136" s="115">
        <v>69.569999999999993</v>
      </c>
      <c r="F136" s="218" t="s">
        <v>638</v>
      </c>
      <c r="G136" s="116">
        <v>2056</v>
      </c>
      <c r="H136" s="217" t="str">
        <f t="shared" si="2"/>
        <v>Perawatan</v>
      </c>
      <c r="K136" s="217" t="s">
        <v>646</v>
      </c>
      <c r="L136" s="13">
        <v>1074</v>
      </c>
      <c r="Y136" s="4">
        <v>134</v>
      </c>
      <c r="Z136" s="4" t="s">
        <v>445</v>
      </c>
      <c r="AA136" s="4">
        <v>1232</v>
      </c>
      <c r="AB136" s="109">
        <v>27.63</v>
      </c>
      <c r="AC136" s="222">
        <f t="shared" si="4"/>
        <v>61.4</v>
      </c>
      <c r="AD136" s="16">
        <v>51.629999999999995</v>
      </c>
      <c r="AE136" s="4" t="s">
        <v>649</v>
      </c>
    </row>
    <row r="137" spans="2:31" ht="15.75" customHeight="1" x14ac:dyDescent="0.3">
      <c r="B137" s="114">
        <v>20.18</v>
      </c>
      <c r="C137" s="114">
        <f t="shared" si="0"/>
        <v>44.844444444444441</v>
      </c>
      <c r="D137" s="107">
        <f t="shared" si="1"/>
        <v>55.155555555555559</v>
      </c>
      <c r="E137" s="107">
        <v>62.86</v>
      </c>
      <c r="F137" s="218" t="s">
        <v>645</v>
      </c>
      <c r="G137" s="13">
        <v>2323</v>
      </c>
      <c r="H137" s="217" t="str">
        <f t="shared" si="2"/>
        <v>Perbaikan</v>
      </c>
      <c r="K137" s="217" t="s">
        <v>646</v>
      </c>
      <c r="L137" s="116">
        <v>2184</v>
      </c>
      <c r="Y137" s="4">
        <v>135</v>
      </c>
      <c r="Z137" s="4" t="s">
        <v>278</v>
      </c>
      <c r="AA137" s="4">
        <v>50</v>
      </c>
      <c r="AB137" s="109">
        <v>12.03</v>
      </c>
      <c r="AC137" s="222">
        <f t="shared" si="4"/>
        <v>26.733333333333331</v>
      </c>
      <c r="AD137" s="16">
        <v>48.529999999999994</v>
      </c>
      <c r="AE137" s="26" t="s">
        <v>640</v>
      </c>
    </row>
    <row r="138" spans="2:31" ht="15.75" customHeight="1" x14ac:dyDescent="0.3">
      <c r="B138" s="114">
        <v>22.26</v>
      </c>
      <c r="C138" s="114">
        <f t="shared" si="0"/>
        <v>49.466666666666669</v>
      </c>
      <c r="D138" s="107">
        <f t="shared" si="1"/>
        <v>50.533333333333331</v>
      </c>
      <c r="E138" s="107">
        <v>65.430000000000007</v>
      </c>
      <c r="F138" s="218" t="s">
        <v>645</v>
      </c>
      <c r="G138" s="13">
        <v>1920</v>
      </c>
      <c r="H138" s="217" t="str">
        <f t="shared" si="2"/>
        <v>Perbaikan</v>
      </c>
      <c r="K138" s="217" t="s">
        <v>646</v>
      </c>
      <c r="L138" s="116">
        <v>1736</v>
      </c>
      <c r="Y138" s="4">
        <v>136</v>
      </c>
      <c r="Z138" s="4" t="s">
        <v>472</v>
      </c>
      <c r="AA138" s="4">
        <v>1155</v>
      </c>
      <c r="AB138" s="109">
        <v>30.33</v>
      </c>
      <c r="AC138" s="222">
        <f t="shared" si="4"/>
        <v>67.399999999999991</v>
      </c>
      <c r="AD138" s="16">
        <v>65.81</v>
      </c>
      <c r="AE138" s="4" t="s">
        <v>649</v>
      </c>
    </row>
    <row r="139" spans="2:31" ht="15.75" customHeight="1" x14ac:dyDescent="0.3">
      <c r="B139" s="114">
        <v>25.75</v>
      </c>
      <c r="C139" s="114">
        <f t="shared" si="0"/>
        <v>57.222222222222221</v>
      </c>
      <c r="D139" s="107">
        <f t="shared" si="1"/>
        <v>42.777777777777779</v>
      </c>
      <c r="E139" s="107">
        <v>67.86</v>
      </c>
      <c r="F139" s="218" t="s">
        <v>645</v>
      </c>
      <c r="G139" s="13">
        <v>1867</v>
      </c>
      <c r="H139" s="217" t="str">
        <f t="shared" si="2"/>
        <v>Perbaikan</v>
      </c>
      <c r="K139" s="217" t="s">
        <v>646</v>
      </c>
      <c r="L139" s="29">
        <v>1074</v>
      </c>
      <c r="Y139" s="4">
        <v>137</v>
      </c>
      <c r="Z139" s="4" t="s">
        <v>362</v>
      </c>
      <c r="AA139" s="4">
        <v>422</v>
      </c>
      <c r="AB139" s="109">
        <v>22.5</v>
      </c>
      <c r="AC139" s="222">
        <f t="shared" si="4"/>
        <v>50</v>
      </c>
      <c r="AD139" s="16">
        <v>54.489999999999995</v>
      </c>
      <c r="AE139" s="26" t="s">
        <v>640</v>
      </c>
    </row>
    <row r="140" spans="2:31" ht="15.75" customHeight="1" x14ac:dyDescent="0.3">
      <c r="B140" s="114">
        <v>23.34</v>
      </c>
      <c r="C140" s="114">
        <f t="shared" si="0"/>
        <v>51.86666666666666</v>
      </c>
      <c r="D140" s="107">
        <f t="shared" si="1"/>
        <v>48.13333333333334</v>
      </c>
      <c r="E140" s="107">
        <v>68.260000000000005</v>
      </c>
      <c r="F140" s="218" t="s">
        <v>645</v>
      </c>
      <c r="G140" s="13">
        <v>1262</v>
      </c>
      <c r="H140" s="217" t="str">
        <f t="shared" si="2"/>
        <v>Perbaikan</v>
      </c>
      <c r="K140" s="217" t="s">
        <v>646</v>
      </c>
      <c r="L140" s="13">
        <v>1424</v>
      </c>
      <c r="Y140" s="4">
        <v>138</v>
      </c>
      <c r="Z140" s="4" t="s">
        <v>480</v>
      </c>
      <c r="AA140" s="4">
        <v>194</v>
      </c>
      <c r="AB140" s="109">
        <v>32.479999999999997</v>
      </c>
      <c r="AC140" s="222">
        <f t="shared" si="4"/>
        <v>72.177777777777777</v>
      </c>
      <c r="AD140" s="16">
        <v>66.86</v>
      </c>
      <c r="AE140" s="4" t="s">
        <v>649</v>
      </c>
    </row>
    <row r="141" spans="2:31" ht="15.75" customHeight="1" x14ac:dyDescent="0.3">
      <c r="B141" s="114">
        <v>19.23</v>
      </c>
      <c r="C141" s="114">
        <f t="shared" si="0"/>
        <v>42.733333333333334</v>
      </c>
      <c r="D141" s="107">
        <f t="shared" si="1"/>
        <v>57.266666666666666</v>
      </c>
      <c r="E141" s="107">
        <v>57.57</v>
      </c>
      <c r="F141" s="218" t="s">
        <v>645</v>
      </c>
      <c r="G141" s="13">
        <v>1094</v>
      </c>
      <c r="H141" s="217" t="str">
        <f t="shared" si="2"/>
        <v>Perbaikan</v>
      </c>
      <c r="K141" s="217" t="s">
        <v>648</v>
      </c>
      <c r="L141" s="14">
        <v>527</v>
      </c>
      <c r="Y141" s="4">
        <v>139</v>
      </c>
      <c r="Z141" s="4" t="s">
        <v>481</v>
      </c>
      <c r="AA141" s="4">
        <v>684</v>
      </c>
      <c r="AB141" s="109">
        <v>32.549999999999997</v>
      </c>
      <c r="AC141" s="222">
        <f t="shared" si="4"/>
        <v>72.333333333333329</v>
      </c>
      <c r="AD141" s="16">
        <v>66.789999999999992</v>
      </c>
      <c r="AE141" s="4" t="s">
        <v>649</v>
      </c>
    </row>
    <row r="142" spans="2:31" ht="15.75" customHeight="1" x14ac:dyDescent="0.3">
      <c r="B142" s="114">
        <v>28.09</v>
      </c>
      <c r="C142" s="114">
        <f t="shared" si="0"/>
        <v>62.422222222222224</v>
      </c>
      <c r="D142" s="107">
        <f t="shared" si="1"/>
        <v>37.577777777777776</v>
      </c>
      <c r="E142" s="107">
        <v>73.210000000000008</v>
      </c>
      <c r="F142" s="218" t="s">
        <v>638</v>
      </c>
      <c r="G142" s="13">
        <v>1088</v>
      </c>
      <c r="H142" s="217" t="str">
        <f t="shared" si="2"/>
        <v>Perawatan</v>
      </c>
      <c r="K142" s="217" t="s">
        <v>648</v>
      </c>
      <c r="L142" s="14">
        <v>32</v>
      </c>
      <c r="Y142" s="4">
        <v>140</v>
      </c>
      <c r="Z142" s="4" t="s">
        <v>463</v>
      </c>
      <c r="AA142" s="4">
        <v>461</v>
      </c>
      <c r="AB142" s="109">
        <v>29.73</v>
      </c>
      <c r="AC142" s="222">
        <f t="shared" si="4"/>
        <v>66.066666666666663</v>
      </c>
      <c r="AD142" s="16">
        <v>68.52</v>
      </c>
      <c r="AE142" s="4" t="s">
        <v>649</v>
      </c>
    </row>
    <row r="143" spans="2:31" ht="15.75" customHeight="1" x14ac:dyDescent="0.3">
      <c r="B143" s="114">
        <v>21.41</v>
      </c>
      <c r="C143" s="114">
        <f t="shared" si="0"/>
        <v>47.577777777777783</v>
      </c>
      <c r="D143" s="107">
        <f t="shared" si="1"/>
        <v>52.422222222222217</v>
      </c>
      <c r="E143" s="107">
        <v>57.480000000000004</v>
      </c>
      <c r="F143" s="218" t="s">
        <v>645</v>
      </c>
      <c r="G143" s="13">
        <v>1151</v>
      </c>
      <c r="H143" s="217" t="str">
        <f t="shared" si="2"/>
        <v>Perbaikan</v>
      </c>
      <c r="K143" s="217" t="s">
        <v>648</v>
      </c>
      <c r="L143" s="14">
        <v>59</v>
      </c>
      <c r="Y143" s="4">
        <v>141</v>
      </c>
      <c r="Z143" s="4" t="s">
        <v>484</v>
      </c>
      <c r="AA143" s="4">
        <v>1554</v>
      </c>
      <c r="AB143" s="109">
        <v>32.68</v>
      </c>
      <c r="AC143" s="222">
        <f t="shared" si="4"/>
        <v>72.62222222222222</v>
      </c>
      <c r="AD143" s="16">
        <v>73.460000000000008</v>
      </c>
      <c r="AE143" s="4" t="s">
        <v>649</v>
      </c>
    </row>
    <row r="144" spans="2:31" ht="15.75" customHeight="1" x14ac:dyDescent="0.3">
      <c r="B144" s="114">
        <v>22.33</v>
      </c>
      <c r="C144" s="114">
        <f t="shared" si="0"/>
        <v>49.62222222222222</v>
      </c>
      <c r="D144" s="107">
        <f t="shared" si="1"/>
        <v>50.37777777777778</v>
      </c>
      <c r="E144" s="115">
        <v>61.510000000000005</v>
      </c>
      <c r="F144" s="218" t="s">
        <v>645</v>
      </c>
      <c r="G144" s="116">
        <v>319</v>
      </c>
      <c r="H144" s="217" t="str">
        <f t="shared" si="2"/>
        <v>Perbaikan</v>
      </c>
      <c r="K144" s="217" t="s">
        <v>648</v>
      </c>
      <c r="L144" s="14">
        <v>551</v>
      </c>
      <c r="Y144" s="4">
        <v>142</v>
      </c>
      <c r="Z144" s="4" t="s">
        <v>453</v>
      </c>
      <c r="AA144" s="4">
        <v>745</v>
      </c>
      <c r="AB144" s="109">
        <v>28.63</v>
      </c>
      <c r="AC144" s="222">
        <f t="shared" si="4"/>
        <v>63.622222222222227</v>
      </c>
      <c r="AD144" s="16">
        <v>66.759999999999991</v>
      </c>
      <c r="AE144" s="4" t="s">
        <v>649</v>
      </c>
    </row>
    <row r="145" spans="2:31" ht="15.75" customHeight="1" x14ac:dyDescent="0.3">
      <c r="B145" s="114">
        <v>26.08</v>
      </c>
      <c r="C145" s="114">
        <f t="shared" si="0"/>
        <v>57.955555555555549</v>
      </c>
      <c r="D145" s="107">
        <f t="shared" si="1"/>
        <v>42.044444444444451</v>
      </c>
      <c r="E145" s="107">
        <v>72.219999999999985</v>
      </c>
      <c r="F145" s="218" t="s">
        <v>638</v>
      </c>
      <c r="G145" s="13">
        <v>309</v>
      </c>
      <c r="H145" s="217" t="str">
        <f t="shared" si="2"/>
        <v>Perawatan</v>
      </c>
      <c r="K145" s="217" t="s">
        <v>648</v>
      </c>
      <c r="L145" s="14">
        <v>461</v>
      </c>
      <c r="Y145" s="4">
        <v>143</v>
      </c>
      <c r="Z145" s="4" t="s">
        <v>422</v>
      </c>
      <c r="AA145" s="4">
        <v>230</v>
      </c>
      <c r="AB145" s="109">
        <v>26.37</v>
      </c>
      <c r="AC145" s="222">
        <f t="shared" si="4"/>
        <v>58.600000000000009</v>
      </c>
      <c r="AD145" s="16">
        <v>67.739999999999995</v>
      </c>
      <c r="AE145" s="4" t="s">
        <v>649</v>
      </c>
    </row>
    <row r="146" spans="2:31" ht="15.75" customHeight="1" x14ac:dyDescent="0.3">
      <c r="B146" s="114">
        <v>19.32</v>
      </c>
      <c r="C146" s="114">
        <f t="shared" si="0"/>
        <v>42.933333333333337</v>
      </c>
      <c r="D146" s="107">
        <f t="shared" si="1"/>
        <v>57.066666666666663</v>
      </c>
      <c r="E146" s="107">
        <v>57.34</v>
      </c>
      <c r="F146" s="218" t="s">
        <v>645</v>
      </c>
      <c r="G146" s="13">
        <v>350</v>
      </c>
      <c r="H146" s="217" t="str">
        <f t="shared" si="2"/>
        <v>Perbaikan</v>
      </c>
      <c r="K146" s="217" t="s">
        <v>648</v>
      </c>
      <c r="L146" s="117">
        <v>971</v>
      </c>
      <c r="Y146" s="4">
        <v>144</v>
      </c>
      <c r="Z146" s="4" t="s">
        <v>407</v>
      </c>
      <c r="AA146" s="4">
        <v>215</v>
      </c>
      <c r="AB146" s="109">
        <v>25.35</v>
      </c>
      <c r="AC146" s="222">
        <f t="shared" si="4"/>
        <v>56.333333333333336</v>
      </c>
      <c r="AD146" s="16">
        <v>60.89</v>
      </c>
      <c r="AE146" s="4" t="s">
        <v>649</v>
      </c>
    </row>
    <row r="147" spans="2:31" ht="15.75" customHeight="1" x14ac:dyDescent="0.3">
      <c r="B147" s="114">
        <v>24.78</v>
      </c>
      <c r="C147" s="114">
        <f t="shared" si="0"/>
        <v>55.066666666666663</v>
      </c>
      <c r="D147" s="107">
        <f t="shared" si="1"/>
        <v>44.933333333333337</v>
      </c>
      <c r="E147" s="107">
        <v>73.62</v>
      </c>
      <c r="F147" s="218" t="s">
        <v>638</v>
      </c>
      <c r="G147" s="13">
        <v>63</v>
      </c>
      <c r="H147" s="217" t="str">
        <f t="shared" si="2"/>
        <v>Perawatan</v>
      </c>
      <c r="K147" s="217" t="s">
        <v>648</v>
      </c>
      <c r="L147" s="117">
        <v>1911</v>
      </c>
      <c r="Y147" s="4">
        <v>145</v>
      </c>
      <c r="Z147" s="4" t="s">
        <v>328</v>
      </c>
      <c r="AA147" s="4">
        <v>165</v>
      </c>
      <c r="AB147" s="109">
        <v>20.22</v>
      </c>
      <c r="AC147" s="222">
        <f t="shared" si="4"/>
        <v>44.93333333333333</v>
      </c>
      <c r="AD147" s="16">
        <v>62.11</v>
      </c>
      <c r="AE147" s="4" t="s">
        <v>649</v>
      </c>
    </row>
    <row r="148" spans="2:31" ht="15.75" customHeight="1" x14ac:dyDescent="0.3">
      <c r="B148" s="114">
        <v>26.2</v>
      </c>
      <c r="C148" s="114">
        <f t="shared" si="0"/>
        <v>58.222222222222221</v>
      </c>
      <c r="D148" s="107">
        <f t="shared" si="1"/>
        <v>41.777777777777779</v>
      </c>
      <c r="E148" s="113">
        <v>71.33</v>
      </c>
      <c r="F148" s="218" t="s">
        <v>638</v>
      </c>
      <c r="G148" s="29">
        <v>777</v>
      </c>
      <c r="H148" s="217" t="str">
        <f t="shared" si="2"/>
        <v>Perawatan</v>
      </c>
      <c r="K148" s="217" t="s">
        <v>648</v>
      </c>
      <c r="L148" s="30">
        <v>1055</v>
      </c>
      <c r="Y148" s="4">
        <v>146</v>
      </c>
      <c r="Z148" s="4" t="s">
        <v>321</v>
      </c>
      <c r="AA148" s="4">
        <v>629</v>
      </c>
      <c r="AB148" s="109">
        <v>19.66</v>
      </c>
      <c r="AC148" s="222">
        <f t="shared" si="4"/>
        <v>43.68888888888889</v>
      </c>
      <c r="AD148" s="16">
        <v>53.59</v>
      </c>
      <c r="AE148" s="26" t="s">
        <v>640</v>
      </c>
    </row>
    <row r="149" spans="2:31" ht="15.75" customHeight="1" x14ac:dyDescent="0.3">
      <c r="B149" s="105">
        <v>24.52</v>
      </c>
      <c r="C149" s="114">
        <f t="shared" si="0"/>
        <v>54.488888888888887</v>
      </c>
      <c r="D149" s="107">
        <f t="shared" si="1"/>
        <v>45.511111111111113</v>
      </c>
      <c r="E149" s="107">
        <v>63.31</v>
      </c>
      <c r="F149" s="218" t="s">
        <v>645</v>
      </c>
      <c r="G149" s="13">
        <v>80</v>
      </c>
      <c r="H149" s="217" t="str">
        <f t="shared" si="2"/>
        <v>Perbaikan</v>
      </c>
      <c r="K149" s="217" t="s">
        <v>648</v>
      </c>
      <c r="L149" s="14">
        <v>1475</v>
      </c>
      <c r="Y149" s="4">
        <v>147</v>
      </c>
      <c r="Z149" s="4" t="s">
        <v>487</v>
      </c>
      <c r="AA149" s="4">
        <v>2340</v>
      </c>
      <c r="AB149" s="109">
        <v>33.08</v>
      </c>
      <c r="AC149" s="222">
        <f t="shared" si="4"/>
        <v>73.511111111111106</v>
      </c>
      <c r="AD149" s="16">
        <v>65.459999999999994</v>
      </c>
      <c r="AE149" s="4" t="s">
        <v>649</v>
      </c>
    </row>
    <row r="150" spans="2:31" ht="15.75" customHeight="1" x14ac:dyDescent="0.3">
      <c r="B150" s="114">
        <v>23.65</v>
      </c>
      <c r="C150" s="114">
        <f t="shared" si="0"/>
        <v>52.555555555555557</v>
      </c>
      <c r="D150" s="107">
        <f t="shared" si="1"/>
        <v>47.444444444444443</v>
      </c>
      <c r="E150" s="107">
        <v>57.150000000000006</v>
      </c>
      <c r="F150" s="218" t="s">
        <v>645</v>
      </c>
      <c r="G150" s="13">
        <v>1074</v>
      </c>
      <c r="H150" s="217" t="str">
        <f t="shared" si="2"/>
        <v>Perbaikan</v>
      </c>
      <c r="K150" s="217" t="s">
        <v>648</v>
      </c>
      <c r="L150" s="30">
        <v>1120</v>
      </c>
      <c r="Y150" s="4">
        <v>148</v>
      </c>
      <c r="Z150" s="4" t="s">
        <v>413</v>
      </c>
      <c r="AA150" s="4">
        <v>789</v>
      </c>
      <c r="AB150" s="109">
        <v>25.65</v>
      </c>
      <c r="AC150" s="222">
        <f t="shared" si="4"/>
        <v>56.999999999999993</v>
      </c>
      <c r="AD150" s="16">
        <v>62.3</v>
      </c>
      <c r="AE150" s="4" t="s">
        <v>649</v>
      </c>
    </row>
    <row r="151" spans="2:31" ht="15.75" customHeight="1" x14ac:dyDescent="0.3">
      <c r="B151" s="114">
        <v>27.53</v>
      </c>
      <c r="C151" s="114">
        <f t="shared" si="0"/>
        <v>61.177777777777777</v>
      </c>
      <c r="D151" s="107">
        <f t="shared" si="1"/>
        <v>38.822222222222223</v>
      </c>
      <c r="E151" s="107">
        <v>73.600000000000009</v>
      </c>
      <c r="F151" s="218" t="s">
        <v>638</v>
      </c>
      <c r="G151" s="13">
        <v>1499</v>
      </c>
      <c r="H151" s="217" t="str">
        <f t="shared" si="2"/>
        <v>Perawatan</v>
      </c>
      <c r="K151" s="217" t="s">
        <v>648</v>
      </c>
      <c r="L151" s="14">
        <v>1779</v>
      </c>
      <c r="Y151" s="4">
        <v>149</v>
      </c>
      <c r="Z151" s="4" t="s">
        <v>300</v>
      </c>
      <c r="AA151" s="4">
        <v>209</v>
      </c>
      <c r="AB151" s="109">
        <v>15.05</v>
      </c>
      <c r="AC151" s="222">
        <f t="shared" si="4"/>
        <v>33.444444444444443</v>
      </c>
      <c r="AD151" s="16">
        <v>52.18</v>
      </c>
      <c r="AE151" s="26" t="s">
        <v>640</v>
      </c>
    </row>
    <row r="152" spans="2:31" ht="15.75" customHeight="1" x14ac:dyDescent="0.3">
      <c r="B152" s="114">
        <v>27.6</v>
      </c>
      <c r="C152" s="114">
        <f t="shared" si="0"/>
        <v>61.333333333333343</v>
      </c>
      <c r="D152" s="107">
        <f t="shared" si="1"/>
        <v>38.666666666666657</v>
      </c>
      <c r="E152" s="115">
        <v>60.95</v>
      </c>
      <c r="F152" s="218" t="s">
        <v>638</v>
      </c>
      <c r="G152" s="116">
        <v>2184</v>
      </c>
      <c r="H152" s="217" t="str">
        <f t="shared" si="2"/>
        <v>Perbaikan</v>
      </c>
      <c r="K152" s="217" t="s">
        <v>648</v>
      </c>
      <c r="L152" s="13">
        <v>194</v>
      </c>
      <c r="Y152" s="4">
        <v>150</v>
      </c>
      <c r="Z152" s="4" t="s">
        <v>295</v>
      </c>
      <c r="AA152" s="4">
        <v>13</v>
      </c>
      <c r="AB152" s="109">
        <v>13.9</v>
      </c>
      <c r="AC152" s="222">
        <f t="shared" si="4"/>
        <v>30.888888888888889</v>
      </c>
      <c r="AD152" s="16">
        <v>58.36</v>
      </c>
      <c r="AE152" s="4" t="s">
        <v>649</v>
      </c>
    </row>
    <row r="153" spans="2:31" ht="15.75" customHeight="1" x14ac:dyDescent="0.3">
      <c r="B153" s="114">
        <v>24.43</v>
      </c>
      <c r="C153" s="114">
        <f t="shared" si="0"/>
        <v>54.288888888888884</v>
      </c>
      <c r="D153" s="107">
        <f t="shared" si="1"/>
        <v>45.711111111111116</v>
      </c>
      <c r="E153" s="115">
        <v>55.480000000000004</v>
      </c>
      <c r="F153" s="218" t="s">
        <v>645</v>
      </c>
      <c r="G153" s="116">
        <v>1736</v>
      </c>
      <c r="H153" s="217" t="str">
        <f t="shared" si="2"/>
        <v>Perbaikan</v>
      </c>
      <c r="K153" s="217" t="s">
        <v>648</v>
      </c>
      <c r="L153" s="13">
        <v>50</v>
      </c>
      <c r="Y153" s="4">
        <v>151</v>
      </c>
      <c r="Z153" s="4" t="s">
        <v>449</v>
      </c>
      <c r="AA153" s="4">
        <v>20</v>
      </c>
      <c r="AB153" s="109">
        <v>28</v>
      </c>
      <c r="AC153" s="222">
        <f t="shared" si="4"/>
        <v>62.222222222222221</v>
      </c>
      <c r="AD153" s="16">
        <v>57</v>
      </c>
      <c r="AE153" s="4" t="s">
        <v>649</v>
      </c>
    </row>
    <row r="154" spans="2:31" ht="15.75" customHeight="1" x14ac:dyDescent="0.3">
      <c r="B154" s="114">
        <v>26.12</v>
      </c>
      <c r="C154" s="114">
        <f t="shared" si="0"/>
        <v>58.044444444444444</v>
      </c>
      <c r="D154" s="107">
        <f t="shared" si="1"/>
        <v>41.955555555555556</v>
      </c>
      <c r="E154" s="113">
        <v>68.8</v>
      </c>
      <c r="F154" s="218" t="s">
        <v>645</v>
      </c>
      <c r="G154" s="29">
        <v>1074</v>
      </c>
      <c r="H154" s="217" t="str">
        <f t="shared" si="2"/>
        <v>Perbaikan</v>
      </c>
      <c r="K154" s="217" t="s">
        <v>648</v>
      </c>
      <c r="L154" s="13">
        <v>629</v>
      </c>
      <c r="Y154" s="4">
        <v>152</v>
      </c>
      <c r="Z154" s="4" t="s">
        <v>398</v>
      </c>
      <c r="AA154" s="4">
        <v>54</v>
      </c>
      <c r="AB154" s="109">
        <v>24.64</v>
      </c>
      <c r="AC154" s="222">
        <f t="shared" si="4"/>
        <v>54.75555555555556</v>
      </c>
      <c r="AD154" s="16">
        <v>63.870000000000005</v>
      </c>
      <c r="AE154" s="4" t="s">
        <v>649</v>
      </c>
    </row>
    <row r="155" spans="2:31" ht="15.75" customHeight="1" x14ac:dyDescent="0.3">
      <c r="B155" s="105">
        <v>39.229999999999997</v>
      </c>
      <c r="C155" s="114">
        <f t="shared" si="0"/>
        <v>87.177777777777777</v>
      </c>
      <c r="D155" s="107">
        <f t="shared" si="1"/>
        <v>12.822222222222223</v>
      </c>
      <c r="E155" s="115">
        <v>66.819999999999993</v>
      </c>
      <c r="F155" s="218" t="s">
        <v>647</v>
      </c>
      <c r="G155" s="116">
        <v>1523</v>
      </c>
      <c r="H155" s="217" t="str">
        <f t="shared" si="2"/>
        <v>Perawatan</v>
      </c>
      <c r="K155" s="217" t="s">
        <v>648</v>
      </c>
      <c r="L155" s="13">
        <v>2340</v>
      </c>
      <c r="Y155" s="4">
        <v>153</v>
      </c>
      <c r="Z155" s="4" t="s">
        <v>332</v>
      </c>
      <c r="AA155" s="4">
        <v>2143</v>
      </c>
      <c r="AB155" s="109">
        <v>20.46</v>
      </c>
      <c r="AC155" s="222">
        <f t="shared" si="4"/>
        <v>45.466666666666669</v>
      </c>
      <c r="AD155" s="16">
        <v>57.160000000000004</v>
      </c>
      <c r="AE155" s="4" t="s">
        <v>649</v>
      </c>
    </row>
    <row r="156" spans="2:31" ht="15.75" customHeight="1" x14ac:dyDescent="0.3">
      <c r="B156" s="114">
        <v>19.28</v>
      </c>
      <c r="C156" s="114">
        <f t="shared" si="0"/>
        <v>42.844444444444449</v>
      </c>
      <c r="D156" s="107">
        <f t="shared" si="1"/>
        <v>57.155555555555551</v>
      </c>
      <c r="E156" s="115">
        <v>51.64</v>
      </c>
      <c r="F156" s="218" t="s">
        <v>645</v>
      </c>
      <c r="G156" s="116">
        <v>1085</v>
      </c>
      <c r="H156" s="217" t="str">
        <f t="shared" si="2"/>
        <v>Rehab J.I</v>
      </c>
      <c r="K156" s="217" t="s">
        <v>648</v>
      </c>
      <c r="L156" s="13">
        <v>209</v>
      </c>
      <c r="Y156" s="4">
        <v>154</v>
      </c>
      <c r="Z156" s="4" t="s">
        <v>489</v>
      </c>
      <c r="AA156" s="4">
        <v>2721</v>
      </c>
      <c r="AB156" s="109">
        <v>32.25</v>
      </c>
      <c r="AC156" s="222">
        <f t="shared" si="4"/>
        <v>71.666666666666671</v>
      </c>
      <c r="AD156" s="16">
        <v>75.59</v>
      </c>
      <c r="AE156" s="4" t="s">
        <v>649</v>
      </c>
    </row>
    <row r="157" spans="2:31" ht="15.75" customHeight="1" x14ac:dyDescent="0.3">
      <c r="B157" s="114">
        <v>24.98</v>
      </c>
      <c r="C157" s="114">
        <f t="shared" si="0"/>
        <v>55.511111111111113</v>
      </c>
      <c r="D157" s="107">
        <f t="shared" si="1"/>
        <v>44.488888888888887</v>
      </c>
      <c r="E157" s="107">
        <v>54.9</v>
      </c>
      <c r="F157" s="218" t="s">
        <v>645</v>
      </c>
      <c r="G157" s="13">
        <v>1807</v>
      </c>
      <c r="H157" s="217" t="str">
        <f t="shared" si="2"/>
        <v>Rehab J.I</v>
      </c>
      <c r="K157" s="217" t="s">
        <v>648</v>
      </c>
      <c r="L157" s="13">
        <v>1008</v>
      </c>
      <c r="Y157" s="4">
        <v>155</v>
      </c>
      <c r="Z157" s="4" t="s">
        <v>378</v>
      </c>
      <c r="AA157" s="4">
        <v>1146</v>
      </c>
      <c r="AB157" s="109">
        <v>23.24</v>
      </c>
      <c r="AC157" s="222">
        <f t="shared" si="4"/>
        <v>51.644444444444439</v>
      </c>
      <c r="AD157" s="16">
        <v>64.91</v>
      </c>
      <c r="AE157" s="4" t="s">
        <v>649</v>
      </c>
    </row>
    <row r="158" spans="2:31" ht="15.75" customHeight="1" x14ac:dyDescent="0.3">
      <c r="B158" s="114">
        <v>16.09</v>
      </c>
      <c r="C158" s="114">
        <f t="shared" si="0"/>
        <v>35.75555555555556</v>
      </c>
      <c r="D158" s="107">
        <f t="shared" si="1"/>
        <v>64.24444444444444</v>
      </c>
      <c r="E158" s="107">
        <v>52.22</v>
      </c>
      <c r="F158" s="218" t="s">
        <v>645</v>
      </c>
      <c r="G158" s="29">
        <v>1799</v>
      </c>
      <c r="H158" s="217" t="str">
        <f t="shared" si="2"/>
        <v>Rehab J.I</v>
      </c>
      <c r="K158" s="217" t="s">
        <v>648</v>
      </c>
      <c r="L158" s="116">
        <v>1085</v>
      </c>
      <c r="Y158" s="4">
        <v>156</v>
      </c>
      <c r="Z158" s="4" t="s">
        <v>482</v>
      </c>
      <c r="AA158" s="4">
        <v>1151</v>
      </c>
      <c r="AB158" s="109">
        <v>31.51</v>
      </c>
      <c r="AC158" s="222">
        <f t="shared" si="4"/>
        <v>70.022222222222226</v>
      </c>
      <c r="AD158" s="16">
        <v>75.77000000000001</v>
      </c>
      <c r="AE158" s="4" t="s">
        <v>649</v>
      </c>
    </row>
    <row r="159" spans="2:31" ht="15.75" customHeight="1" x14ac:dyDescent="0.3">
      <c r="B159" s="105">
        <v>36.450000000000003</v>
      </c>
      <c r="C159" s="114">
        <f t="shared" si="0"/>
        <v>81</v>
      </c>
      <c r="D159" s="107">
        <f t="shared" si="1"/>
        <v>19</v>
      </c>
      <c r="E159" s="115">
        <v>65.02</v>
      </c>
      <c r="F159" s="218" t="s">
        <v>647</v>
      </c>
      <c r="G159" s="116">
        <v>2462</v>
      </c>
      <c r="H159" s="217" t="str">
        <f t="shared" si="2"/>
        <v>Perawatan</v>
      </c>
      <c r="K159" s="217" t="s">
        <v>648</v>
      </c>
      <c r="L159" s="13">
        <v>1807</v>
      </c>
      <c r="Y159" s="4">
        <v>157</v>
      </c>
      <c r="Z159" s="4" t="s">
        <v>492</v>
      </c>
      <c r="AA159" s="4">
        <v>319</v>
      </c>
      <c r="AB159" s="109">
        <v>32.479999999999997</v>
      </c>
      <c r="AC159" s="222">
        <f t="shared" si="4"/>
        <v>72.177777777777777</v>
      </c>
      <c r="AD159" s="16">
        <v>73.100000000000009</v>
      </c>
      <c r="AE159" s="4" t="s">
        <v>649</v>
      </c>
    </row>
    <row r="160" spans="2:31" ht="15.75" customHeight="1" x14ac:dyDescent="0.3">
      <c r="B160" s="120">
        <v>23.77</v>
      </c>
      <c r="C160" s="114">
        <f t="shared" si="0"/>
        <v>52.822222222222223</v>
      </c>
      <c r="D160" s="107">
        <f t="shared" si="1"/>
        <v>47.177777777777777</v>
      </c>
      <c r="E160" s="107">
        <v>57.539999999999992</v>
      </c>
      <c r="F160" s="218" t="s">
        <v>645</v>
      </c>
      <c r="G160" s="97">
        <v>1424</v>
      </c>
      <c r="H160" s="217" t="str">
        <f t="shared" si="2"/>
        <v>Perbaikan</v>
      </c>
      <c r="K160" s="217" t="s">
        <v>648</v>
      </c>
      <c r="L160" s="219">
        <v>1799</v>
      </c>
      <c r="Y160" s="4">
        <v>158</v>
      </c>
      <c r="Z160" s="4" t="s">
        <v>419</v>
      </c>
      <c r="AA160" s="4">
        <v>309</v>
      </c>
      <c r="AB160" s="109">
        <v>26.08</v>
      </c>
      <c r="AC160" s="222">
        <f t="shared" si="4"/>
        <v>57.955555555555549</v>
      </c>
      <c r="AD160" s="16">
        <v>72.219999999999985</v>
      </c>
      <c r="AE160" s="4" t="s">
        <v>649</v>
      </c>
    </row>
    <row r="161" spans="7:31" ht="15.75" customHeight="1" x14ac:dyDescent="0.3">
      <c r="G161" s="100">
        <f>SUM(G3:G160)</f>
        <v>149988</v>
      </c>
      <c r="Y161" s="4">
        <v>159</v>
      </c>
      <c r="Z161" s="4" t="s">
        <v>313</v>
      </c>
      <c r="AA161" s="4">
        <v>350</v>
      </c>
      <c r="AB161" s="109">
        <v>19.32</v>
      </c>
      <c r="AC161" s="222">
        <f t="shared" si="4"/>
        <v>42.933333333333337</v>
      </c>
      <c r="AD161" s="16">
        <v>57.34</v>
      </c>
      <c r="AE161" s="4" t="s">
        <v>649</v>
      </c>
    </row>
    <row r="162" spans="7:31" ht="15.75" customHeight="1" x14ac:dyDescent="0.3">
      <c r="Y162" s="4">
        <v>160</v>
      </c>
      <c r="Z162" s="4" t="s">
        <v>404</v>
      </c>
      <c r="AA162" s="4">
        <v>63</v>
      </c>
      <c r="AB162" s="109">
        <v>24.78</v>
      </c>
      <c r="AC162" s="222">
        <f t="shared" si="4"/>
        <v>55.066666666666663</v>
      </c>
      <c r="AD162" s="16">
        <v>73.62</v>
      </c>
      <c r="AE162" s="4" t="s">
        <v>649</v>
      </c>
    </row>
    <row r="163" spans="7:31" ht="15.75" customHeight="1" x14ac:dyDescent="0.3">
      <c r="Y163" s="4">
        <v>161</v>
      </c>
      <c r="Z163" s="4" t="s">
        <v>494</v>
      </c>
      <c r="AA163" s="4">
        <v>777</v>
      </c>
      <c r="AB163" s="109">
        <v>32.61</v>
      </c>
      <c r="AC163" s="222">
        <f t="shared" si="4"/>
        <v>72.466666666666669</v>
      </c>
      <c r="AD163" s="16">
        <v>71.489999999999995</v>
      </c>
      <c r="AE163" s="4" t="s">
        <v>649</v>
      </c>
    </row>
    <row r="164" spans="7:31" ht="15.75" customHeight="1" x14ac:dyDescent="0.3">
      <c r="Y164" s="4">
        <v>162</v>
      </c>
      <c r="Z164" s="4" t="s">
        <v>488</v>
      </c>
      <c r="AA164" s="4">
        <v>80</v>
      </c>
      <c r="AB164" s="109">
        <v>32</v>
      </c>
      <c r="AC164" s="222">
        <f t="shared" si="4"/>
        <v>71.111111111111114</v>
      </c>
      <c r="AD164" s="16">
        <v>64.789999999999992</v>
      </c>
      <c r="AE164" s="4" t="s">
        <v>649</v>
      </c>
    </row>
    <row r="165" spans="7:31" ht="15.75" customHeight="1" x14ac:dyDescent="0.3">
      <c r="Y165" s="4">
        <v>163</v>
      </c>
      <c r="Z165" s="4" t="s">
        <v>425</v>
      </c>
      <c r="AA165" s="4">
        <v>190</v>
      </c>
      <c r="AB165" s="109">
        <v>26.75</v>
      </c>
      <c r="AC165" s="222">
        <f t="shared" si="4"/>
        <v>59.444444444444443</v>
      </c>
      <c r="AD165" s="16">
        <v>61.480000000000004</v>
      </c>
      <c r="AE165" s="4" t="s">
        <v>649</v>
      </c>
    </row>
    <row r="166" spans="7:31" ht="15.75" customHeight="1" x14ac:dyDescent="0.3">
      <c r="Y166" s="4">
        <v>164</v>
      </c>
      <c r="Z166" s="4" t="s">
        <v>281</v>
      </c>
      <c r="AA166" s="4">
        <v>151</v>
      </c>
      <c r="AB166" s="109">
        <v>12.05</v>
      </c>
      <c r="AC166" s="222">
        <f t="shared" si="4"/>
        <v>26.777777777777779</v>
      </c>
      <c r="AD166" s="16">
        <v>49.69</v>
      </c>
      <c r="AE166" s="26" t="s">
        <v>640</v>
      </c>
    </row>
    <row r="167" spans="7:31" ht="15.75" customHeight="1" x14ac:dyDescent="0.3">
      <c r="Y167" s="4">
        <v>165</v>
      </c>
      <c r="Z167" s="4" t="s">
        <v>302</v>
      </c>
      <c r="AA167" s="4">
        <v>62</v>
      </c>
      <c r="AB167" s="109">
        <v>15.95</v>
      </c>
      <c r="AC167" s="222">
        <f t="shared" si="4"/>
        <v>35.444444444444443</v>
      </c>
      <c r="AD167" s="16">
        <v>56.05</v>
      </c>
      <c r="AE167" s="4" t="s">
        <v>649</v>
      </c>
    </row>
    <row r="168" spans="7:31" ht="15.75" customHeight="1" x14ac:dyDescent="0.3">
      <c r="Y168" s="4">
        <v>166</v>
      </c>
      <c r="Z168" s="4" t="s">
        <v>462</v>
      </c>
      <c r="AA168" s="4">
        <v>696</v>
      </c>
      <c r="AB168" s="109">
        <v>29.64</v>
      </c>
      <c r="AC168" s="222">
        <f t="shared" si="4"/>
        <v>65.866666666666674</v>
      </c>
      <c r="AD168" s="16">
        <v>66.05</v>
      </c>
      <c r="AE168" s="4" t="s">
        <v>649</v>
      </c>
    </row>
    <row r="169" spans="7:31" ht="15.75" customHeight="1" x14ac:dyDescent="0.3">
      <c r="Y169" s="4">
        <v>167</v>
      </c>
      <c r="Z169" s="4" t="s">
        <v>446</v>
      </c>
      <c r="AA169" s="4">
        <v>598</v>
      </c>
      <c r="AB169" s="109">
        <v>27.75</v>
      </c>
      <c r="AC169" s="222">
        <f t="shared" si="4"/>
        <v>61.666666666666671</v>
      </c>
      <c r="AD169" s="16">
        <v>75.040000000000006</v>
      </c>
      <c r="AE169" s="4" t="s">
        <v>649</v>
      </c>
    </row>
    <row r="170" spans="7:31" ht="15.75" customHeight="1" x14ac:dyDescent="0.3">
      <c r="Y170" s="4">
        <v>168</v>
      </c>
      <c r="Z170" s="4" t="s">
        <v>475</v>
      </c>
      <c r="AA170" s="4">
        <v>445</v>
      </c>
      <c r="AB170" s="109">
        <v>30.65</v>
      </c>
      <c r="AC170" s="222">
        <f t="shared" si="4"/>
        <v>68.111111111111114</v>
      </c>
      <c r="AD170" s="16">
        <v>77.14</v>
      </c>
      <c r="AE170" s="4" t="s">
        <v>649</v>
      </c>
    </row>
    <row r="171" spans="7:31" ht="15.75" customHeight="1" x14ac:dyDescent="0.3">
      <c r="Y171" s="4">
        <v>169</v>
      </c>
      <c r="Z171" s="4" t="s">
        <v>459</v>
      </c>
      <c r="AA171" s="4">
        <v>64</v>
      </c>
      <c r="AB171" s="109">
        <v>28.94</v>
      </c>
      <c r="AC171" s="222">
        <f t="shared" si="4"/>
        <v>64.311111111111117</v>
      </c>
      <c r="AD171" s="16">
        <v>57.34</v>
      </c>
      <c r="AE171" s="4" t="s">
        <v>649</v>
      </c>
    </row>
    <row r="172" spans="7:31" ht="15.75" customHeight="1" x14ac:dyDescent="0.3">
      <c r="Y172" s="4">
        <v>170</v>
      </c>
      <c r="Z172" s="4" t="s">
        <v>365</v>
      </c>
      <c r="AA172" s="4">
        <v>695</v>
      </c>
      <c r="AB172" s="109">
        <v>22.73</v>
      </c>
      <c r="AC172" s="222">
        <f t="shared" si="4"/>
        <v>50.511111111111106</v>
      </c>
      <c r="AD172" s="16">
        <v>63.25</v>
      </c>
      <c r="AE172" s="4" t="s">
        <v>649</v>
      </c>
    </row>
    <row r="173" spans="7:31" ht="15.75" customHeight="1" x14ac:dyDescent="0.3">
      <c r="Y173" s="4">
        <v>171</v>
      </c>
      <c r="Z173" s="4" t="s">
        <v>386</v>
      </c>
      <c r="AA173" s="4">
        <v>463</v>
      </c>
      <c r="AB173" s="109">
        <v>23.63</v>
      </c>
      <c r="AC173" s="222">
        <f t="shared" si="4"/>
        <v>52.511111111111106</v>
      </c>
      <c r="AD173" s="16">
        <v>53.92</v>
      </c>
      <c r="AE173" s="26" t="s">
        <v>640</v>
      </c>
    </row>
    <row r="174" spans="7:31" ht="15.75" customHeight="1" x14ac:dyDescent="0.3">
      <c r="Y174" s="4">
        <v>172</v>
      </c>
      <c r="Z174" s="4" t="s">
        <v>478</v>
      </c>
      <c r="AA174" s="4">
        <v>296</v>
      </c>
      <c r="AB174" s="109">
        <v>30.77</v>
      </c>
      <c r="AC174" s="222">
        <f t="shared" si="4"/>
        <v>68.37777777777778</v>
      </c>
      <c r="AD174" s="16">
        <v>58.779999999999994</v>
      </c>
      <c r="AE174" s="4" t="s">
        <v>649</v>
      </c>
    </row>
    <row r="175" spans="7:31" ht="15.75" customHeight="1" x14ac:dyDescent="0.3">
      <c r="Y175" s="4">
        <v>173</v>
      </c>
      <c r="Z175" s="4" t="s">
        <v>497</v>
      </c>
      <c r="AA175" s="4">
        <v>2581</v>
      </c>
      <c r="AB175" s="109">
        <v>32.97</v>
      </c>
      <c r="AC175" s="222">
        <f t="shared" si="4"/>
        <v>73.266666666666666</v>
      </c>
      <c r="AD175" s="16">
        <v>72.87</v>
      </c>
      <c r="AE175" s="4" t="s">
        <v>649</v>
      </c>
    </row>
    <row r="176" spans="7:31" ht="15.75" customHeight="1" x14ac:dyDescent="0.3">
      <c r="Y176" s="4">
        <v>174</v>
      </c>
      <c r="Z176" s="4" t="s">
        <v>420</v>
      </c>
      <c r="AA176" s="4">
        <v>876</v>
      </c>
      <c r="AB176" s="109">
        <v>26.13</v>
      </c>
      <c r="AC176" s="222">
        <f t="shared" si="4"/>
        <v>58.066666666666663</v>
      </c>
      <c r="AD176" s="16">
        <v>52.26</v>
      </c>
      <c r="AE176" s="26" t="s">
        <v>640</v>
      </c>
    </row>
    <row r="177" spans="25:31" ht="15.75" customHeight="1" x14ac:dyDescent="0.3">
      <c r="Y177" s="4">
        <v>175</v>
      </c>
      <c r="Z177" s="4" t="s">
        <v>502</v>
      </c>
      <c r="AA177" s="4">
        <v>148</v>
      </c>
      <c r="AB177" s="109">
        <v>29.82</v>
      </c>
      <c r="AC177" s="222">
        <f t="shared" si="4"/>
        <v>66.266666666666666</v>
      </c>
      <c r="AD177" s="16">
        <v>62.2</v>
      </c>
      <c r="AE177" s="4" t="s">
        <v>649</v>
      </c>
    </row>
    <row r="178" spans="25:31" ht="15.75" customHeight="1" x14ac:dyDescent="0.3">
      <c r="Y178" s="4">
        <v>176</v>
      </c>
      <c r="Z178" s="4" t="s">
        <v>504</v>
      </c>
      <c r="AA178" s="4">
        <v>1046</v>
      </c>
      <c r="AB178" s="109">
        <v>30</v>
      </c>
      <c r="AC178" s="222">
        <f t="shared" si="4"/>
        <v>66.666666666666657</v>
      </c>
      <c r="AD178" s="16">
        <v>69.77000000000001</v>
      </c>
      <c r="AE178" s="4" t="s">
        <v>649</v>
      </c>
    </row>
    <row r="179" spans="25:31" ht="15.75" customHeight="1" x14ac:dyDescent="0.3">
      <c r="Y179" s="4">
        <v>177</v>
      </c>
      <c r="Z179" s="4" t="s">
        <v>506</v>
      </c>
      <c r="AA179" s="4">
        <v>367</v>
      </c>
      <c r="AB179" s="109">
        <v>20.94</v>
      </c>
      <c r="AC179" s="222">
        <f t="shared" si="4"/>
        <v>46.533333333333339</v>
      </c>
      <c r="AD179" s="16">
        <v>58.470000000000006</v>
      </c>
      <c r="AE179" s="4" t="s">
        <v>649</v>
      </c>
    </row>
    <row r="180" spans="25:31" ht="15.75" customHeight="1" x14ac:dyDescent="0.3">
      <c r="Y180" s="4">
        <v>178</v>
      </c>
      <c r="Z180" s="4" t="s">
        <v>346</v>
      </c>
      <c r="AA180" s="4">
        <v>1372</v>
      </c>
      <c r="AB180" s="109">
        <v>21.51</v>
      </c>
      <c r="AC180" s="222">
        <f t="shared" si="4"/>
        <v>47.800000000000004</v>
      </c>
      <c r="AD180" s="16">
        <v>59.82</v>
      </c>
      <c r="AE180" s="4" t="s">
        <v>649</v>
      </c>
    </row>
    <row r="181" spans="25:31" ht="15.75" customHeight="1" x14ac:dyDescent="0.3">
      <c r="AC181" s="16"/>
      <c r="AD181" s="16"/>
    </row>
    <row r="182" spans="25:31" ht="15.75" customHeight="1" x14ac:dyDescent="0.3">
      <c r="AC182" s="16"/>
      <c r="AD182" s="16"/>
    </row>
    <row r="183" spans="25:31" ht="15.75" customHeight="1" x14ac:dyDescent="0.3">
      <c r="AC183" s="16"/>
      <c r="AD183" s="16"/>
    </row>
    <row r="184" spans="25:31" ht="15.75" customHeight="1" x14ac:dyDescent="0.3">
      <c r="AC184" s="16"/>
      <c r="AD184" s="16"/>
    </row>
    <row r="185" spans="25:31" ht="15.75" customHeight="1" x14ac:dyDescent="0.3">
      <c r="AC185" s="16"/>
      <c r="AD185" s="16"/>
    </row>
    <row r="186" spans="25:31" ht="15.75" customHeight="1" x14ac:dyDescent="0.3">
      <c r="AC186" s="16"/>
      <c r="AD186" s="16"/>
    </row>
    <row r="187" spans="25:31" ht="15.75" customHeight="1" x14ac:dyDescent="0.3">
      <c r="AC187" s="16"/>
      <c r="AD187" s="16"/>
    </row>
    <row r="188" spans="25:31" ht="15.75" customHeight="1" x14ac:dyDescent="0.3">
      <c r="AC188" s="16"/>
      <c r="AD188" s="16"/>
    </row>
    <row r="189" spans="25:31" ht="15.75" customHeight="1" x14ac:dyDescent="0.3">
      <c r="AC189" s="16"/>
      <c r="AD189" s="16"/>
    </row>
    <row r="190" spans="25:31" ht="15.75" customHeight="1" x14ac:dyDescent="0.3">
      <c r="AC190" s="16"/>
      <c r="AD190" s="16"/>
    </row>
    <row r="191" spans="25:31" ht="15.75" customHeight="1" x14ac:dyDescent="0.3">
      <c r="AC191" s="16"/>
      <c r="AD191" s="16"/>
    </row>
    <row r="192" spans="25:31" ht="15.75" customHeight="1" x14ac:dyDescent="0.3">
      <c r="AC192" s="16"/>
      <c r="AD192" s="16"/>
    </row>
    <row r="193" spans="29:30" ht="15.75" customHeight="1" x14ac:dyDescent="0.3">
      <c r="AC193" s="16"/>
      <c r="AD193" s="16"/>
    </row>
    <row r="194" spans="29:30" ht="15.75" customHeight="1" x14ac:dyDescent="0.3">
      <c r="AC194" s="16"/>
      <c r="AD194" s="16"/>
    </row>
    <row r="195" spans="29:30" ht="15.75" customHeight="1" x14ac:dyDescent="0.3">
      <c r="AC195" s="16"/>
      <c r="AD195" s="16"/>
    </row>
    <row r="196" spans="29:30" ht="15.75" customHeight="1" x14ac:dyDescent="0.3">
      <c r="AC196" s="16"/>
      <c r="AD196" s="16"/>
    </row>
    <row r="197" spans="29:30" ht="15.75" customHeight="1" x14ac:dyDescent="0.3">
      <c r="AC197" s="16"/>
      <c r="AD197" s="16"/>
    </row>
    <row r="198" spans="29:30" ht="15.75" customHeight="1" x14ac:dyDescent="0.3">
      <c r="AC198" s="16"/>
      <c r="AD198" s="16"/>
    </row>
    <row r="199" spans="29:30" ht="15.75" customHeight="1" x14ac:dyDescent="0.3">
      <c r="AC199" s="16"/>
      <c r="AD199" s="16"/>
    </row>
    <row r="200" spans="29:30" ht="15.75" customHeight="1" x14ac:dyDescent="0.3">
      <c r="AC200" s="16"/>
      <c r="AD200" s="16"/>
    </row>
    <row r="201" spans="29:30" ht="15.75" customHeight="1" x14ac:dyDescent="0.3">
      <c r="AC201" s="16"/>
      <c r="AD201" s="16"/>
    </row>
    <row r="202" spans="29:30" ht="15.75" customHeight="1" x14ac:dyDescent="0.3">
      <c r="AC202" s="16"/>
      <c r="AD202" s="16"/>
    </row>
    <row r="203" spans="29:30" ht="15.75" customHeight="1" x14ac:dyDescent="0.3">
      <c r="AC203" s="16"/>
      <c r="AD203" s="16"/>
    </row>
    <row r="204" spans="29:30" ht="15.75" customHeight="1" x14ac:dyDescent="0.3">
      <c r="AC204" s="16"/>
      <c r="AD204" s="16"/>
    </row>
    <row r="205" spans="29:30" ht="15.75" customHeight="1" x14ac:dyDescent="0.3">
      <c r="AC205" s="16"/>
      <c r="AD205" s="16"/>
    </row>
    <row r="206" spans="29:30" ht="15.75" customHeight="1" x14ac:dyDescent="0.3">
      <c r="AC206" s="16"/>
      <c r="AD206" s="16"/>
    </row>
    <row r="207" spans="29:30" ht="15.75" customHeight="1" x14ac:dyDescent="0.3">
      <c r="AC207" s="16"/>
      <c r="AD207" s="16"/>
    </row>
    <row r="208" spans="29:30" ht="15.75" customHeight="1" x14ac:dyDescent="0.3">
      <c r="AC208" s="16"/>
      <c r="AD208" s="16"/>
    </row>
    <row r="209" spans="29:30" ht="15.75" customHeight="1" x14ac:dyDescent="0.3">
      <c r="AC209" s="16"/>
      <c r="AD209" s="16"/>
    </row>
    <row r="210" spans="29:30" ht="15.75" customHeight="1" x14ac:dyDescent="0.3">
      <c r="AC210" s="16"/>
      <c r="AD210" s="16"/>
    </row>
    <row r="211" spans="29:30" ht="15.75" customHeight="1" x14ac:dyDescent="0.3">
      <c r="AC211" s="16"/>
      <c r="AD211" s="16"/>
    </row>
    <row r="212" spans="29:30" ht="15.75" customHeight="1" x14ac:dyDescent="0.3">
      <c r="AC212" s="16"/>
      <c r="AD212" s="16"/>
    </row>
    <row r="213" spans="29:30" ht="15.75" customHeight="1" x14ac:dyDescent="0.3">
      <c r="AC213" s="16"/>
      <c r="AD213" s="16"/>
    </row>
    <row r="214" spans="29:30" ht="15.75" customHeight="1" x14ac:dyDescent="0.3">
      <c r="AC214" s="16"/>
      <c r="AD214" s="16"/>
    </row>
    <row r="215" spans="29:30" ht="15.75" customHeight="1" x14ac:dyDescent="0.3">
      <c r="AC215" s="16"/>
      <c r="AD215" s="16"/>
    </row>
    <row r="216" spans="29:30" ht="15.75" customHeight="1" x14ac:dyDescent="0.3">
      <c r="AC216" s="16"/>
      <c r="AD216" s="16"/>
    </row>
    <row r="217" spans="29:30" ht="15.75" customHeight="1" x14ac:dyDescent="0.3">
      <c r="AC217" s="16"/>
      <c r="AD217" s="16"/>
    </row>
    <row r="218" spans="29:30" ht="15.75" customHeight="1" x14ac:dyDescent="0.3">
      <c r="AC218" s="16"/>
      <c r="AD218" s="16"/>
    </row>
    <row r="219" spans="29:30" ht="15.75" customHeight="1" x14ac:dyDescent="0.3">
      <c r="AC219" s="16"/>
      <c r="AD219" s="16"/>
    </row>
    <row r="220" spans="29:30" ht="15.75" customHeight="1" x14ac:dyDescent="0.3">
      <c r="AC220" s="16"/>
      <c r="AD220" s="16"/>
    </row>
    <row r="221" spans="29:30" ht="15.75" customHeight="1" x14ac:dyDescent="0.3">
      <c r="AC221" s="16"/>
      <c r="AD221" s="16"/>
    </row>
    <row r="222" spans="29:30" ht="15.75" customHeight="1" x14ac:dyDescent="0.3">
      <c r="AC222" s="16"/>
      <c r="AD222" s="16"/>
    </row>
    <row r="223" spans="29:30" ht="15.75" customHeight="1" x14ac:dyDescent="0.3">
      <c r="AC223" s="16"/>
      <c r="AD223" s="16"/>
    </row>
    <row r="224" spans="29:30" ht="15.75" customHeight="1" x14ac:dyDescent="0.3">
      <c r="AC224" s="16"/>
      <c r="AD224" s="16"/>
    </row>
    <row r="225" spans="29:30" ht="15.75" customHeight="1" x14ac:dyDescent="0.3">
      <c r="AC225" s="16"/>
      <c r="AD225" s="16"/>
    </row>
    <row r="226" spans="29:30" ht="15.75" customHeight="1" x14ac:dyDescent="0.3">
      <c r="AC226" s="16"/>
      <c r="AD226" s="16"/>
    </row>
    <row r="227" spans="29:30" ht="15.75" customHeight="1" x14ac:dyDescent="0.3">
      <c r="AC227" s="16"/>
      <c r="AD227" s="16"/>
    </row>
    <row r="228" spans="29:30" ht="15.75" customHeight="1" x14ac:dyDescent="0.3">
      <c r="AC228" s="16"/>
      <c r="AD228" s="16"/>
    </row>
    <row r="229" spans="29:30" ht="15.75" customHeight="1" x14ac:dyDescent="0.3">
      <c r="AC229" s="16"/>
      <c r="AD229" s="16"/>
    </row>
    <row r="230" spans="29:30" ht="15.75" customHeight="1" x14ac:dyDescent="0.3">
      <c r="AC230" s="16"/>
      <c r="AD230" s="16"/>
    </row>
    <row r="231" spans="29:30" ht="15.75" customHeight="1" x14ac:dyDescent="0.3">
      <c r="AC231" s="16"/>
      <c r="AD231" s="16"/>
    </row>
    <row r="232" spans="29:30" ht="15.75" customHeight="1" x14ac:dyDescent="0.3">
      <c r="AC232" s="16"/>
      <c r="AD232" s="16"/>
    </row>
    <row r="233" spans="29:30" ht="15.75" customHeight="1" x14ac:dyDescent="0.3">
      <c r="AC233" s="16"/>
      <c r="AD233" s="16"/>
    </row>
    <row r="234" spans="29:30" ht="15.75" customHeight="1" x14ac:dyDescent="0.3">
      <c r="AC234" s="16"/>
      <c r="AD234" s="16"/>
    </row>
    <row r="235" spans="29:30" ht="15.75" customHeight="1" x14ac:dyDescent="0.3">
      <c r="AC235" s="16"/>
      <c r="AD235" s="16"/>
    </row>
    <row r="236" spans="29:30" ht="15.75" customHeight="1" x14ac:dyDescent="0.3">
      <c r="AC236" s="16"/>
      <c r="AD236" s="16"/>
    </row>
    <row r="237" spans="29:30" ht="15.75" customHeight="1" x14ac:dyDescent="0.3">
      <c r="AC237" s="16"/>
      <c r="AD237" s="16"/>
    </row>
    <row r="238" spans="29:30" ht="15.75" customHeight="1" x14ac:dyDescent="0.3">
      <c r="AC238" s="16"/>
      <c r="AD238" s="16"/>
    </row>
    <row r="239" spans="29:30" ht="15.75" customHeight="1" x14ac:dyDescent="0.3">
      <c r="AC239" s="16"/>
      <c r="AD239" s="16"/>
    </row>
    <row r="240" spans="29:30" ht="15.75" customHeight="1" x14ac:dyDescent="0.3">
      <c r="AC240" s="16"/>
      <c r="AD240" s="16"/>
    </row>
    <row r="241" spans="29:30" ht="15.75" customHeight="1" x14ac:dyDescent="0.3">
      <c r="AC241" s="16"/>
      <c r="AD241" s="16"/>
    </row>
    <row r="242" spans="29:30" ht="15.75" customHeight="1" x14ac:dyDescent="0.3">
      <c r="AC242" s="16"/>
      <c r="AD242" s="16"/>
    </row>
    <row r="243" spans="29:30" ht="15.75" customHeight="1" x14ac:dyDescent="0.3">
      <c r="AC243" s="16"/>
      <c r="AD243" s="16"/>
    </row>
    <row r="244" spans="29:30" ht="15.75" customHeight="1" x14ac:dyDescent="0.3">
      <c r="AC244" s="16"/>
      <c r="AD244" s="16"/>
    </row>
    <row r="245" spans="29:30" ht="15.75" customHeight="1" x14ac:dyDescent="0.3">
      <c r="AC245" s="16"/>
      <c r="AD245" s="16"/>
    </row>
    <row r="246" spans="29:30" ht="15.75" customHeight="1" x14ac:dyDescent="0.3">
      <c r="AC246" s="16"/>
      <c r="AD246" s="16"/>
    </row>
    <row r="247" spans="29:30" ht="15.75" customHeight="1" x14ac:dyDescent="0.3">
      <c r="AC247" s="16"/>
      <c r="AD247" s="16"/>
    </row>
    <row r="248" spans="29:30" ht="15.75" customHeight="1" x14ac:dyDescent="0.3">
      <c r="AC248" s="16"/>
      <c r="AD248" s="16"/>
    </row>
    <row r="249" spans="29:30" ht="15.75" customHeight="1" x14ac:dyDescent="0.3">
      <c r="AC249" s="16"/>
      <c r="AD249" s="16"/>
    </row>
    <row r="250" spans="29:30" ht="15.75" customHeight="1" x14ac:dyDescent="0.3">
      <c r="AC250" s="16"/>
      <c r="AD250" s="16"/>
    </row>
    <row r="251" spans="29:30" ht="15.75" customHeight="1" x14ac:dyDescent="0.3">
      <c r="AC251" s="16"/>
      <c r="AD251" s="16"/>
    </row>
    <row r="252" spans="29:30" ht="15.75" customHeight="1" x14ac:dyDescent="0.3">
      <c r="AC252" s="16"/>
      <c r="AD252" s="16"/>
    </row>
    <row r="253" spans="29:30" ht="15.75" customHeight="1" x14ac:dyDescent="0.3">
      <c r="AC253" s="16"/>
      <c r="AD253" s="16"/>
    </row>
    <row r="254" spans="29:30" ht="15.75" customHeight="1" x14ac:dyDescent="0.3">
      <c r="AC254" s="16"/>
      <c r="AD254" s="16"/>
    </row>
    <row r="255" spans="29:30" ht="15.75" customHeight="1" x14ac:dyDescent="0.3">
      <c r="AC255" s="16"/>
      <c r="AD255" s="16"/>
    </row>
    <row r="256" spans="29:30" ht="15.75" customHeight="1" x14ac:dyDescent="0.3">
      <c r="AC256" s="16"/>
      <c r="AD256" s="16"/>
    </row>
    <row r="257" spans="29:30" ht="15.75" customHeight="1" x14ac:dyDescent="0.3">
      <c r="AC257" s="16"/>
      <c r="AD257" s="16"/>
    </row>
    <row r="258" spans="29:30" ht="15.75" customHeight="1" x14ac:dyDescent="0.3">
      <c r="AC258" s="16"/>
      <c r="AD258" s="16"/>
    </row>
    <row r="259" spans="29:30" ht="15.75" customHeight="1" x14ac:dyDescent="0.3">
      <c r="AC259" s="16"/>
      <c r="AD259" s="16"/>
    </row>
    <row r="260" spans="29:30" ht="15.75" customHeight="1" x14ac:dyDescent="0.3">
      <c r="AC260" s="16"/>
      <c r="AD260" s="16"/>
    </row>
    <row r="261" spans="29:30" ht="15.75" customHeight="1" x14ac:dyDescent="0.3">
      <c r="AC261" s="16"/>
      <c r="AD261" s="16"/>
    </row>
    <row r="262" spans="29:30" ht="15.75" customHeight="1" x14ac:dyDescent="0.3">
      <c r="AC262" s="16"/>
      <c r="AD262" s="16"/>
    </row>
    <row r="263" spans="29:30" ht="15.75" customHeight="1" x14ac:dyDescent="0.3">
      <c r="AC263" s="16"/>
      <c r="AD263" s="16"/>
    </row>
    <row r="264" spans="29:30" ht="15.75" customHeight="1" x14ac:dyDescent="0.3">
      <c r="AC264" s="16"/>
      <c r="AD264" s="16"/>
    </row>
    <row r="265" spans="29:30" ht="15.75" customHeight="1" x14ac:dyDescent="0.3">
      <c r="AC265" s="16"/>
      <c r="AD265" s="16"/>
    </row>
    <row r="266" spans="29:30" ht="15.75" customHeight="1" x14ac:dyDescent="0.3">
      <c r="AC266" s="16"/>
      <c r="AD266" s="16"/>
    </row>
    <row r="267" spans="29:30" ht="15.75" customHeight="1" x14ac:dyDescent="0.3">
      <c r="AC267" s="16"/>
      <c r="AD267" s="16"/>
    </row>
    <row r="268" spans="29:30" ht="15.75" customHeight="1" x14ac:dyDescent="0.3">
      <c r="AC268" s="16"/>
      <c r="AD268" s="16"/>
    </row>
    <row r="269" spans="29:30" ht="15.75" customHeight="1" x14ac:dyDescent="0.3">
      <c r="AC269" s="16"/>
      <c r="AD269" s="16"/>
    </row>
    <row r="270" spans="29:30" ht="15.75" customHeight="1" x14ac:dyDescent="0.3">
      <c r="AC270" s="16"/>
      <c r="AD270" s="16"/>
    </row>
    <row r="271" spans="29:30" ht="15.75" customHeight="1" x14ac:dyDescent="0.3">
      <c r="AC271" s="16"/>
      <c r="AD271" s="16"/>
    </row>
    <row r="272" spans="29:30" ht="15.75" customHeight="1" x14ac:dyDescent="0.3">
      <c r="AC272" s="16"/>
      <c r="AD272" s="16"/>
    </row>
    <row r="273" spans="29:30" ht="15.75" customHeight="1" x14ac:dyDescent="0.3">
      <c r="AC273" s="16"/>
      <c r="AD273" s="16"/>
    </row>
    <row r="274" spans="29:30" ht="15.75" customHeight="1" x14ac:dyDescent="0.3">
      <c r="AC274" s="16"/>
      <c r="AD274" s="16"/>
    </row>
    <row r="275" spans="29:30" ht="15.75" customHeight="1" x14ac:dyDescent="0.3">
      <c r="AC275" s="16"/>
      <c r="AD275" s="16"/>
    </row>
    <row r="276" spans="29:30" ht="15.75" customHeight="1" x14ac:dyDescent="0.3">
      <c r="AC276" s="16"/>
      <c r="AD276" s="16"/>
    </row>
    <row r="277" spans="29:30" ht="15.75" customHeight="1" x14ac:dyDescent="0.3">
      <c r="AC277" s="16"/>
      <c r="AD277" s="16"/>
    </row>
    <row r="278" spans="29:30" ht="15.75" customHeight="1" x14ac:dyDescent="0.3">
      <c r="AC278" s="16"/>
      <c r="AD278" s="16"/>
    </row>
    <row r="279" spans="29:30" ht="15.75" customHeight="1" x14ac:dyDescent="0.3">
      <c r="AC279" s="16"/>
      <c r="AD279" s="16"/>
    </row>
    <row r="280" spans="29:30" ht="15.75" customHeight="1" x14ac:dyDescent="0.3">
      <c r="AC280" s="16"/>
      <c r="AD280" s="16"/>
    </row>
    <row r="281" spans="29:30" ht="15.75" customHeight="1" x14ac:dyDescent="0.3">
      <c r="AC281" s="16"/>
      <c r="AD281" s="16"/>
    </row>
    <row r="282" spans="29:30" ht="15.75" customHeight="1" x14ac:dyDescent="0.3">
      <c r="AC282" s="16"/>
      <c r="AD282" s="16"/>
    </row>
    <row r="283" spans="29:30" ht="15.75" customHeight="1" x14ac:dyDescent="0.3">
      <c r="AC283" s="16"/>
      <c r="AD283" s="16"/>
    </row>
    <row r="284" spans="29:30" ht="15.75" customHeight="1" x14ac:dyDescent="0.3">
      <c r="AC284" s="16"/>
      <c r="AD284" s="16"/>
    </row>
    <row r="285" spans="29:30" ht="15.75" customHeight="1" x14ac:dyDescent="0.3">
      <c r="AC285" s="16"/>
      <c r="AD285" s="16"/>
    </row>
    <row r="286" spans="29:30" ht="15.75" customHeight="1" x14ac:dyDescent="0.3">
      <c r="AC286" s="16"/>
      <c r="AD286" s="16"/>
    </row>
    <row r="287" spans="29:30" ht="15.75" customHeight="1" x14ac:dyDescent="0.3">
      <c r="AC287" s="16"/>
      <c r="AD287" s="16"/>
    </row>
    <row r="288" spans="29:30" ht="15.75" customHeight="1" x14ac:dyDescent="0.3">
      <c r="AC288" s="16"/>
      <c r="AD288" s="16"/>
    </row>
    <row r="289" spans="29:30" ht="15.75" customHeight="1" x14ac:dyDescent="0.3">
      <c r="AC289" s="16"/>
      <c r="AD289" s="16"/>
    </row>
    <row r="290" spans="29:30" ht="15.75" customHeight="1" x14ac:dyDescent="0.3">
      <c r="AC290" s="16"/>
      <c r="AD290" s="16"/>
    </row>
    <row r="291" spans="29:30" ht="15.75" customHeight="1" x14ac:dyDescent="0.3">
      <c r="AC291" s="16"/>
      <c r="AD291" s="16"/>
    </row>
    <row r="292" spans="29:30" ht="15.75" customHeight="1" x14ac:dyDescent="0.3">
      <c r="AC292" s="16"/>
      <c r="AD292" s="16"/>
    </row>
    <row r="293" spans="29:30" ht="15.75" customHeight="1" x14ac:dyDescent="0.3">
      <c r="AC293" s="16"/>
      <c r="AD293" s="16"/>
    </row>
    <row r="294" spans="29:30" ht="15.75" customHeight="1" x14ac:dyDescent="0.3">
      <c r="AC294" s="16"/>
      <c r="AD294" s="16"/>
    </row>
    <row r="295" spans="29:30" ht="15.75" customHeight="1" x14ac:dyDescent="0.3">
      <c r="AC295" s="16"/>
      <c r="AD295" s="16"/>
    </row>
    <row r="296" spans="29:30" ht="15.75" customHeight="1" x14ac:dyDescent="0.3">
      <c r="AC296" s="16"/>
      <c r="AD296" s="16"/>
    </row>
    <row r="297" spans="29:30" ht="15.75" customHeight="1" x14ac:dyDescent="0.3">
      <c r="AC297" s="16"/>
      <c r="AD297" s="16"/>
    </row>
    <row r="298" spans="29:30" ht="15.75" customHeight="1" x14ac:dyDescent="0.3">
      <c r="AC298" s="16"/>
      <c r="AD298" s="16"/>
    </row>
    <row r="299" spans="29:30" ht="15.75" customHeight="1" x14ac:dyDescent="0.3">
      <c r="AC299" s="16"/>
      <c r="AD299" s="16"/>
    </row>
    <row r="300" spans="29:30" ht="15.75" customHeight="1" x14ac:dyDescent="0.3">
      <c r="AC300" s="16"/>
      <c r="AD300" s="16"/>
    </row>
    <row r="301" spans="29:30" ht="15.75" customHeight="1" x14ac:dyDescent="0.3">
      <c r="AC301" s="16"/>
      <c r="AD301" s="16"/>
    </row>
    <row r="302" spans="29:30" ht="15.75" customHeight="1" x14ac:dyDescent="0.3">
      <c r="AC302" s="16"/>
      <c r="AD302" s="16"/>
    </row>
    <row r="303" spans="29:30" ht="15.75" customHeight="1" x14ac:dyDescent="0.3">
      <c r="AC303" s="16"/>
      <c r="AD303" s="16"/>
    </row>
    <row r="304" spans="29:30" ht="15.75" customHeight="1" x14ac:dyDescent="0.3">
      <c r="AC304" s="16"/>
      <c r="AD304" s="16"/>
    </row>
    <row r="305" spans="29:30" ht="15.75" customHeight="1" x14ac:dyDescent="0.3">
      <c r="AC305" s="16"/>
      <c r="AD305" s="16"/>
    </row>
    <row r="306" spans="29:30" ht="15.75" customHeight="1" x14ac:dyDescent="0.3">
      <c r="AC306" s="16"/>
      <c r="AD306" s="16"/>
    </row>
    <row r="307" spans="29:30" ht="15.75" customHeight="1" x14ac:dyDescent="0.3">
      <c r="AC307" s="16"/>
      <c r="AD307" s="16"/>
    </row>
    <row r="308" spans="29:30" ht="15.75" customHeight="1" x14ac:dyDescent="0.3">
      <c r="AC308" s="16"/>
      <c r="AD308" s="16"/>
    </row>
    <row r="309" spans="29:30" ht="15.75" customHeight="1" x14ac:dyDescent="0.3">
      <c r="AC309" s="16"/>
      <c r="AD309" s="16"/>
    </row>
    <row r="310" spans="29:30" ht="15.75" customHeight="1" x14ac:dyDescent="0.3">
      <c r="AC310" s="16"/>
      <c r="AD310" s="16"/>
    </row>
    <row r="311" spans="29:30" ht="15.75" customHeight="1" x14ac:dyDescent="0.3">
      <c r="AC311" s="16"/>
      <c r="AD311" s="16"/>
    </row>
    <row r="312" spans="29:30" ht="15.75" customHeight="1" x14ac:dyDescent="0.3">
      <c r="AC312" s="16"/>
      <c r="AD312" s="16"/>
    </row>
    <row r="313" spans="29:30" ht="15.75" customHeight="1" x14ac:dyDescent="0.3">
      <c r="AC313" s="16"/>
      <c r="AD313" s="16"/>
    </row>
    <row r="314" spans="29:30" ht="15.75" customHeight="1" x14ac:dyDescent="0.3">
      <c r="AC314" s="16"/>
      <c r="AD314" s="16"/>
    </row>
    <row r="315" spans="29:30" ht="15.75" customHeight="1" x14ac:dyDescent="0.3">
      <c r="AC315" s="16"/>
      <c r="AD315" s="16"/>
    </row>
    <row r="316" spans="29:30" ht="15.75" customHeight="1" x14ac:dyDescent="0.3">
      <c r="AC316" s="16"/>
      <c r="AD316" s="16"/>
    </row>
    <row r="317" spans="29:30" ht="15.75" customHeight="1" x14ac:dyDescent="0.3">
      <c r="AC317" s="16"/>
      <c r="AD317" s="16"/>
    </row>
    <row r="318" spans="29:30" ht="15.75" customHeight="1" x14ac:dyDescent="0.3">
      <c r="AC318" s="16"/>
      <c r="AD318" s="16"/>
    </row>
    <row r="319" spans="29:30" ht="15.75" customHeight="1" x14ac:dyDescent="0.3">
      <c r="AC319" s="16"/>
      <c r="AD319" s="16"/>
    </row>
    <row r="320" spans="29:30" ht="15.75" customHeight="1" x14ac:dyDescent="0.3">
      <c r="AC320" s="16"/>
      <c r="AD320" s="16"/>
    </row>
    <row r="321" spans="29:30" ht="15.75" customHeight="1" x14ac:dyDescent="0.3">
      <c r="AC321" s="16"/>
      <c r="AD321" s="16"/>
    </row>
    <row r="322" spans="29:30" ht="15.75" customHeight="1" x14ac:dyDescent="0.3">
      <c r="AC322" s="16"/>
      <c r="AD322" s="16"/>
    </row>
    <row r="323" spans="29:30" ht="15.75" customHeight="1" x14ac:dyDescent="0.3">
      <c r="AC323" s="16"/>
      <c r="AD323" s="16"/>
    </row>
    <row r="324" spans="29:30" ht="15.75" customHeight="1" x14ac:dyDescent="0.3">
      <c r="AC324" s="16"/>
      <c r="AD324" s="16"/>
    </row>
    <row r="325" spans="29:30" ht="15.75" customHeight="1" x14ac:dyDescent="0.3">
      <c r="AC325" s="16"/>
      <c r="AD325" s="16"/>
    </row>
    <row r="326" spans="29:30" ht="15.75" customHeight="1" x14ac:dyDescent="0.3">
      <c r="AC326" s="16"/>
      <c r="AD326" s="16"/>
    </row>
    <row r="327" spans="29:30" ht="15.75" customHeight="1" x14ac:dyDescent="0.3">
      <c r="AC327" s="16"/>
      <c r="AD327" s="16"/>
    </row>
    <row r="328" spans="29:30" ht="15.75" customHeight="1" x14ac:dyDescent="0.3">
      <c r="AC328" s="16"/>
      <c r="AD328" s="16"/>
    </row>
    <row r="329" spans="29:30" ht="15.75" customHeight="1" x14ac:dyDescent="0.3">
      <c r="AC329" s="16"/>
      <c r="AD329" s="16"/>
    </row>
    <row r="330" spans="29:30" ht="15.75" customHeight="1" x14ac:dyDescent="0.3">
      <c r="AC330" s="16"/>
      <c r="AD330" s="16"/>
    </row>
    <row r="331" spans="29:30" ht="15.75" customHeight="1" x14ac:dyDescent="0.3">
      <c r="AC331" s="16"/>
      <c r="AD331" s="16"/>
    </row>
    <row r="332" spans="29:30" ht="15.75" customHeight="1" x14ac:dyDescent="0.3">
      <c r="AC332" s="16"/>
      <c r="AD332" s="16"/>
    </row>
    <row r="333" spans="29:30" ht="15.75" customHeight="1" x14ac:dyDescent="0.3">
      <c r="AC333" s="16"/>
      <c r="AD333" s="16"/>
    </row>
    <row r="334" spans="29:30" ht="15.75" customHeight="1" x14ac:dyDescent="0.3">
      <c r="AC334" s="16"/>
      <c r="AD334" s="16"/>
    </row>
    <row r="335" spans="29:30" ht="15.75" customHeight="1" x14ac:dyDescent="0.3">
      <c r="AC335" s="16"/>
      <c r="AD335" s="16"/>
    </row>
    <row r="336" spans="29:30" ht="15.75" customHeight="1" x14ac:dyDescent="0.3">
      <c r="AC336" s="16"/>
      <c r="AD336" s="16"/>
    </row>
    <row r="337" spans="29:30" ht="15.75" customHeight="1" x14ac:dyDescent="0.3">
      <c r="AC337" s="16"/>
      <c r="AD337" s="16"/>
    </row>
    <row r="338" spans="29:30" ht="15.75" customHeight="1" x14ac:dyDescent="0.3">
      <c r="AC338" s="16"/>
      <c r="AD338" s="16"/>
    </row>
    <row r="339" spans="29:30" ht="15.75" customHeight="1" x14ac:dyDescent="0.3">
      <c r="AC339" s="16"/>
      <c r="AD339" s="16"/>
    </row>
    <row r="340" spans="29:30" ht="15.75" customHeight="1" x14ac:dyDescent="0.3">
      <c r="AC340" s="16"/>
      <c r="AD340" s="16"/>
    </row>
    <row r="341" spans="29:30" ht="15.75" customHeight="1" x14ac:dyDescent="0.3">
      <c r="AC341" s="16"/>
      <c r="AD341" s="16"/>
    </row>
    <row r="342" spans="29:30" ht="15.75" customHeight="1" x14ac:dyDescent="0.3">
      <c r="AC342" s="16"/>
      <c r="AD342" s="16"/>
    </row>
    <row r="343" spans="29:30" ht="15.75" customHeight="1" x14ac:dyDescent="0.3">
      <c r="AC343" s="16"/>
      <c r="AD343" s="16"/>
    </row>
    <row r="344" spans="29:30" ht="15.75" customHeight="1" x14ac:dyDescent="0.3">
      <c r="AC344" s="16"/>
      <c r="AD344" s="16"/>
    </row>
    <row r="345" spans="29:30" ht="15.75" customHeight="1" x14ac:dyDescent="0.3">
      <c r="AC345" s="16"/>
      <c r="AD345" s="16"/>
    </row>
    <row r="346" spans="29:30" ht="15.75" customHeight="1" x14ac:dyDescent="0.3">
      <c r="AC346" s="16"/>
      <c r="AD346" s="16"/>
    </row>
    <row r="347" spans="29:30" ht="15.75" customHeight="1" x14ac:dyDescent="0.3">
      <c r="AC347" s="16"/>
      <c r="AD347" s="16"/>
    </row>
    <row r="348" spans="29:30" ht="15.75" customHeight="1" x14ac:dyDescent="0.3">
      <c r="AC348" s="16"/>
      <c r="AD348" s="16"/>
    </row>
    <row r="349" spans="29:30" ht="15.75" customHeight="1" x14ac:dyDescent="0.3">
      <c r="AC349" s="16"/>
      <c r="AD349" s="16"/>
    </row>
    <row r="350" spans="29:30" ht="15.75" customHeight="1" x14ac:dyDescent="0.3">
      <c r="AC350" s="16"/>
      <c r="AD350" s="16"/>
    </row>
    <row r="351" spans="29:30" ht="15.75" customHeight="1" x14ac:dyDescent="0.3">
      <c r="AC351" s="16"/>
      <c r="AD351" s="16"/>
    </row>
    <row r="352" spans="29:30" ht="15.75" customHeight="1" x14ac:dyDescent="0.3">
      <c r="AC352" s="16"/>
      <c r="AD352" s="16"/>
    </row>
    <row r="353" spans="29:30" ht="15.75" customHeight="1" x14ac:dyDescent="0.3">
      <c r="AC353" s="16"/>
      <c r="AD353" s="16"/>
    </row>
    <row r="354" spans="29:30" ht="15.75" customHeight="1" x14ac:dyDescent="0.3">
      <c r="AC354" s="16"/>
      <c r="AD354" s="16"/>
    </row>
    <row r="355" spans="29:30" ht="15.75" customHeight="1" x14ac:dyDescent="0.3">
      <c r="AC355" s="16"/>
      <c r="AD355" s="16"/>
    </row>
    <row r="356" spans="29:30" ht="15.75" customHeight="1" x14ac:dyDescent="0.3">
      <c r="AC356" s="16"/>
      <c r="AD356" s="16"/>
    </row>
    <row r="357" spans="29:30" ht="15.75" customHeight="1" x14ac:dyDescent="0.3">
      <c r="AC357" s="16"/>
      <c r="AD357" s="16"/>
    </row>
    <row r="358" spans="29:30" ht="15.75" customHeight="1" x14ac:dyDescent="0.3">
      <c r="AC358" s="16"/>
      <c r="AD358" s="16"/>
    </row>
    <row r="359" spans="29:30" ht="15.75" customHeight="1" x14ac:dyDescent="0.3">
      <c r="AC359" s="16"/>
      <c r="AD359" s="16"/>
    </row>
    <row r="360" spans="29:30" ht="15.75" customHeight="1" x14ac:dyDescent="0.3">
      <c r="AC360" s="16"/>
      <c r="AD360" s="16"/>
    </row>
    <row r="361" spans="29:30" ht="15.75" customHeight="1" x14ac:dyDescent="0.3">
      <c r="AC361" s="16"/>
      <c r="AD361" s="16"/>
    </row>
    <row r="362" spans="29:30" ht="15.75" customHeight="1" x14ac:dyDescent="0.3">
      <c r="AC362" s="16"/>
      <c r="AD362" s="16"/>
    </row>
    <row r="363" spans="29:30" ht="15.75" customHeight="1" x14ac:dyDescent="0.3">
      <c r="AC363" s="16"/>
      <c r="AD363" s="16"/>
    </row>
    <row r="364" spans="29:30" ht="15.75" customHeight="1" x14ac:dyDescent="0.3">
      <c r="AC364" s="16"/>
      <c r="AD364" s="16"/>
    </row>
    <row r="365" spans="29:30" ht="15.75" customHeight="1" x14ac:dyDescent="0.3">
      <c r="AC365" s="16"/>
      <c r="AD365" s="16"/>
    </row>
    <row r="366" spans="29:30" ht="15.75" customHeight="1" x14ac:dyDescent="0.3">
      <c r="AC366" s="16"/>
      <c r="AD366" s="16"/>
    </row>
    <row r="367" spans="29:30" ht="15.75" customHeight="1" x14ac:dyDescent="0.3">
      <c r="AC367" s="16"/>
      <c r="AD367" s="16"/>
    </row>
    <row r="368" spans="29:30" ht="15.75" customHeight="1" x14ac:dyDescent="0.3">
      <c r="AC368" s="16"/>
      <c r="AD368" s="16"/>
    </row>
    <row r="369" spans="29:30" ht="15.75" customHeight="1" x14ac:dyDescent="0.3">
      <c r="AC369" s="16"/>
      <c r="AD369" s="16"/>
    </row>
    <row r="370" spans="29:30" ht="15.75" customHeight="1" x14ac:dyDescent="0.3">
      <c r="AC370" s="16"/>
      <c r="AD370" s="16"/>
    </row>
    <row r="371" spans="29:30" ht="15.75" customHeight="1" x14ac:dyDescent="0.3">
      <c r="AC371" s="16"/>
      <c r="AD371" s="16"/>
    </row>
    <row r="372" spans="29:30" ht="15.75" customHeight="1" x14ac:dyDescent="0.3">
      <c r="AC372" s="16"/>
      <c r="AD372" s="16"/>
    </row>
    <row r="373" spans="29:30" ht="15.75" customHeight="1" x14ac:dyDescent="0.3">
      <c r="AC373" s="16"/>
      <c r="AD373" s="16"/>
    </row>
    <row r="374" spans="29:30" ht="15.75" customHeight="1" x14ac:dyDescent="0.3">
      <c r="AC374" s="16"/>
      <c r="AD374" s="16"/>
    </row>
    <row r="375" spans="29:30" ht="15.75" customHeight="1" x14ac:dyDescent="0.3">
      <c r="AC375" s="16"/>
      <c r="AD375" s="16"/>
    </row>
    <row r="376" spans="29:30" ht="15.75" customHeight="1" x14ac:dyDescent="0.3">
      <c r="AC376" s="16"/>
      <c r="AD376" s="16"/>
    </row>
    <row r="377" spans="29:30" ht="15.75" customHeight="1" x14ac:dyDescent="0.3">
      <c r="AC377" s="16"/>
      <c r="AD377" s="16"/>
    </row>
    <row r="378" spans="29:30" ht="15.75" customHeight="1" x14ac:dyDescent="0.3">
      <c r="AC378" s="16"/>
      <c r="AD378" s="16"/>
    </row>
    <row r="379" spans="29:30" ht="15.75" customHeight="1" x14ac:dyDescent="0.3">
      <c r="AC379" s="16"/>
      <c r="AD379" s="16"/>
    </row>
    <row r="380" spans="29:30" ht="15.75" customHeight="1" x14ac:dyDescent="0.3">
      <c r="AC380" s="16"/>
      <c r="AD380" s="16"/>
    </row>
    <row r="381" spans="29:30" ht="15.75" customHeight="1" x14ac:dyDescent="0.3">
      <c r="AC381" s="16"/>
      <c r="AD381" s="16"/>
    </row>
    <row r="382" spans="29:30" ht="15.75" customHeight="1" x14ac:dyDescent="0.3">
      <c r="AC382" s="16"/>
      <c r="AD382" s="16"/>
    </row>
    <row r="383" spans="29:30" ht="15.75" customHeight="1" x14ac:dyDescent="0.3">
      <c r="AC383" s="16"/>
      <c r="AD383" s="16"/>
    </row>
    <row r="384" spans="29:30" ht="15.75" customHeight="1" x14ac:dyDescent="0.3">
      <c r="AC384" s="16"/>
      <c r="AD384" s="16"/>
    </row>
    <row r="385" spans="29:30" ht="15.75" customHeight="1" x14ac:dyDescent="0.3">
      <c r="AC385" s="16"/>
      <c r="AD385" s="16"/>
    </row>
    <row r="386" spans="29:30" ht="15.75" customHeight="1" x14ac:dyDescent="0.3">
      <c r="AC386" s="16"/>
      <c r="AD386" s="16"/>
    </row>
    <row r="387" spans="29:30" ht="15.75" customHeight="1" x14ac:dyDescent="0.3">
      <c r="AC387" s="16"/>
      <c r="AD387" s="16"/>
    </row>
    <row r="388" spans="29:30" ht="15.75" customHeight="1" x14ac:dyDescent="0.3">
      <c r="AC388" s="16"/>
      <c r="AD388" s="16"/>
    </row>
    <row r="389" spans="29:30" ht="15.75" customHeight="1" x14ac:dyDescent="0.3">
      <c r="AC389" s="16"/>
      <c r="AD389" s="16"/>
    </row>
    <row r="390" spans="29:30" ht="15.75" customHeight="1" x14ac:dyDescent="0.3">
      <c r="AC390" s="16"/>
      <c r="AD390" s="16"/>
    </row>
    <row r="391" spans="29:30" ht="15.75" customHeight="1" x14ac:dyDescent="0.3">
      <c r="AC391" s="16"/>
      <c r="AD391" s="16"/>
    </row>
    <row r="392" spans="29:30" ht="15.75" customHeight="1" x14ac:dyDescent="0.3">
      <c r="AC392" s="16"/>
      <c r="AD392" s="16"/>
    </row>
    <row r="393" spans="29:30" ht="15.75" customHeight="1" x14ac:dyDescent="0.3">
      <c r="AC393" s="16"/>
      <c r="AD393" s="16"/>
    </row>
    <row r="394" spans="29:30" ht="15.75" customHeight="1" x14ac:dyDescent="0.3">
      <c r="AC394" s="16"/>
      <c r="AD394" s="16"/>
    </row>
    <row r="395" spans="29:30" ht="15.75" customHeight="1" x14ac:dyDescent="0.3">
      <c r="AC395" s="16"/>
      <c r="AD395" s="16"/>
    </row>
    <row r="396" spans="29:30" ht="15.75" customHeight="1" x14ac:dyDescent="0.3">
      <c r="AC396" s="16"/>
      <c r="AD396" s="16"/>
    </row>
    <row r="397" spans="29:30" ht="15.75" customHeight="1" x14ac:dyDescent="0.3">
      <c r="AC397" s="16"/>
      <c r="AD397" s="16"/>
    </row>
    <row r="398" spans="29:30" ht="15.75" customHeight="1" x14ac:dyDescent="0.3">
      <c r="AC398" s="16"/>
      <c r="AD398" s="16"/>
    </row>
    <row r="399" spans="29:30" ht="15.75" customHeight="1" x14ac:dyDescent="0.3">
      <c r="AC399" s="16"/>
      <c r="AD399" s="16"/>
    </row>
    <row r="400" spans="29:30" ht="15.75" customHeight="1" x14ac:dyDescent="0.3">
      <c r="AC400" s="16"/>
      <c r="AD400" s="16"/>
    </row>
    <row r="401" spans="29:30" ht="15.75" customHeight="1" x14ac:dyDescent="0.3">
      <c r="AC401" s="16"/>
      <c r="AD401" s="16"/>
    </row>
    <row r="402" spans="29:30" ht="15.75" customHeight="1" x14ac:dyDescent="0.3">
      <c r="AC402" s="16"/>
      <c r="AD402" s="16"/>
    </row>
    <row r="403" spans="29:30" ht="15.75" customHeight="1" x14ac:dyDescent="0.3">
      <c r="AC403" s="16"/>
      <c r="AD403" s="16"/>
    </row>
    <row r="404" spans="29:30" ht="15.75" customHeight="1" x14ac:dyDescent="0.3">
      <c r="AC404" s="16"/>
      <c r="AD404" s="16"/>
    </row>
    <row r="405" spans="29:30" ht="15.75" customHeight="1" x14ac:dyDescent="0.3">
      <c r="AC405" s="16"/>
      <c r="AD405" s="16"/>
    </row>
    <row r="406" spans="29:30" ht="15.75" customHeight="1" x14ac:dyDescent="0.3">
      <c r="AC406" s="16"/>
      <c r="AD406" s="16"/>
    </row>
    <row r="407" spans="29:30" ht="15.75" customHeight="1" x14ac:dyDescent="0.3">
      <c r="AC407" s="16"/>
      <c r="AD407" s="16"/>
    </row>
    <row r="408" spans="29:30" ht="15.75" customHeight="1" x14ac:dyDescent="0.3">
      <c r="AC408" s="16"/>
      <c r="AD408" s="16"/>
    </row>
    <row r="409" spans="29:30" ht="15.75" customHeight="1" x14ac:dyDescent="0.3">
      <c r="AC409" s="16"/>
      <c r="AD409" s="16"/>
    </row>
    <row r="410" spans="29:30" ht="15.75" customHeight="1" x14ac:dyDescent="0.3">
      <c r="AC410" s="16"/>
      <c r="AD410" s="16"/>
    </row>
    <row r="411" spans="29:30" ht="15.75" customHeight="1" x14ac:dyDescent="0.3">
      <c r="AC411" s="16"/>
      <c r="AD411" s="16"/>
    </row>
    <row r="412" spans="29:30" ht="15.75" customHeight="1" x14ac:dyDescent="0.3">
      <c r="AC412" s="16"/>
      <c r="AD412" s="16"/>
    </row>
    <row r="413" spans="29:30" ht="15.75" customHeight="1" x14ac:dyDescent="0.3">
      <c r="AC413" s="16"/>
      <c r="AD413" s="16"/>
    </row>
    <row r="414" spans="29:30" ht="15.75" customHeight="1" x14ac:dyDescent="0.3">
      <c r="AC414" s="16"/>
      <c r="AD414" s="16"/>
    </row>
    <row r="415" spans="29:30" ht="15.75" customHeight="1" x14ac:dyDescent="0.3">
      <c r="AC415" s="16"/>
      <c r="AD415" s="16"/>
    </row>
    <row r="416" spans="29:30" ht="15.75" customHeight="1" x14ac:dyDescent="0.3">
      <c r="AC416" s="16"/>
      <c r="AD416" s="16"/>
    </row>
    <row r="417" spans="29:30" ht="15.75" customHeight="1" x14ac:dyDescent="0.3">
      <c r="AC417" s="16"/>
      <c r="AD417" s="16"/>
    </row>
    <row r="418" spans="29:30" ht="15.75" customHeight="1" x14ac:dyDescent="0.3">
      <c r="AC418" s="16"/>
      <c r="AD418" s="16"/>
    </row>
    <row r="419" spans="29:30" ht="15.75" customHeight="1" x14ac:dyDescent="0.3">
      <c r="AC419" s="16"/>
      <c r="AD419" s="16"/>
    </row>
    <row r="420" spans="29:30" ht="15.75" customHeight="1" x14ac:dyDescent="0.3">
      <c r="AC420" s="16"/>
      <c r="AD420" s="16"/>
    </row>
    <row r="421" spans="29:30" ht="15.75" customHeight="1" x14ac:dyDescent="0.3">
      <c r="AC421" s="16"/>
      <c r="AD421" s="16"/>
    </row>
    <row r="422" spans="29:30" ht="15.75" customHeight="1" x14ac:dyDescent="0.3">
      <c r="AC422" s="16"/>
      <c r="AD422" s="16"/>
    </row>
    <row r="423" spans="29:30" ht="15.75" customHeight="1" x14ac:dyDescent="0.3">
      <c r="AC423" s="16"/>
      <c r="AD423" s="16"/>
    </row>
    <row r="424" spans="29:30" ht="15.75" customHeight="1" x14ac:dyDescent="0.3">
      <c r="AC424" s="16"/>
      <c r="AD424" s="16"/>
    </row>
    <row r="425" spans="29:30" ht="15.75" customHeight="1" x14ac:dyDescent="0.3">
      <c r="AC425" s="16"/>
      <c r="AD425" s="16"/>
    </row>
    <row r="426" spans="29:30" ht="15.75" customHeight="1" x14ac:dyDescent="0.3">
      <c r="AC426" s="16"/>
      <c r="AD426" s="16"/>
    </row>
    <row r="427" spans="29:30" ht="15.75" customHeight="1" x14ac:dyDescent="0.3">
      <c r="AC427" s="16"/>
      <c r="AD427" s="16"/>
    </row>
    <row r="428" spans="29:30" ht="15.75" customHeight="1" x14ac:dyDescent="0.3">
      <c r="AC428" s="16"/>
      <c r="AD428" s="16"/>
    </row>
    <row r="429" spans="29:30" ht="15.75" customHeight="1" x14ac:dyDescent="0.3">
      <c r="AC429" s="16"/>
      <c r="AD429" s="16"/>
    </row>
    <row r="430" spans="29:30" ht="15.75" customHeight="1" x14ac:dyDescent="0.3">
      <c r="AC430" s="16"/>
      <c r="AD430" s="16"/>
    </row>
    <row r="431" spans="29:30" ht="15.75" customHeight="1" x14ac:dyDescent="0.3">
      <c r="AC431" s="16"/>
      <c r="AD431" s="16"/>
    </row>
    <row r="432" spans="29:30" ht="15.75" customHeight="1" x14ac:dyDescent="0.3">
      <c r="AC432" s="16"/>
      <c r="AD432" s="16"/>
    </row>
    <row r="433" spans="29:30" ht="15.75" customHeight="1" x14ac:dyDescent="0.3">
      <c r="AC433" s="16"/>
      <c r="AD433" s="16"/>
    </row>
    <row r="434" spans="29:30" ht="15.75" customHeight="1" x14ac:dyDescent="0.3">
      <c r="AC434" s="16"/>
      <c r="AD434" s="16"/>
    </row>
    <row r="435" spans="29:30" ht="15.75" customHeight="1" x14ac:dyDescent="0.3">
      <c r="AC435" s="16"/>
      <c r="AD435" s="16"/>
    </row>
    <row r="436" spans="29:30" ht="15.75" customHeight="1" x14ac:dyDescent="0.3">
      <c r="AC436" s="16"/>
      <c r="AD436" s="16"/>
    </row>
    <row r="437" spans="29:30" ht="15.75" customHeight="1" x14ac:dyDescent="0.3">
      <c r="AC437" s="16"/>
      <c r="AD437" s="16"/>
    </row>
    <row r="438" spans="29:30" ht="15.75" customHeight="1" x14ac:dyDescent="0.3">
      <c r="AC438" s="16"/>
      <c r="AD438" s="16"/>
    </row>
    <row r="439" spans="29:30" ht="15.75" customHeight="1" x14ac:dyDescent="0.3">
      <c r="AC439" s="16"/>
      <c r="AD439" s="16"/>
    </row>
    <row r="440" spans="29:30" ht="15.75" customHeight="1" x14ac:dyDescent="0.3">
      <c r="AC440" s="16"/>
      <c r="AD440" s="16"/>
    </row>
    <row r="441" spans="29:30" ht="15.75" customHeight="1" x14ac:dyDescent="0.3">
      <c r="AC441" s="16"/>
      <c r="AD441" s="16"/>
    </row>
    <row r="442" spans="29:30" ht="15.75" customHeight="1" x14ac:dyDescent="0.3">
      <c r="AC442" s="16"/>
      <c r="AD442" s="16"/>
    </row>
    <row r="443" spans="29:30" ht="15.75" customHeight="1" x14ac:dyDescent="0.3">
      <c r="AC443" s="16"/>
      <c r="AD443" s="16"/>
    </row>
    <row r="444" spans="29:30" ht="15.75" customHeight="1" x14ac:dyDescent="0.3">
      <c r="AC444" s="16"/>
      <c r="AD444" s="16"/>
    </row>
    <row r="445" spans="29:30" ht="15.75" customHeight="1" x14ac:dyDescent="0.3">
      <c r="AC445" s="16"/>
      <c r="AD445" s="16"/>
    </row>
    <row r="446" spans="29:30" ht="15.75" customHeight="1" x14ac:dyDescent="0.3">
      <c r="AC446" s="16"/>
      <c r="AD446" s="16"/>
    </row>
    <row r="447" spans="29:30" ht="15.75" customHeight="1" x14ac:dyDescent="0.3">
      <c r="AC447" s="16"/>
      <c r="AD447" s="16"/>
    </row>
    <row r="448" spans="29:30" ht="15.75" customHeight="1" x14ac:dyDescent="0.3">
      <c r="AC448" s="16"/>
      <c r="AD448" s="16"/>
    </row>
    <row r="449" spans="29:30" ht="15.75" customHeight="1" x14ac:dyDescent="0.3">
      <c r="AC449" s="16"/>
      <c r="AD449" s="16"/>
    </row>
    <row r="450" spans="29:30" ht="15.75" customHeight="1" x14ac:dyDescent="0.3">
      <c r="AC450" s="16"/>
      <c r="AD450" s="16"/>
    </row>
    <row r="451" spans="29:30" ht="15.75" customHeight="1" x14ac:dyDescent="0.3">
      <c r="AC451" s="16"/>
      <c r="AD451" s="16"/>
    </row>
    <row r="452" spans="29:30" ht="15.75" customHeight="1" x14ac:dyDescent="0.3">
      <c r="AC452" s="16"/>
      <c r="AD452" s="16"/>
    </row>
    <row r="453" spans="29:30" ht="15.75" customHeight="1" x14ac:dyDescent="0.3">
      <c r="AC453" s="16"/>
      <c r="AD453" s="16"/>
    </row>
    <row r="454" spans="29:30" ht="15.75" customHeight="1" x14ac:dyDescent="0.3">
      <c r="AC454" s="16"/>
      <c r="AD454" s="16"/>
    </row>
    <row r="455" spans="29:30" ht="15.75" customHeight="1" x14ac:dyDescent="0.3">
      <c r="AC455" s="16"/>
      <c r="AD455" s="16"/>
    </row>
    <row r="456" spans="29:30" ht="15.75" customHeight="1" x14ac:dyDescent="0.3">
      <c r="AC456" s="16"/>
      <c r="AD456" s="16"/>
    </row>
    <row r="457" spans="29:30" ht="15.75" customHeight="1" x14ac:dyDescent="0.3">
      <c r="AC457" s="16"/>
      <c r="AD457" s="16"/>
    </row>
    <row r="458" spans="29:30" ht="15.75" customHeight="1" x14ac:dyDescent="0.3">
      <c r="AC458" s="16"/>
      <c r="AD458" s="16"/>
    </row>
    <row r="459" spans="29:30" ht="15.75" customHeight="1" x14ac:dyDescent="0.3">
      <c r="AC459" s="16"/>
      <c r="AD459" s="16"/>
    </row>
    <row r="460" spans="29:30" ht="15.75" customHeight="1" x14ac:dyDescent="0.3">
      <c r="AC460" s="16"/>
      <c r="AD460" s="16"/>
    </row>
    <row r="461" spans="29:30" ht="15.75" customHeight="1" x14ac:dyDescent="0.3">
      <c r="AC461" s="16"/>
      <c r="AD461" s="16"/>
    </row>
    <row r="462" spans="29:30" ht="15.75" customHeight="1" x14ac:dyDescent="0.3">
      <c r="AC462" s="16"/>
      <c r="AD462" s="16"/>
    </row>
    <row r="463" spans="29:30" ht="15.75" customHeight="1" x14ac:dyDescent="0.3">
      <c r="AC463" s="16"/>
      <c r="AD463" s="16"/>
    </row>
    <row r="464" spans="29:30" ht="15.75" customHeight="1" x14ac:dyDescent="0.3">
      <c r="AC464" s="16"/>
      <c r="AD464" s="16"/>
    </row>
    <row r="465" spans="29:30" ht="15.75" customHeight="1" x14ac:dyDescent="0.3">
      <c r="AC465" s="16"/>
      <c r="AD465" s="16"/>
    </row>
    <row r="466" spans="29:30" ht="15.75" customHeight="1" x14ac:dyDescent="0.3">
      <c r="AC466" s="16"/>
      <c r="AD466" s="16"/>
    </row>
    <row r="467" spans="29:30" ht="15.75" customHeight="1" x14ac:dyDescent="0.3">
      <c r="AC467" s="16"/>
      <c r="AD467" s="16"/>
    </row>
    <row r="468" spans="29:30" ht="15.75" customHeight="1" x14ac:dyDescent="0.3">
      <c r="AC468" s="16"/>
      <c r="AD468" s="16"/>
    </row>
    <row r="469" spans="29:30" ht="15.75" customHeight="1" x14ac:dyDescent="0.3">
      <c r="AC469" s="16"/>
      <c r="AD469" s="16"/>
    </row>
    <row r="470" spans="29:30" ht="15.75" customHeight="1" x14ac:dyDescent="0.3">
      <c r="AC470" s="16"/>
      <c r="AD470" s="16"/>
    </row>
    <row r="471" spans="29:30" ht="15.75" customHeight="1" x14ac:dyDescent="0.3">
      <c r="AC471" s="16"/>
      <c r="AD471" s="16"/>
    </row>
    <row r="472" spans="29:30" ht="15.75" customHeight="1" x14ac:dyDescent="0.3">
      <c r="AC472" s="16"/>
      <c r="AD472" s="16"/>
    </row>
    <row r="473" spans="29:30" ht="15.75" customHeight="1" x14ac:dyDescent="0.3">
      <c r="AC473" s="16"/>
      <c r="AD473" s="16"/>
    </row>
    <row r="474" spans="29:30" ht="15.75" customHeight="1" x14ac:dyDescent="0.3">
      <c r="AC474" s="16"/>
      <c r="AD474" s="16"/>
    </row>
    <row r="475" spans="29:30" ht="15.75" customHeight="1" x14ac:dyDescent="0.3">
      <c r="AC475" s="16"/>
      <c r="AD475" s="16"/>
    </row>
    <row r="476" spans="29:30" ht="15.75" customHeight="1" x14ac:dyDescent="0.3">
      <c r="AC476" s="16"/>
      <c r="AD476" s="16"/>
    </row>
    <row r="477" spans="29:30" ht="15.75" customHeight="1" x14ac:dyDescent="0.3">
      <c r="AC477" s="16"/>
      <c r="AD477" s="16"/>
    </row>
    <row r="478" spans="29:30" ht="15.75" customHeight="1" x14ac:dyDescent="0.3">
      <c r="AC478" s="16"/>
      <c r="AD478" s="16"/>
    </row>
    <row r="479" spans="29:30" ht="15.75" customHeight="1" x14ac:dyDescent="0.3">
      <c r="AC479" s="16"/>
      <c r="AD479" s="16"/>
    </row>
    <row r="480" spans="29:30" ht="15.75" customHeight="1" x14ac:dyDescent="0.3">
      <c r="AC480" s="16"/>
      <c r="AD480" s="16"/>
    </row>
    <row r="481" spans="29:30" ht="15.75" customHeight="1" x14ac:dyDescent="0.3">
      <c r="AC481" s="16"/>
      <c r="AD481" s="16"/>
    </row>
    <row r="482" spans="29:30" ht="15.75" customHeight="1" x14ac:dyDescent="0.3">
      <c r="AC482" s="16"/>
      <c r="AD482" s="16"/>
    </row>
    <row r="483" spans="29:30" ht="15.75" customHeight="1" x14ac:dyDescent="0.3">
      <c r="AC483" s="16"/>
      <c r="AD483" s="16"/>
    </row>
    <row r="484" spans="29:30" ht="15.75" customHeight="1" x14ac:dyDescent="0.3">
      <c r="AC484" s="16"/>
      <c r="AD484" s="16"/>
    </row>
    <row r="485" spans="29:30" ht="15.75" customHeight="1" x14ac:dyDescent="0.3">
      <c r="AC485" s="16"/>
      <c r="AD485" s="16"/>
    </row>
    <row r="486" spans="29:30" ht="15.75" customHeight="1" x14ac:dyDescent="0.3">
      <c r="AC486" s="16"/>
      <c r="AD486" s="16"/>
    </row>
    <row r="487" spans="29:30" ht="15.75" customHeight="1" x14ac:dyDescent="0.3">
      <c r="AC487" s="16"/>
      <c r="AD487" s="16"/>
    </row>
    <row r="488" spans="29:30" ht="15.75" customHeight="1" x14ac:dyDescent="0.3">
      <c r="AC488" s="16"/>
      <c r="AD488" s="16"/>
    </row>
    <row r="489" spans="29:30" ht="15.75" customHeight="1" x14ac:dyDescent="0.3">
      <c r="AC489" s="16"/>
      <c r="AD489" s="16"/>
    </row>
    <row r="490" spans="29:30" ht="15.75" customHeight="1" x14ac:dyDescent="0.3">
      <c r="AC490" s="16"/>
      <c r="AD490" s="16"/>
    </row>
    <row r="491" spans="29:30" ht="15.75" customHeight="1" x14ac:dyDescent="0.3">
      <c r="AC491" s="16"/>
      <c r="AD491" s="16"/>
    </row>
    <row r="492" spans="29:30" ht="15.75" customHeight="1" x14ac:dyDescent="0.3">
      <c r="AC492" s="16"/>
      <c r="AD492" s="16"/>
    </row>
    <row r="493" spans="29:30" ht="15.75" customHeight="1" x14ac:dyDescent="0.3">
      <c r="AC493" s="16"/>
      <c r="AD493" s="16"/>
    </row>
    <row r="494" spans="29:30" ht="15.75" customHeight="1" x14ac:dyDescent="0.3">
      <c r="AC494" s="16"/>
      <c r="AD494" s="16"/>
    </row>
    <row r="495" spans="29:30" ht="15.75" customHeight="1" x14ac:dyDescent="0.3">
      <c r="AC495" s="16"/>
      <c r="AD495" s="16"/>
    </row>
    <row r="496" spans="29:30" ht="15.75" customHeight="1" x14ac:dyDescent="0.3">
      <c r="AC496" s="16"/>
      <c r="AD496" s="16"/>
    </row>
    <row r="497" spans="29:30" ht="15.75" customHeight="1" x14ac:dyDescent="0.3">
      <c r="AC497" s="16"/>
      <c r="AD497" s="16"/>
    </row>
    <row r="498" spans="29:30" ht="15.75" customHeight="1" x14ac:dyDescent="0.3">
      <c r="AC498" s="16"/>
      <c r="AD498" s="16"/>
    </row>
    <row r="499" spans="29:30" ht="15.75" customHeight="1" x14ac:dyDescent="0.3">
      <c r="AC499" s="16"/>
      <c r="AD499" s="16"/>
    </row>
    <row r="500" spans="29:30" ht="15.75" customHeight="1" x14ac:dyDescent="0.3">
      <c r="AC500" s="16"/>
      <c r="AD500" s="16"/>
    </row>
    <row r="501" spans="29:30" ht="15.75" customHeight="1" x14ac:dyDescent="0.3">
      <c r="AC501" s="16"/>
      <c r="AD501" s="16"/>
    </row>
    <row r="502" spans="29:30" ht="15.75" customHeight="1" x14ac:dyDescent="0.3">
      <c r="AC502" s="16"/>
      <c r="AD502" s="16"/>
    </row>
    <row r="503" spans="29:30" ht="15.75" customHeight="1" x14ac:dyDescent="0.3">
      <c r="AC503" s="16"/>
      <c r="AD503" s="16"/>
    </row>
    <row r="504" spans="29:30" ht="15.75" customHeight="1" x14ac:dyDescent="0.3">
      <c r="AC504" s="16"/>
      <c r="AD504" s="16"/>
    </row>
    <row r="505" spans="29:30" ht="15.75" customHeight="1" x14ac:dyDescent="0.3">
      <c r="AC505" s="16"/>
      <c r="AD505" s="16"/>
    </row>
    <row r="506" spans="29:30" ht="15.75" customHeight="1" x14ac:dyDescent="0.3">
      <c r="AC506" s="16"/>
      <c r="AD506" s="16"/>
    </row>
    <row r="507" spans="29:30" ht="15.75" customHeight="1" x14ac:dyDescent="0.3">
      <c r="AC507" s="16"/>
      <c r="AD507" s="16"/>
    </row>
    <row r="508" spans="29:30" ht="15.75" customHeight="1" x14ac:dyDescent="0.3">
      <c r="AC508" s="16"/>
      <c r="AD508" s="16"/>
    </row>
    <row r="509" spans="29:30" ht="15.75" customHeight="1" x14ac:dyDescent="0.3">
      <c r="AC509" s="16"/>
      <c r="AD509" s="16"/>
    </row>
    <row r="510" spans="29:30" ht="15.75" customHeight="1" x14ac:dyDescent="0.3">
      <c r="AC510" s="16"/>
      <c r="AD510" s="16"/>
    </row>
    <row r="511" spans="29:30" ht="15.75" customHeight="1" x14ac:dyDescent="0.3">
      <c r="AC511" s="16"/>
      <c r="AD511" s="16"/>
    </row>
    <row r="512" spans="29:30" ht="15.75" customHeight="1" x14ac:dyDescent="0.3">
      <c r="AC512" s="16"/>
      <c r="AD512" s="16"/>
    </row>
    <row r="513" spans="29:30" ht="15.75" customHeight="1" x14ac:dyDescent="0.3">
      <c r="AC513" s="16"/>
      <c r="AD513" s="16"/>
    </row>
    <row r="514" spans="29:30" ht="15.75" customHeight="1" x14ac:dyDescent="0.3">
      <c r="AC514" s="16"/>
      <c r="AD514" s="16"/>
    </row>
    <row r="515" spans="29:30" ht="15.75" customHeight="1" x14ac:dyDescent="0.3">
      <c r="AC515" s="16"/>
      <c r="AD515" s="16"/>
    </row>
    <row r="516" spans="29:30" ht="15.75" customHeight="1" x14ac:dyDescent="0.3">
      <c r="AC516" s="16"/>
      <c r="AD516" s="16"/>
    </row>
    <row r="517" spans="29:30" ht="15.75" customHeight="1" x14ac:dyDescent="0.3">
      <c r="AC517" s="16"/>
      <c r="AD517" s="16"/>
    </row>
    <row r="518" spans="29:30" ht="15.75" customHeight="1" x14ac:dyDescent="0.3">
      <c r="AC518" s="16"/>
      <c r="AD518" s="16"/>
    </row>
    <row r="519" spans="29:30" ht="15.75" customHeight="1" x14ac:dyDescent="0.3">
      <c r="AC519" s="16"/>
      <c r="AD519" s="16"/>
    </row>
    <row r="520" spans="29:30" ht="15.75" customHeight="1" x14ac:dyDescent="0.3">
      <c r="AC520" s="16"/>
      <c r="AD520" s="16"/>
    </row>
    <row r="521" spans="29:30" ht="15.75" customHeight="1" x14ac:dyDescent="0.3">
      <c r="AC521" s="16"/>
      <c r="AD521" s="16"/>
    </row>
    <row r="522" spans="29:30" ht="15.75" customHeight="1" x14ac:dyDescent="0.3">
      <c r="AC522" s="16"/>
      <c r="AD522" s="16"/>
    </row>
    <row r="523" spans="29:30" ht="15.75" customHeight="1" x14ac:dyDescent="0.3">
      <c r="AC523" s="16"/>
      <c r="AD523" s="16"/>
    </row>
    <row r="524" spans="29:30" ht="15.75" customHeight="1" x14ac:dyDescent="0.3">
      <c r="AC524" s="16"/>
      <c r="AD524" s="16"/>
    </row>
    <row r="525" spans="29:30" ht="15.75" customHeight="1" x14ac:dyDescent="0.3">
      <c r="AC525" s="16"/>
      <c r="AD525" s="16"/>
    </row>
    <row r="526" spans="29:30" ht="15.75" customHeight="1" x14ac:dyDescent="0.3">
      <c r="AC526" s="16"/>
      <c r="AD526" s="16"/>
    </row>
    <row r="527" spans="29:30" ht="15.75" customHeight="1" x14ac:dyDescent="0.3">
      <c r="AC527" s="16"/>
      <c r="AD527" s="16"/>
    </row>
    <row r="528" spans="29:30" ht="15.75" customHeight="1" x14ac:dyDescent="0.3">
      <c r="AC528" s="16"/>
      <c r="AD528" s="16"/>
    </row>
    <row r="529" spans="29:30" ht="15.75" customHeight="1" x14ac:dyDescent="0.3">
      <c r="AC529" s="16"/>
      <c r="AD529" s="16"/>
    </row>
    <row r="530" spans="29:30" ht="15.75" customHeight="1" x14ac:dyDescent="0.3">
      <c r="AC530" s="16"/>
      <c r="AD530" s="16"/>
    </row>
    <row r="531" spans="29:30" ht="15.75" customHeight="1" x14ac:dyDescent="0.3">
      <c r="AC531" s="16"/>
      <c r="AD531" s="16"/>
    </row>
    <row r="532" spans="29:30" ht="15.75" customHeight="1" x14ac:dyDescent="0.3">
      <c r="AC532" s="16"/>
      <c r="AD532" s="16"/>
    </row>
    <row r="533" spans="29:30" ht="15.75" customHeight="1" x14ac:dyDescent="0.3">
      <c r="AC533" s="16"/>
      <c r="AD533" s="16"/>
    </row>
    <row r="534" spans="29:30" ht="15.75" customHeight="1" x14ac:dyDescent="0.3">
      <c r="AC534" s="16"/>
      <c r="AD534" s="16"/>
    </row>
    <row r="535" spans="29:30" ht="15.75" customHeight="1" x14ac:dyDescent="0.3">
      <c r="AC535" s="16"/>
      <c r="AD535" s="16"/>
    </row>
    <row r="536" spans="29:30" ht="15.75" customHeight="1" x14ac:dyDescent="0.3">
      <c r="AC536" s="16"/>
      <c r="AD536" s="16"/>
    </row>
    <row r="537" spans="29:30" ht="15.75" customHeight="1" x14ac:dyDescent="0.3">
      <c r="AC537" s="16"/>
      <c r="AD537" s="16"/>
    </row>
    <row r="538" spans="29:30" ht="15.75" customHeight="1" x14ac:dyDescent="0.3">
      <c r="AC538" s="16"/>
      <c r="AD538" s="16"/>
    </row>
    <row r="539" spans="29:30" ht="15.75" customHeight="1" x14ac:dyDescent="0.3">
      <c r="AC539" s="16"/>
      <c r="AD539" s="16"/>
    </row>
    <row r="540" spans="29:30" ht="15.75" customHeight="1" x14ac:dyDescent="0.3">
      <c r="AC540" s="16"/>
      <c r="AD540" s="16"/>
    </row>
    <row r="541" spans="29:30" ht="15.75" customHeight="1" x14ac:dyDescent="0.3">
      <c r="AC541" s="16"/>
      <c r="AD541" s="16"/>
    </row>
    <row r="542" spans="29:30" ht="15.75" customHeight="1" x14ac:dyDescent="0.3">
      <c r="AC542" s="16"/>
      <c r="AD542" s="16"/>
    </row>
    <row r="543" spans="29:30" ht="15.75" customHeight="1" x14ac:dyDescent="0.3">
      <c r="AC543" s="16"/>
      <c r="AD543" s="16"/>
    </row>
    <row r="544" spans="29:30" ht="15.75" customHeight="1" x14ac:dyDescent="0.3">
      <c r="AC544" s="16"/>
      <c r="AD544" s="16"/>
    </row>
    <row r="545" spans="29:30" ht="15.75" customHeight="1" x14ac:dyDescent="0.3">
      <c r="AC545" s="16"/>
      <c r="AD545" s="16"/>
    </row>
    <row r="546" spans="29:30" ht="15.75" customHeight="1" x14ac:dyDescent="0.3">
      <c r="AC546" s="16"/>
      <c r="AD546" s="16"/>
    </row>
    <row r="547" spans="29:30" ht="15.75" customHeight="1" x14ac:dyDescent="0.3">
      <c r="AC547" s="16"/>
      <c r="AD547" s="16"/>
    </row>
    <row r="548" spans="29:30" ht="15.75" customHeight="1" x14ac:dyDescent="0.3">
      <c r="AC548" s="16"/>
      <c r="AD548" s="16"/>
    </row>
    <row r="549" spans="29:30" ht="15.75" customHeight="1" x14ac:dyDescent="0.3">
      <c r="AC549" s="16"/>
      <c r="AD549" s="16"/>
    </row>
    <row r="550" spans="29:30" ht="15.75" customHeight="1" x14ac:dyDescent="0.3">
      <c r="AC550" s="16"/>
      <c r="AD550" s="16"/>
    </row>
    <row r="551" spans="29:30" ht="15.75" customHeight="1" x14ac:dyDescent="0.3">
      <c r="AC551" s="16"/>
      <c r="AD551" s="16"/>
    </row>
    <row r="552" spans="29:30" ht="15.75" customHeight="1" x14ac:dyDescent="0.3">
      <c r="AC552" s="16"/>
      <c r="AD552" s="16"/>
    </row>
    <row r="553" spans="29:30" ht="15.75" customHeight="1" x14ac:dyDescent="0.3">
      <c r="AC553" s="16"/>
      <c r="AD553" s="16"/>
    </row>
    <row r="554" spans="29:30" ht="15.75" customHeight="1" x14ac:dyDescent="0.3">
      <c r="AC554" s="16"/>
      <c r="AD554" s="16"/>
    </row>
    <row r="555" spans="29:30" ht="15.75" customHeight="1" x14ac:dyDescent="0.3">
      <c r="AC555" s="16"/>
      <c r="AD555" s="16"/>
    </row>
    <row r="556" spans="29:30" ht="15.75" customHeight="1" x14ac:dyDescent="0.3">
      <c r="AC556" s="16"/>
      <c r="AD556" s="16"/>
    </row>
    <row r="557" spans="29:30" ht="15.75" customHeight="1" x14ac:dyDescent="0.3">
      <c r="AC557" s="16"/>
      <c r="AD557" s="16"/>
    </row>
    <row r="558" spans="29:30" ht="15.75" customHeight="1" x14ac:dyDescent="0.3">
      <c r="AC558" s="16"/>
      <c r="AD558" s="16"/>
    </row>
    <row r="559" spans="29:30" ht="15.75" customHeight="1" x14ac:dyDescent="0.3">
      <c r="AC559" s="16"/>
      <c r="AD559" s="16"/>
    </row>
    <row r="560" spans="29:30" ht="15.75" customHeight="1" x14ac:dyDescent="0.3">
      <c r="AC560" s="16"/>
      <c r="AD560" s="16"/>
    </row>
    <row r="561" spans="29:30" ht="15.75" customHeight="1" x14ac:dyDescent="0.3">
      <c r="AC561" s="16"/>
      <c r="AD561" s="16"/>
    </row>
    <row r="562" spans="29:30" ht="15.75" customHeight="1" x14ac:dyDescent="0.3">
      <c r="AC562" s="16"/>
      <c r="AD562" s="16"/>
    </row>
    <row r="563" spans="29:30" ht="15.75" customHeight="1" x14ac:dyDescent="0.3">
      <c r="AC563" s="16"/>
      <c r="AD563" s="16"/>
    </row>
    <row r="564" spans="29:30" ht="15.75" customHeight="1" x14ac:dyDescent="0.3">
      <c r="AC564" s="16"/>
      <c r="AD564" s="16"/>
    </row>
    <row r="565" spans="29:30" ht="15.75" customHeight="1" x14ac:dyDescent="0.3">
      <c r="AC565" s="16"/>
      <c r="AD565" s="16"/>
    </row>
    <row r="566" spans="29:30" ht="15.75" customHeight="1" x14ac:dyDescent="0.3">
      <c r="AC566" s="16"/>
      <c r="AD566" s="16"/>
    </row>
    <row r="567" spans="29:30" ht="15.75" customHeight="1" x14ac:dyDescent="0.3">
      <c r="AC567" s="16"/>
      <c r="AD567" s="16"/>
    </row>
    <row r="568" spans="29:30" ht="15.75" customHeight="1" x14ac:dyDescent="0.3">
      <c r="AC568" s="16"/>
      <c r="AD568" s="16"/>
    </row>
    <row r="569" spans="29:30" ht="15.75" customHeight="1" x14ac:dyDescent="0.3">
      <c r="AC569" s="16"/>
      <c r="AD569" s="16"/>
    </row>
    <row r="570" spans="29:30" ht="15.75" customHeight="1" x14ac:dyDescent="0.3">
      <c r="AC570" s="16"/>
      <c r="AD570" s="16"/>
    </row>
    <row r="571" spans="29:30" ht="15.75" customHeight="1" x14ac:dyDescent="0.3">
      <c r="AC571" s="16"/>
      <c r="AD571" s="16"/>
    </row>
    <row r="572" spans="29:30" ht="15.75" customHeight="1" x14ac:dyDescent="0.3">
      <c r="AC572" s="16"/>
      <c r="AD572" s="16"/>
    </row>
    <row r="573" spans="29:30" ht="15.75" customHeight="1" x14ac:dyDescent="0.3">
      <c r="AC573" s="16"/>
      <c r="AD573" s="16"/>
    </row>
    <row r="574" spans="29:30" ht="15.75" customHeight="1" x14ac:dyDescent="0.3">
      <c r="AC574" s="16"/>
      <c r="AD574" s="16"/>
    </row>
    <row r="575" spans="29:30" ht="15.75" customHeight="1" x14ac:dyDescent="0.3">
      <c r="AC575" s="16"/>
      <c r="AD575" s="16"/>
    </row>
    <row r="576" spans="29:30" ht="15.75" customHeight="1" x14ac:dyDescent="0.3">
      <c r="AC576" s="16"/>
      <c r="AD576" s="16"/>
    </row>
    <row r="577" spans="29:30" ht="15.75" customHeight="1" x14ac:dyDescent="0.3">
      <c r="AC577" s="16"/>
      <c r="AD577" s="16"/>
    </row>
    <row r="578" spans="29:30" ht="15.75" customHeight="1" x14ac:dyDescent="0.3">
      <c r="AC578" s="16"/>
      <c r="AD578" s="16"/>
    </row>
    <row r="579" spans="29:30" ht="15.75" customHeight="1" x14ac:dyDescent="0.3">
      <c r="AC579" s="16"/>
      <c r="AD579" s="16"/>
    </row>
    <row r="580" spans="29:30" ht="15.75" customHeight="1" x14ac:dyDescent="0.3">
      <c r="AC580" s="16"/>
      <c r="AD580" s="16"/>
    </row>
    <row r="581" spans="29:30" ht="15.75" customHeight="1" x14ac:dyDescent="0.3">
      <c r="AC581" s="16"/>
      <c r="AD581" s="16"/>
    </row>
    <row r="582" spans="29:30" ht="15.75" customHeight="1" x14ac:dyDescent="0.3">
      <c r="AC582" s="16"/>
      <c r="AD582" s="16"/>
    </row>
    <row r="583" spans="29:30" ht="15.75" customHeight="1" x14ac:dyDescent="0.3">
      <c r="AC583" s="16"/>
      <c r="AD583" s="16"/>
    </row>
    <row r="584" spans="29:30" ht="15.75" customHeight="1" x14ac:dyDescent="0.3">
      <c r="AC584" s="16"/>
      <c r="AD584" s="16"/>
    </row>
    <row r="585" spans="29:30" ht="15.75" customHeight="1" x14ac:dyDescent="0.3">
      <c r="AC585" s="16"/>
      <c r="AD585" s="16"/>
    </row>
    <row r="586" spans="29:30" ht="15.75" customHeight="1" x14ac:dyDescent="0.3">
      <c r="AC586" s="16"/>
      <c r="AD586" s="16"/>
    </row>
    <row r="587" spans="29:30" ht="15.75" customHeight="1" x14ac:dyDescent="0.3">
      <c r="AC587" s="16"/>
      <c r="AD587" s="16"/>
    </row>
    <row r="588" spans="29:30" ht="15.75" customHeight="1" x14ac:dyDescent="0.3">
      <c r="AC588" s="16"/>
      <c r="AD588" s="16"/>
    </row>
    <row r="589" spans="29:30" ht="15.75" customHeight="1" x14ac:dyDescent="0.3">
      <c r="AC589" s="16"/>
      <c r="AD589" s="16"/>
    </row>
    <row r="590" spans="29:30" ht="15.75" customHeight="1" x14ac:dyDescent="0.3">
      <c r="AC590" s="16"/>
      <c r="AD590" s="16"/>
    </row>
    <row r="591" spans="29:30" ht="15.75" customHeight="1" x14ac:dyDescent="0.3">
      <c r="AC591" s="16"/>
      <c r="AD591" s="16"/>
    </row>
    <row r="592" spans="29:30" ht="15.75" customHeight="1" x14ac:dyDescent="0.3">
      <c r="AC592" s="16"/>
      <c r="AD592" s="16"/>
    </row>
    <row r="593" spans="29:30" ht="15.75" customHeight="1" x14ac:dyDescent="0.3">
      <c r="AC593" s="16"/>
      <c r="AD593" s="16"/>
    </row>
    <row r="594" spans="29:30" ht="15.75" customHeight="1" x14ac:dyDescent="0.3">
      <c r="AC594" s="16"/>
      <c r="AD594" s="16"/>
    </row>
    <row r="595" spans="29:30" ht="15.75" customHeight="1" x14ac:dyDescent="0.3">
      <c r="AC595" s="16"/>
      <c r="AD595" s="16"/>
    </row>
    <row r="596" spans="29:30" ht="15.75" customHeight="1" x14ac:dyDescent="0.3">
      <c r="AC596" s="16"/>
      <c r="AD596" s="16"/>
    </row>
    <row r="597" spans="29:30" ht="15.75" customHeight="1" x14ac:dyDescent="0.3">
      <c r="AC597" s="16"/>
      <c r="AD597" s="16"/>
    </row>
    <row r="598" spans="29:30" ht="15.75" customHeight="1" x14ac:dyDescent="0.3">
      <c r="AC598" s="16"/>
      <c r="AD598" s="16"/>
    </row>
    <row r="599" spans="29:30" ht="15.75" customHeight="1" x14ac:dyDescent="0.3">
      <c r="AC599" s="16"/>
      <c r="AD599" s="16"/>
    </row>
    <row r="600" spans="29:30" ht="15.75" customHeight="1" x14ac:dyDescent="0.3">
      <c r="AC600" s="16"/>
      <c r="AD600" s="16"/>
    </row>
    <row r="601" spans="29:30" ht="15.75" customHeight="1" x14ac:dyDescent="0.3">
      <c r="AC601" s="16"/>
      <c r="AD601" s="16"/>
    </row>
    <row r="602" spans="29:30" ht="15.75" customHeight="1" x14ac:dyDescent="0.3">
      <c r="AC602" s="16"/>
      <c r="AD602" s="16"/>
    </row>
    <row r="603" spans="29:30" ht="15.75" customHeight="1" x14ac:dyDescent="0.3">
      <c r="AC603" s="16"/>
      <c r="AD603" s="16"/>
    </row>
    <row r="604" spans="29:30" ht="15.75" customHeight="1" x14ac:dyDescent="0.3">
      <c r="AC604" s="16"/>
      <c r="AD604" s="16"/>
    </row>
    <row r="605" spans="29:30" ht="15.75" customHeight="1" x14ac:dyDescent="0.3">
      <c r="AC605" s="16"/>
      <c r="AD605" s="16"/>
    </row>
    <row r="606" spans="29:30" ht="15.75" customHeight="1" x14ac:dyDescent="0.3">
      <c r="AC606" s="16"/>
      <c r="AD606" s="16"/>
    </row>
    <row r="607" spans="29:30" ht="15.75" customHeight="1" x14ac:dyDescent="0.3">
      <c r="AC607" s="16"/>
      <c r="AD607" s="16"/>
    </row>
    <row r="608" spans="29:30" ht="15.75" customHeight="1" x14ac:dyDescent="0.3">
      <c r="AC608" s="16"/>
      <c r="AD608" s="16"/>
    </row>
    <row r="609" spans="29:30" ht="15.75" customHeight="1" x14ac:dyDescent="0.3">
      <c r="AC609" s="16"/>
      <c r="AD609" s="16"/>
    </row>
    <row r="610" spans="29:30" ht="15.75" customHeight="1" x14ac:dyDescent="0.3">
      <c r="AC610" s="16"/>
      <c r="AD610" s="16"/>
    </row>
    <row r="611" spans="29:30" ht="15.75" customHeight="1" x14ac:dyDescent="0.3">
      <c r="AC611" s="16"/>
      <c r="AD611" s="16"/>
    </row>
    <row r="612" spans="29:30" ht="15.75" customHeight="1" x14ac:dyDescent="0.3">
      <c r="AC612" s="16"/>
      <c r="AD612" s="16"/>
    </row>
    <row r="613" spans="29:30" ht="15.75" customHeight="1" x14ac:dyDescent="0.3">
      <c r="AC613" s="16"/>
      <c r="AD613" s="16"/>
    </row>
    <row r="614" spans="29:30" ht="15.75" customHeight="1" x14ac:dyDescent="0.3">
      <c r="AC614" s="16"/>
      <c r="AD614" s="16"/>
    </row>
    <row r="615" spans="29:30" ht="15.75" customHeight="1" x14ac:dyDescent="0.3">
      <c r="AC615" s="16"/>
      <c r="AD615" s="16"/>
    </row>
    <row r="616" spans="29:30" ht="15.75" customHeight="1" x14ac:dyDescent="0.3">
      <c r="AC616" s="16"/>
      <c r="AD616" s="16"/>
    </row>
    <row r="617" spans="29:30" ht="15.75" customHeight="1" x14ac:dyDescent="0.3">
      <c r="AC617" s="16"/>
      <c r="AD617" s="16"/>
    </row>
    <row r="618" spans="29:30" ht="15.75" customHeight="1" x14ac:dyDescent="0.3">
      <c r="AC618" s="16"/>
      <c r="AD618" s="16"/>
    </row>
    <row r="619" spans="29:30" ht="15.75" customHeight="1" x14ac:dyDescent="0.3">
      <c r="AC619" s="16"/>
      <c r="AD619" s="16"/>
    </row>
    <row r="620" spans="29:30" ht="15.75" customHeight="1" x14ac:dyDescent="0.3">
      <c r="AC620" s="16"/>
      <c r="AD620" s="16"/>
    </row>
    <row r="621" spans="29:30" ht="15.75" customHeight="1" x14ac:dyDescent="0.3">
      <c r="AC621" s="16"/>
      <c r="AD621" s="16"/>
    </row>
    <row r="622" spans="29:30" ht="15.75" customHeight="1" x14ac:dyDescent="0.3">
      <c r="AC622" s="16"/>
      <c r="AD622" s="16"/>
    </row>
    <row r="623" spans="29:30" ht="15.75" customHeight="1" x14ac:dyDescent="0.3">
      <c r="AC623" s="16"/>
      <c r="AD623" s="16"/>
    </row>
    <row r="624" spans="29:30" ht="15.75" customHeight="1" x14ac:dyDescent="0.3">
      <c r="AC624" s="16"/>
      <c r="AD624" s="16"/>
    </row>
    <row r="625" spans="29:30" ht="15.75" customHeight="1" x14ac:dyDescent="0.3">
      <c r="AC625" s="16"/>
      <c r="AD625" s="16"/>
    </row>
    <row r="626" spans="29:30" ht="15.75" customHeight="1" x14ac:dyDescent="0.3">
      <c r="AC626" s="16"/>
      <c r="AD626" s="16"/>
    </row>
    <row r="627" spans="29:30" ht="15.75" customHeight="1" x14ac:dyDescent="0.3">
      <c r="AC627" s="16"/>
      <c r="AD627" s="16"/>
    </row>
    <row r="628" spans="29:30" ht="15.75" customHeight="1" x14ac:dyDescent="0.3">
      <c r="AC628" s="16"/>
      <c r="AD628" s="16"/>
    </row>
    <row r="629" spans="29:30" ht="15.75" customHeight="1" x14ac:dyDescent="0.3">
      <c r="AC629" s="16"/>
      <c r="AD629" s="16"/>
    </row>
    <row r="630" spans="29:30" ht="15.75" customHeight="1" x14ac:dyDescent="0.3">
      <c r="AC630" s="16"/>
      <c r="AD630" s="16"/>
    </row>
    <row r="631" spans="29:30" ht="15.75" customHeight="1" x14ac:dyDescent="0.3">
      <c r="AC631" s="16"/>
      <c r="AD631" s="16"/>
    </row>
    <row r="632" spans="29:30" ht="15.75" customHeight="1" x14ac:dyDescent="0.3">
      <c r="AC632" s="16"/>
      <c r="AD632" s="16"/>
    </row>
    <row r="633" spans="29:30" ht="15.75" customHeight="1" x14ac:dyDescent="0.3">
      <c r="AC633" s="16"/>
      <c r="AD633" s="16"/>
    </row>
    <row r="634" spans="29:30" ht="15.75" customHeight="1" x14ac:dyDescent="0.3">
      <c r="AC634" s="16"/>
      <c r="AD634" s="16"/>
    </row>
    <row r="635" spans="29:30" ht="15.75" customHeight="1" x14ac:dyDescent="0.3">
      <c r="AC635" s="16"/>
      <c r="AD635" s="16"/>
    </row>
    <row r="636" spans="29:30" ht="15.75" customHeight="1" x14ac:dyDescent="0.3">
      <c r="AC636" s="16"/>
      <c r="AD636" s="16"/>
    </row>
    <row r="637" spans="29:30" ht="15.75" customHeight="1" x14ac:dyDescent="0.3">
      <c r="AC637" s="16"/>
      <c r="AD637" s="16"/>
    </row>
    <row r="638" spans="29:30" ht="15.75" customHeight="1" x14ac:dyDescent="0.3">
      <c r="AC638" s="16"/>
      <c r="AD638" s="16"/>
    </row>
    <row r="639" spans="29:30" ht="15.75" customHeight="1" x14ac:dyDescent="0.3">
      <c r="AC639" s="16"/>
      <c r="AD639" s="16"/>
    </row>
    <row r="640" spans="29:30" ht="15.75" customHeight="1" x14ac:dyDescent="0.3">
      <c r="AC640" s="16"/>
      <c r="AD640" s="16"/>
    </row>
    <row r="641" spans="29:30" ht="15.75" customHeight="1" x14ac:dyDescent="0.3">
      <c r="AC641" s="16"/>
      <c r="AD641" s="16"/>
    </row>
    <row r="642" spans="29:30" ht="15.75" customHeight="1" x14ac:dyDescent="0.3">
      <c r="AC642" s="16"/>
      <c r="AD642" s="16"/>
    </row>
    <row r="643" spans="29:30" ht="15.75" customHeight="1" x14ac:dyDescent="0.3">
      <c r="AC643" s="16"/>
      <c r="AD643" s="16"/>
    </row>
    <row r="644" spans="29:30" ht="15.75" customHeight="1" x14ac:dyDescent="0.3">
      <c r="AC644" s="16"/>
      <c r="AD644" s="16"/>
    </row>
    <row r="645" spans="29:30" ht="15.75" customHeight="1" x14ac:dyDescent="0.3">
      <c r="AC645" s="16"/>
      <c r="AD645" s="16"/>
    </row>
    <row r="646" spans="29:30" ht="15.75" customHeight="1" x14ac:dyDescent="0.3">
      <c r="AC646" s="16"/>
      <c r="AD646" s="16"/>
    </row>
    <row r="647" spans="29:30" ht="15.75" customHeight="1" x14ac:dyDescent="0.3">
      <c r="AC647" s="16"/>
      <c r="AD647" s="16"/>
    </row>
    <row r="648" spans="29:30" ht="15.75" customHeight="1" x14ac:dyDescent="0.3">
      <c r="AC648" s="16"/>
      <c r="AD648" s="16"/>
    </row>
    <row r="649" spans="29:30" ht="15.75" customHeight="1" x14ac:dyDescent="0.3">
      <c r="AC649" s="16"/>
      <c r="AD649" s="16"/>
    </row>
    <row r="650" spans="29:30" ht="15.75" customHeight="1" x14ac:dyDescent="0.3">
      <c r="AC650" s="16"/>
      <c r="AD650" s="16"/>
    </row>
    <row r="651" spans="29:30" ht="15.75" customHeight="1" x14ac:dyDescent="0.3">
      <c r="AC651" s="16"/>
      <c r="AD651" s="16"/>
    </row>
    <row r="652" spans="29:30" ht="15.75" customHeight="1" x14ac:dyDescent="0.3">
      <c r="AC652" s="16"/>
      <c r="AD652" s="16"/>
    </row>
    <row r="653" spans="29:30" ht="15.75" customHeight="1" x14ac:dyDescent="0.3">
      <c r="AC653" s="16"/>
      <c r="AD653" s="16"/>
    </row>
    <row r="654" spans="29:30" ht="15.75" customHeight="1" x14ac:dyDescent="0.3">
      <c r="AC654" s="16"/>
      <c r="AD654" s="16"/>
    </row>
    <row r="655" spans="29:30" ht="15.75" customHeight="1" x14ac:dyDescent="0.3">
      <c r="AC655" s="16"/>
      <c r="AD655" s="16"/>
    </row>
    <row r="656" spans="29:30" ht="15.75" customHeight="1" x14ac:dyDescent="0.3">
      <c r="AC656" s="16"/>
      <c r="AD656" s="16"/>
    </row>
    <row r="657" spans="29:30" ht="15.75" customHeight="1" x14ac:dyDescent="0.3">
      <c r="AC657" s="16"/>
      <c r="AD657" s="16"/>
    </row>
    <row r="658" spans="29:30" ht="15.75" customHeight="1" x14ac:dyDescent="0.3">
      <c r="AC658" s="16"/>
      <c r="AD658" s="16"/>
    </row>
    <row r="659" spans="29:30" ht="15.75" customHeight="1" x14ac:dyDescent="0.3">
      <c r="AC659" s="16"/>
      <c r="AD659" s="16"/>
    </row>
    <row r="660" spans="29:30" ht="15.75" customHeight="1" x14ac:dyDescent="0.3">
      <c r="AC660" s="16"/>
      <c r="AD660" s="16"/>
    </row>
    <row r="661" spans="29:30" ht="15.75" customHeight="1" x14ac:dyDescent="0.3">
      <c r="AC661" s="16"/>
      <c r="AD661" s="16"/>
    </row>
    <row r="662" spans="29:30" ht="15.75" customHeight="1" x14ac:dyDescent="0.3">
      <c r="AC662" s="16"/>
      <c r="AD662" s="16"/>
    </row>
    <row r="663" spans="29:30" ht="15.75" customHeight="1" x14ac:dyDescent="0.3">
      <c r="AC663" s="16"/>
      <c r="AD663" s="16"/>
    </row>
    <row r="664" spans="29:30" ht="15.75" customHeight="1" x14ac:dyDescent="0.3">
      <c r="AC664" s="16"/>
      <c r="AD664" s="16"/>
    </row>
    <row r="665" spans="29:30" ht="15.75" customHeight="1" x14ac:dyDescent="0.3">
      <c r="AC665" s="16"/>
      <c r="AD665" s="16"/>
    </row>
    <row r="666" spans="29:30" ht="15.75" customHeight="1" x14ac:dyDescent="0.3">
      <c r="AC666" s="16"/>
      <c r="AD666" s="16"/>
    </row>
    <row r="667" spans="29:30" ht="15.75" customHeight="1" x14ac:dyDescent="0.3">
      <c r="AC667" s="16"/>
      <c r="AD667" s="16"/>
    </row>
    <row r="668" spans="29:30" ht="15.75" customHeight="1" x14ac:dyDescent="0.3">
      <c r="AC668" s="16"/>
      <c r="AD668" s="16"/>
    </row>
    <row r="669" spans="29:30" ht="15.75" customHeight="1" x14ac:dyDescent="0.3">
      <c r="AC669" s="16"/>
      <c r="AD669" s="16"/>
    </row>
    <row r="670" spans="29:30" ht="15.75" customHeight="1" x14ac:dyDescent="0.3">
      <c r="AC670" s="16"/>
      <c r="AD670" s="16"/>
    </row>
    <row r="671" spans="29:30" ht="15.75" customHeight="1" x14ac:dyDescent="0.3">
      <c r="AC671" s="16"/>
      <c r="AD671" s="16"/>
    </row>
    <row r="672" spans="29:30" ht="15.75" customHeight="1" x14ac:dyDescent="0.3">
      <c r="AC672" s="16"/>
      <c r="AD672" s="16"/>
    </row>
    <row r="673" spans="29:30" ht="15.75" customHeight="1" x14ac:dyDescent="0.3">
      <c r="AC673" s="16"/>
      <c r="AD673" s="16"/>
    </row>
    <row r="674" spans="29:30" ht="15.75" customHeight="1" x14ac:dyDescent="0.3">
      <c r="AC674" s="16"/>
      <c r="AD674" s="16"/>
    </row>
    <row r="675" spans="29:30" ht="15.75" customHeight="1" x14ac:dyDescent="0.3">
      <c r="AC675" s="16"/>
      <c r="AD675" s="16"/>
    </row>
    <row r="676" spans="29:30" ht="15.75" customHeight="1" x14ac:dyDescent="0.3">
      <c r="AC676" s="16"/>
      <c r="AD676" s="16"/>
    </row>
    <row r="677" spans="29:30" ht="15.75" customHeight="1" x14ac:dyDescent="0.3">
      <c r="AC677" s="16"/>
      <c r="AD677" s="16"/>
    </row>
    <row r="678" spans="29:30" ht="15.75" customHeight="1" x14ac:dyDescent="0.3">
      <c r="AC678" s="16"/>
      <c r="AD678" s="16"/>
    </row>
    <row r="679" spans="29:30" ht="15.75" customHeight="1" x14ac:dyDescent="0.3">
      <c r="AC679" s="16"/>
      <c r="AD679" s="16"/>
    </row>
    <row r="680" spans="29:30" ht="15.75" customHeight="1" x14ac:dyDescent="0.3">
      <c r="AC680" s="16"/>
      <c r="AD680" s="16"/>
    </row>
    <row r="681" spans="29:30" ht="15.75" customHeight="1" x14ac:dyDescent="0.3">
      <c r="AC681" s="16"/>
      <c r="AD681" s="16"/>
    </row>
    <row r="682" spans="29:30" ht="15.75" customHeight="1" x14ac:dyDescent="0.3">
      <c r="AC682" s="16"/>
      <c r="AD682" s="16"/>
    </row>
    <row r="683" spans="29:30" ht="15.75" customHeight="1" x14ac:dyDescent="0.3">
      <c r="AC683" s="16"/>
      <c r="AD683" s="16"/>
    </row>
    <row r="684" spans="29:30" ht="15.75" customHeight="1" x14ac:dyDescent="0.3">
      <c r="AC684" s="16"/>
      <c r="AD684" s="16"/>
    </row>
    <row r="685" spans="29:30" ht="15.75" customHeight="1" x14ac:dyDescent="0.3">
      <c r="AC685" s="16"/>
      <c r="AD685" s="16"/>
    </row>
    <row r="686" spans="29:30" ht="15.75" customHeight="1" x14ac:dyDescent="0.3">
      <c r="AC686" s="16"/>
      <c r="AD686" s="16"/>
    </row>
    <row r="687" spans="29:30" ht="15.75" customHeight="1" x14ac:dyDescent="0.3">
      <c r="AC687" s="16"/>
      <c r="AD687" s="16"/>
    </row>
    <row r="688" spans="29:30" ht="15.75" customHeight="1" x14ac:dyDescent="0.3">
      <c r="AC688" s="16"/>
      <c r="AD688" s="16"/>
    </row>
    <row r="689" spans="29:30" ht="15.75" customHeight="1" x14ac:dyDescent="0.3">
      <c r="AC689" s="16"/>
      <c r="AD689" s="16"/>
    </row>
    <row r="690" spans="29:30" ht="15.75" customHeight="1" x14ac:dyDescent="0.3">
      <c r="AC690" s="16"/>
      <c r="AD690" s="16"/>
    </row>
    <row r="691" spans="29:30" ht="15.75" customHeight="1" x14ac:dyDescent="0.3">
      <c r="AC691" s="16"/>
      <c r="AD691" s="16"/>
    </row>
    <row r="692" spans="29:30" ht="15.75" customHeight="1" x14ac:dyDescent="0.3">
      <c r="AC692" s="16"/>
      <c r="AD692" s="16"/>
    </row>
    <row r="693" spans="29:30" ht="15.75" customHeight="1" x14ac:dyDescent="0.3">
      <c r="AC693" s="16"/>
      <c r="AD693" s="16"/>
    </row>
    <row r="694" spans="29:30" ht="15.75" customHeight="1" x14ac:dyDescent="0.3">
      <c r="AC694" s="16"/>
      <c r="AD694" s="16"/>
    </row>
    <row r="695" spans="29:30" ht="15.75" customHeight="1" x14ac:dyDescent="0.3">
      <c r="AC695" s="16"/>
      <c r="AD695" s="16"/>
    </row>
    <row r="696" spans="29:30" ht="15.75" customHeight="1" x14ac:dyDescent="0.3">
      <c r="AC696" s="16"/>
      <c r="AD696" s="16"/>
    </row>
    <row r="697" spans="29:30" ht="15.75" customHeight="1" x14ac:dyDescent="0.3">
      <c r="AC697" s="16"/>
      <c r="AD697" s="16"/>
    </row>
    <row r="698" spans="29:30" ht="15.75" customHeight="1" x14ac:dyDescent="0.3">
      <c r="AC698" s="16"/>
      <c r="AD698" s="16"/>
    </row>
    <row r="699" spans="29:30" ht="15.75" customHeight="1" x14ac:dyDescent="0.3">
      <c r="AC699" s="16"/>
      <c r="AD699" s="16"/>
    </row>
    <row r="700" spans="29:30" ht="15.75" customHeight="1" x14ac:dyDescent="0.3">
      <c r="AC700" s="16"/>
      <c r="AD700" s="16"/>
    </row>
    <row r="701" spans="29:30" ht="15.75" customHeight="1" x14ac:dyDescent="0.3">
      <c r="AC701" s="16"/>
      <c r="AD701" s="16"/>
    </row>
    <row r="702" spans="29:30" ht="15.75" customHeight="1" x14ac:dyDescent="0.3">
      <c r="AC702" s="16"/>
      <c r="AD702" s="16"/>
    </row>
    <row r="703" spans="29:30" ht="15.75" customHeight="1" x14ac:dyDescent="0.3">
      <c r="AC703" s="16"/>
      <c r="AD703" s="16"/>
    </row>
    <row r="704" spans="29:30" ht="15.75" customHeight="1" x14ac:dyDescent="0.3">
      <c r="AC704" s="16"/>
      <c r="AD704" s="16"/>
    </row>
    <row r="705" spans="29:30" ht="15.75" customHeight="1" x14ac:dyDescent="0.3">
      <c r="AC705" s="16"/>
      <c r="AD705" s="16"/>
    </row>
    <row r="706" spans="29:30" ht="15.75" customHeight="1" x14ac:dyDescent="0.3">
      <c r="AC706" s="16"/>
      <c r="AD706" s="16"/>
    </row>
    <row r="707" spans="29:30" ht="15.75" customHeight="1" x14ac:dyDescent="0.3">
      <c r="AC707" s="16"/>
      <c r="AD707" s="16"/>
    </row>
    <row r="708" spans="29:30" ht="15.75" customHeight="1" x14ac:dyDescent="0.3">
      <c r="AC708" s="16"/>
      <c r="AD708" s="16"/>
    </row>
    <row r="709" spans="29:30" ht="15.75" customHeight="1" x14ac:dyDescent="0.3">
      <c r="AC709" s="16"/>
      <c r="AD709" s="16"/>
    </row>
    <row r="710" spans="29:30" ht="15.75" customHeight="1" x14ac:dyDescent="0.3">
      <c r="AC710" s="16"/>
      <c r="AD710" s="16"/>
    </row>
    <row r="711" spans="29:30" ht="15.75" customHeight="1" x14ac:dyDescent="0.3">
      <c r="AC711" s="16"/>
      <c r="AD711" s="16"/>
    </row>
    <row r="712" spans="29:30" ht="15.75" customHeight="1" x14ac:dyDescent="0.3">
      <c r="AC712" s="16"/>
      <c r="AD712" s="16"/>
    </row>
    <row r="713" spans="29:30" ht="15.75" customHeight="1" x14ac:dyDescent="0.3">
      <c r="AC713" s="16"/>
      <c r="AD713" s="16"/>
    </row>
    <row r="714" spans="29:30" ht="15.75" customHeight="1" x14ac:dyDescent="0.3">
      <c r="AC714" s="16"/>
      <c r="AD714" s="16"/>
    </row>
    <row r="715" spans="29:30" ht="15.75" customHeight="1" x14ac:dyDescent="0.3">
      <c r="AC715" s="16"/>
      <c r="AD715" s="16"/>
    </row>
    <row r="716" spans="29:30" ht="15.75" customHeight="1" x14ac:dyDescent="0.3">
      <c r="AC716" s="16"/>
      <c r="AD716" s="16"/>
    </row>
    <row r="717" spans="29:30" ht="15.75" customHeight="1" x14ac:dyDescent="0.3">
      <c r="AC717" s="16"/>
      <c r="AD717" s="16"/>
    </row>
    <row r="718" spans="29:30" ht="15.75" customHeight="1" x14ac:dyDescent="0.3">
      <c r="AC718" s="16"/>
      <c r="AD718" s="16"/>
    </row>
    <row r="719" spans="29:30" ht="15.75" customHeight="1" x14ac:dyDescent="0.3">
      <c r="AC719" s="16"/>
      <c r="AD719" s="16"/>
    </row>
    <row r="720" spans="29:30" ht="15.75" customHeight="1" x14ac:dyDescent="0.3">
      <c r="AC720" s="16"/>
      <c r="AD720" s="16"/>
    </row>
    <row r="721" spans="29:30" ht="15.75" customHeight="1" x14ac:dyDescent="0.3">
      <c r="AC721" s="16"/>
      <c r="AD721" s="16"/>
    </row>
    <row r="722" spans="29:30" ht="15.75" customHeight="1" x14ac:dyDescent="0.3">
      <c r="AC722" s="16"/>
      <c r="AD722" s="16"/>
    </row>
    <row r="723" spans="29:30" ht="15.75" customHeight="1" x14ac:dyDescent="0.3">
      <c r="AC723" s="16"/>
      <c r="AD723" s="16"/>
    </row>
    <row r="724" spans="29:30" ht="15.75" customHeight="1" x14ac:dyDescent="0.3">
      <c r="AC724" s="16"/>
      <c r="AD724" s="16"/>
    </row>
    <row r="725" spans="29:30" ht="15.75" customHeight="1" x14ac:dyDescent="0.3">
      <c r="AC725" s="16"/>
      <c r="AD725" s="16"/>
    </row>
    <row r="726" spans="29:30" ht="15.75" customHeight="1" x14ac:dyDescent="0.3">
      <c r="AC726" s="16"/>
      <c r="AD726" s="16"/>
    </row>
    <row r="727" spans="29:30" ht="15.75" customHeight="1" x14ac:dyDescent="0.3">
      <c r="AC727" s="16"/>
      <c r="AD727" s="16"/>
    </row>
    <row r="728" spans="29:30" ht="15.75" customHeight="1" x14ac:dyDescent="0.3">
      <c r="AC728" s="16"/>
      <c r="AD728" s="16"/>
    </row>
    <row r="729" spans="29:30" ht="15.75" customHeight="1" x14ac:dyDescent="0.3">
      <c r="AC729" s="16"/>
      <c r="AD729" s="16"/>
    </row>
    <row r="730" spans="29:30" ht="15.75" customHeight="1" x14ac:dyDescent="0.3">
      <c r="AC730" s="16"/>
      <c r="AD730" s="16"/>
    </row>
    <row r="731" spans="29:30" ht="15.75" customHeight="1" x14ac:dyDescent="0.3">
      <c r="AC731" s="16"/>
      <c r="AD731" s="16"/>
    </row>
    <row r="732" spans="29:30" ht="15.75" customHeight="1" x14ac:dyDescent="0.3">
      <c r="AC732" s="16"/>
      <c r="AD732" s="16"/>
    </row>
    <row r="733" spans="29:30" ht="15.75" customHeight="1" x14ac:dyDescent="0.3">
      <c r="AC733" s="16"/>
      <c r="AD733" s="16"/>
    </row>
    <row r="734" spans="29:30" ht="15.75" customHeight="1" x14ac:dyDescent="0.3">
      <c r="AC734" s="16"/>
      <c r="AD734" s="16"/>
    </row>
    <row r="735" spans="29:30" ht="15.75" customHeight="1" x14ac:dyDescent="0.3">
      <c r="AC735" s="16"/>
      <c r="AD735" s="16"/>
    </row>
    <row r="736" spans="29:30" ht="15.75" customHeight="1" x14ac:dyDescent="0.3">
      <c r="AC736" s="16"/>
      <c r="AD736" s="16"/>
    </row>
    <row r="737" spans="29:30" ht="15.75" customHeight="1" x14ac:dyDescent="0.3">
      <c r="AC737" s="16"/>
      <c r="AD737" s="16"/>
    </row>
    <row r="738" spans="29:30" ht="15.75" customHeight="1" x14ac:dyDescent="0.3">
      <c r="AC738" s="16"/>
      <c r="AD738" s="16"/>
    </row>
    <row r="739" spans="29:30" ht="15.75" customHeight="1" x14ac:dyDescent="0.3">
      <c r="AC739" s="16"/>
      <c r="AD739" s="16"/>
    </row>
    <row r="740" spans="29:30" ht="15.75" customHeight="1" x14ac:dyDescent="0.3">
      <c r="AC740" s="16"/>
      <c r="AD740" s="16"/>
    </row>
    <row r="741" spans="29:30" ht="15.75" customHeight="1" x14ac:dyDescent="0.3">
      <c r="AC741" s="16"/>
      <c r="AD741" s="16"/>
    </row>
    <row r="742" spans="29:30" ht="15.75" customHeight="1" x14ac:dyDescent="0.3">
      <c r="AC742" s="16"/>
      <c r="AD742" s="16"/>
    </row>
    <row r="743" spans="29:30" ht="15.75" customHeight="1" x14ac:dyDescent="0.3">
      <c r="AC743" s="16"/>
      <c r="AD743" s="16"/>
    </row>
    <row r="744" spans="29:30" ht="15.75" customHeight="1" x14ac:dyDescent="0.3">
      <c r="AC744" s="16"/>
      <c r="AD744" s="16"/>
    </row>
    <row r="745" spans="29:30" ht="15.75" customHeight="1" x14ac:dyDescent="0.3">
      <c r="AC745" s="16"/>
      <c r="AD745" s="16"/>
    </row>
    <row r="746" spans="29:30" ht="15.75" customHeight="1" x14ac:dyDescent="0.3">
      <c r="AC746" s="16"/>
      <c r="AD746" s="16"/>
    </row>
    <row r="747" spans="29:30" ht="15.75" customHeight="1" x14ac:dyDescent="0.3">
      <c r="AC747" s="16"/>
      <c r="AD747" s="16"/>
    </row>
    <row r="748" spans="29:30" ht="15.75" customHeight="1" x14ac:dyDescent="0.3">
      <c r="AC748" s="16"/>
      <c r="AD748" s="16"/>
    </row>
    <row r="749" spans="29:30" ht="15.75" customHeight="1" x14ac:dyDescent="0.3">
      <c r="AC749" s="16"/>
      <c r="AD749" s="16"/>
    </row>
    <row r="750" spans="29:30" ht="15.75" customHeight="1" x14ac:dyDescent="0.3">
      <c r="AC750" s="16"/>
      <c r="AD750" s="16"/>
    </row>
    <row r="751" spans="29:30" ht="15.75" customHeight="1" x14ac:dyDescent="0.3">
      <c r="AC751" s="16"/>
      <c r="AD751" s="16"/>
    </row>
    <row r="752" spans="29:30" ht="15.75" customHeight="1" x14ac:dyDescent="0.3">
      <c r="AC752" s="16"/>
      <c r="AD752" s="16"/>
    </row>
    <row r="753" spans="29:30" ht="15.75" customHeight="1" x14ac:dyDescent="0.3">
      <c r="AC753" s="16"/>
      <c r="AD753" s="16"/>
    </row>
    <row r="754" spans="29:30" ht="15.75" customHeight="1" x14ac:dyDescent="0.3">
      <c r="AC754" s="16"/>
      <c r="AD754" s="16"/>
    </row>
    <row r="755" spans="29:30" ht="15.75" customHeight="1" x14ac:dyDescent="0.3">
      <c r="AC755" s="16"/>
      <c r="AD755" s="16"/>
    </row>
    <row r="756" spans="29:30" ht="15.75" customHeight="1" x14ac:dyDescent="0.3">
      <c r="AC756" s="16"/>
      <c r="AD756" s="16"/>
    </row>
    <row r="757" spans="29:30" ht="15.75" customHeight="1" x14ac:dyDescent="0.3">
      <c r="AC757" s="16"/>
      <c r="AD757" s="16"/>
    </row>
    <row r="758" spans="29:30" ht="15.75" customHeight="1" x14ac:dyDescent="0.3">
      <c r="AC758" s="16"/>
      <c r="AD758" s="16"/>
    </row>
    <row r="759" spans="29:30" ht="15.75" customHeight="1" x14ac:dyDescent="0.3">
      <c r="AC759" s="16"/>
      <c r="AD759" s="16"/>
    </row>
    <row r="760" spans="29:30" ht="15.75" customHeight="1" x14ac:dyDescent="0.3">
      <c r="AC760" s="16"/>
      <c r="AD760" s="16"/>
    </row>
    <row r="761" spans="29:30" ht="15.75" customHeight="1" x14ac:dyDescent="0.3">
      <c r="AC761" s="16"/>
      <c r="AD761" s="16"/>
    </row>
    <row r="762" spans="29:30" ht="15.75" customHeight="1" x14ac:dyDescent="0.3">
      <c r="AC762" s="16"/>
      <c r="AD762" s="16"/>
    </row>
    <row r="763" spans="29:30" ht="15.75" customHeight="1" x14ac:dyDescent="0.3">
      <c r="AC763" s="16"/>
      <c r="AD763" s="16"/>
    </row>
    <row r="764" spans="29:30" ht="15.75" customHeight="1" x14ac:dyDescent="0.3">
      <c r="AC764" s="16"/>
      <c r="AD764" s="16"/>
    </row>
    <row r="765" spans="29:30" ht="15.75" customHeight="1" x14ac:dyDescent="0.3">
      <c r="AC765" s="16"/>
      <c r="AD765" s="16"/>
    </row>
    <row r="766" spans="29:30" ht="15.75" customHeight="1" x14ac:dyDescent="0.3">
      <c r="AC766" s="16"/>
      <c r="AD766" s="16"/>
    </row>
    <row r="767" spans="29:30" ht="15.75" customHeight="1" x14ac:dyDescent="0.3">
      <c r="AC767" s="16"/>
      <c r="AD767" s="16"/>
    </row>
    <row r="768" spans="29:30" ht="15.75" customHeight="1" x14ac:dyDescent="0.3">
      <c r="AC768" s="16"/>
      <c r="AD768" s="16"/>
    </row>
    <row r="769" spans="29:30" ht="15.75" customHeight="1" x14ac:dyDescent="0.3">
      <c r="AC769" s="16"/>
      <c r="AD769" s="16"/>
    </row>
    <row r="770" spans="29:30" ht="15.75" customHeight="1" x14ac:dyDescent="0.3">
      <c r="AC770" s="16"/>
      <c r="AD770" s="16"/>
    </row>
    <row r="771" spans="29:30" ht="15.75" customHeight="1" x14ac:dyDescent="0.3">
      <c r="AC771" s="16"/>
      <c r="AD771" s="16"/>
    </row>
    <row r="772" spans="29:30" ht="15.75" customHeight="1" x14ac:dyDescent="0.3">
      <c r="AC772" s="16"/>
      <c r="AD772" s="16"/>
    </row>
    <row r="773" spans="29:30" ht="15.75" customHeight="1" x14ac:dyDescent="0.3">
      <c r="AC773" s="16"/>
      <c r="AD773" s="16"/>
    </row>
    <row r="774" spans="29:30" ht="15.75" customHeight="1" x14ac:dyDescent="0.3">
      <c r="AC774" s="16"/>
      <c r="AD774" s="16"/>
    </row>
    <row r="775" spans="29:30" ht="15.75" customHeight="1" x14ac:dyDescent="0.3">
      <c r="AC775" s="16"/>
      <c r="AD775" s="16"/>
    </row>
    <row r="776" spans="29:30" ht="15.75" customHeight="1" x14ac:dyDescent="0.3">
      <c r="AC776" s="16"/>
      <c r="AD776" s="16"/>
    </row>
    <row r="777" spans="29:30" ht="15.75" customHeight="1" x14ac:dyDescent="0.3">
      <c r="AC777" s="16"/>
      <c r="AD777" s="16"/>
    </row>
    <row r="778" spans="29:30" ht="15.75" customHeight="1" x14ac:dyDescent="0.3">
      <c r="AC778" s="16"/>
      <c r="AD778" s="16"/>
    </row>
    <row r="779" spans="29:30" ht="15.75" customHeight="1" x14ac:dyDescent="0.3">
      <c r="AC779" s="16"/>
      <c r="AD779" s="16"/>
    </row>
    <row r="780" spans="29:30" ht="15.75" customHeight="1" x14ac:dyDescent="0.3">
      <c r="AC780" s="16"/>
      <c r="AD780" s="16"/>
    </row>
    <row r="781" spans="29:30" ht="15.75" customHeight="1" x14ac:dyDescent="0.3">
      <c r="AC781" s="16"/>
      <c r="AD781" s="16"/>
    </row>
    <row r="782" spans="29:30" ht="15.75" customHeight="1" x14ac:dyDescent="0.3">
      <c r="AC782" s="16"/>
      <c r="AD782" s="16"/>
    </row>
    <row r="783" spans="29:30" ht="15.75" customHeight="1" x14ac:dyDescent="0.3">
      <c r="AC783" s="16"/>
      <c r="AD783" s="16"/>
    </row>
    <row r="784" spans="29:30" ht="15.75" customHeight="1" x14ac:dyDescent="0.3">
      <c r="AC784" s="16"/>
      <c r="AD784" s="16"/>
    </row>
    <row r="785" spans="29:30" ht="15.75" customHeight="1" x14ac:dyDescent="0.3">
      <c r="AC785" s="16"/>
      <c r="AD785" s="16"/>
    </row>
    <row r="786" spans="29:30" ht="15.75" customHeight="1" x14ac:dyDescent="0.3">
      <c r="AC786" s="16"/>
      <c r="AD786" s="16"/>
    </row>
    <row r="787" spans="29:30" ht="15.75" customHeight="1" x14ac:dyDescent="0.3">
      <c r="AC787" s="16"/>
      <c r="AD787" s="16"/>
    </row>
    <row r="788" spans="29:30" ht="15.75" customHeight="1" x14ac:dyDescent="0.3">
      <c r="AC788" s="16"/>
      <c r="AD788" s="16"/>
    </row>
    <row r="789" spans="29:30" ht="15.75" customHeight="1" x14ac:dyDescent="0.3">
      <c r="AC789" s="16"/>
      <c r="AD789" s="16"/>
    </row>
    <row r="790" spans="29:30" ht="15.75" customHeight="1" x14ac:dyDescent="0.3">
      <c r="AC790" s="16"/>
      <c r="AD790" s="16"/>
    </row>
    <row r="791" spans="29:30" ht="15.75" customHeight="1" x14ac:dyDescent="0.3">
      <c r="AC791" s="16"/>
      <c r="AD791" s="16"/>
    </row>
    <row r="792" spans="29:30" ht="15.75" customHeight="1" x14ac:dyDescent="0.3">
      <c r="AC792" s="16"/>
      <c r="AD792" s="16"/>
    </row>
    <row r="793" spans="29:30" ht="15.75" customHeight="1" x14ac:dyDescent="0.3">
      <c r="AC793" s="16"/>
      <c r="AD793" s="16"/>
    </row>
    <row r="794" spans="29:30" ht="15.75" customHeight="1" x14ac:dyDescent="0.3">
      <c r="AC794" s="16"/>
      <c r="AD794" s="16"/>
    </row>
    <row r="795" spans="29:30" ht="15.75" customHeight="1" x14ac:dyDescent="0.3">
      <c r="AC795" s="16"/>
      <c r="AD795" s="16"/>
    </row>
    <row r="796" spans="29:30" ht="15.75" customHeight="1" x14ac:dyDescent="0.3">
      <c r="AC796" s="16"/>
      <c r="AD796" s="16"/>
    </row>
    <row r="797" spans="29:30" ht="15.75" customHeight="1" x14ac:dyDescent="0.3">
      <c r="AC797" s="16"/>
      <c r="AD797" s="16"/>
    </row>
    <row r="798" spans="29:30" ht="15.75" customHeight="1" x14ac:dyDescent="0.3">
      <c r="AC798" s="16"/>
      <c r="AD798" s="16"/>
    </row>
    <row r="799" spans="29:30" ht="15.75" customHeight="1" x14ac:dyDescent="0.3">
      <c r="AC799" s="16"/>
      <c r="AD799" s="16"/>
    </row>
    <row r="800" spans="29:30" ht="15.75" customHeight="1" x14ac:dyDescent="0.3">
      <c r="AC800" s="16"/>
      <c r="AD800" s="16"/>
    </row>
    <row r="801" spans="29:30" ht="15.75" customHeight="1" x14ac:dyDescent="0.3">
      <c r="AC801" s="16"/>
      <c r="AD801" s="16"/>
    </row>
    <row r="802" spans="29:30" ht="15.75" customHeight="1" x14ac:dyDescent="0.3">
      <c r="AC802" s="16"/>
      <c r="AD802" s="16"/>
    </row>
    <row r="803" spans="29:30" ht="15.75" customHeight="1" x14ac:dyDescent="0.3">
      <c r="AC803" s="16"/>
      <c r="AD803" s="16"/>
    </row>
    <row r="804" spans="29:30" ht="15.75" customHeight="1" x14ac:dyDescent="0.3">
      <c r="AC804" s="16"/>
      <c r="AD804" s="16"/>
    </row>
    <row r="805" spans="29:30" ht="15.75" customHeight="1" x14ac:dyDescent="0.3">
      <c r="AC805" s="16"/>
      <c r="AD805" s="16"/>
    </row>
    <row r="806" spans="29:30" ht="15.75" customHeight="1" x14ac:dyDescent="0.3">
      <c r="AC806" s="16"/>
      <c r="AD806" s="16"/>
    </row>
    <row r="807" spans="29:30" ht="15.75" customHeight="1" x14ac:dyDescent="0.3">
      <c r="AC807" s="16"/>
      <c r="AD807" s="16"/>
    </row>
    <row r="808" spans="29:30" ht="15.75" customHeight="1" x14ac:dyDescent="0.3">
      <c r="AC808" s="16"/>
      <c r="AD808" s="16"/>
    </row>
    <row r="809" spans="29:30" ht="15.75" customHeight="1" x14ac:dyDescent="0.3">
      <c r="AC809" s="16"/>
      <c r="AD809" s="16"/>
    </row>
    <row r="810" spans="29:30" ht="15.75" customHeight="1" x14ac:dyDescent="0.3">
      <c r="AC810" s="16"/>
      <c r="AD810" s="16"/>
    </row>
    <row r="811" spans="29:30" ht="15.75" customHeight="1" x14ac:dyDescent="0.3">
      <c r="AC811" s="16"/>
      <c r="AD811" s="16"/>
    </row>
    <row r="812" spans="29:30" ht="15.75" customHeight="1" x14ac:dyDescent="0.3">
      <c r="AC812" s="16"/>
      <c r="AD812" s="16"/>
    </row>
    <row r="813" spans="29:30" ht="15.75" customHeight="1" x14ac:dyDescent="0.3">
      <c r="AC813" s="16"/>
      <c r="AD813" s="16"/>
    </row>
    <row r="814" spans="29:30" ht="15.75" customHeight="1" x14ac:dyDescent="0.3">
      <c r="AC814" s="16"/>
      <c r="AD814" s="16"/>
    </row>
    <row r="815" spans="29:30" ht="15.75" customHeight="1" x14ac:dyDescent="0.3">
      <c r="AC815" s="16"/>
      <c r="AD815" s="16"/>
    </row>
    <row r="816" spans="29:30" ht="15.75" customHeight="1" x14ac:dyDescent="0.3">
      <c r="AC816" s="16"/>
      <c r="AD816" s="16"/>
    </row>
    <row r="817" spans="29:30" ht="15.75" customHeight="1" x14ac:dyDescent="0.3">
      <c r="AC817" s="16"/>
      <c r="AD817" s="16"/>
    </row>
    <row r="818" spans="29:30" ht="15.75" customHeight="1" x14ac:dyDescent="0.3">
      <c r="AC818" s="16"/>
      <c r="AD818" s="16"/>
    </row>
    <row r="819" spans="29:30" ht="15.75" customHeight="1" x14ac:dyDescent="0.3">
      <c r="AC819" s="16"/>
      <c r="AD819" s="16"/>
    </row>
    <row r="820" spans="29:30" ht="15.75" customHeight="1" x14ac:dyDescent="0.3">
      <c r="AC820" s="16"/>
      <c r="AD820" s="16"/>
    </row>
    <row r="821" spans="29:30" ht="15.75" customHeight="1" x14ac:dyDescent="0.3">
      <c r="AC821" s="16"/>
      <c r="AD821" s="16"/>
    </row>
    <row r="822" spans="29:30" ht="15.75" customHeight="1" x14ac:dyDescent="0.3">
      <c r="AC822" s="16"/>
      <c r="AD822" s="16"/>
    </row>
    <row r="823" spans="29:30" ht="15.75" customHeight="1" x14ac:dyDescent="0.3">
      <c r="AC823" s="16"/>
      <c r="AD823" s="16"/>
    </row>
    <row r="824" spans="29:30" ht="15.75" customHeight="1" x14ac:dyDescent="0.3">
      <c r="AC824" s="16"/>
      <c r="AD824" s="16"/>
    </row>
    <row r="825" spans="29:30" ht="15.75" customHeight="1" x14ac:dyDescent="0.3">
      <c r="AC825" s="16"/>
      <c r="AD825" s="16"/>
    </row>
    <row r="826" spans="29:30" ht="15.75" customHeight="1" x14ac:dyDescent="0.3">
      <c r="AC826" s="16"/>
      <c r="AD826" s="16"/>
    </row>
    <row r="827" spans="29:30" ht="15.75" customHeight="1" x14ac:dyDescent="0.3">
      <c r="AC827" s="16"/>
      <c r="AD827" s="16"/>
    </row>
    <row r="828" spans="29:30" ht="15.75" customHeight="1" x14ac:dyDescent="0.3">
      <c r="AC828" s="16"/>
      <c r="AD828" s="16"/>
    </row>
    <row r="829" spans="29:30" ht="15.75" customHeight="1" x14ac:dyDescent="0.3">
      <c r="AC829" s="16"/>
      <c r="AD829" s="16"/>
    </row>
    <row r="830" spans="29:30" ht="15.75" customHeight="1" x14ac:dyDescent="0.3">
      <c r="AC830" s="16"/>
      <c r="AD830" s="16"/>
    </row>
    <row r="831" spans="29:30" ht="15.75" customHeight="1" x14ac:dyDescent="0.3">
      <c r="AC831" s="16"/>
      <c r="AD831" s="16"/>
    </row>
    <row r="832" spans="29:30" ht="15.75" customHeight="1" x14ac:dyDescent="0.3">
      <c r="AC832" s="16"/>
      <c r="AD832" s="16"/>
    </row>
    <row r="833" spans="29:30" ht="15.75" customHeight="1" x14ac:dyDescent="0.3">
      <c r="AC833" s="16"/>
      <c r="AD833" s="16"/>
    </row>
    <row r="834" spans="29:30" ht="15.75" customHeight="1" x14ac:dyDescent="0.3">
      <c r="AC834" s="16"/>
      <c r="AD834" s="16"/>
    </row>
    <row r="835" spans="29:30" ht="15.75" customHeight="1" x14ac:dyDescent="0.3">
      <c r="AC835" s="16"/>
      <c r="AD835" s="16"/>
    </row>
    <row r="836" spans="29:30" ht="15.75" customHeight="1" x14ac:dyDescent="0.3">
      <c r="AC836" s="16"/>
      <c r="AD836" s="16"/>
    </row>
    <row r="837" spans="29:30" ht="15.75" customHeight="1" x14ac:dyDescent="0.3">
      <c r="AC837" s="16"/>
      <c r="AD837" s="16"/>
    </row>
    <row r="838" spans="29:30" ht="15.75" customHeight="1" x14ac:dyDescent="0.3">
      <c r="AC838" s="16"/>
      <c r="AD838" s="16"/>
    </row>
    <row r="839" spans="29:30" ht="15.75" customHeight="1" x14ac:dyDescent="0.3">
      <c r="AC839" s="16"/>
      <c r="AD839" s="16"/>
    </row>
    <row r="840" spans="29:30" ht="15.75" customHeight="1" x14ac:dyDescent="0.3">
      <c r="AC840" s="16"/>
      <c r="AD840" s="16"/>
    </row>
    <row r="841" spans="29:30" ht="15.75" customHeight="1" x14ac:dyDescent="0.3">
      <c r="AC841" s="16"/>
      <c r="AD841" s="16"/>
    </row>
    <row r="842" spans="29:30" ht="15.75" customHeight="1" x14ac:dyDescent="0.3">
      <c r="AC842" s="16"/>
      <c r="AD842" s="16"/>
    </row>
    <row r="843" spans="29:30" ht="15.75" customHeight="1" x14ac:dyDescent="0.3">
      <c r="AC843" s="16"/>
      <c r="AD843" s="16"/>
    </row>
    <row r="844" spans="29:30" ht="15.75" customHeight="1" x14ac:dyDescent="0.3">
      <c r="AC844" s="16"/>
      <c r="AD844" s="16"/>
    </row>
    <row r="845" spans="29:30" ht="15.75" customHeight="1" x14ac:dyDescent="0.3">
      <c r="AC845" s="16"/>
      <c r="AD845" s="16"/>
    </row>
    <row r="846" spans="29:30" ht="15.75" customHeight="1" x14ac:dyDescent="0.3">
      <c r="AC846" s="16"/>
      <c r="AD846" s="16"/>
    </row>
    <row r="847" spans="29:30" ht="15.75" customHeight="1" x14ac:dyDescent="0.3">
      <c r="AC847" s="16"/>
      <c r="AD847" s="16"/>
    </row>
    <row r="848" spans="29:30" ht="15.75" customHeight="1" x14ac:dyDescent="0.3">
      <c r="AC848" s="16"/>
      <c r="AD848" s="16"/>
    </row>
    <row r="849" spans="29:30" ht="15.75" customHeight="1" x14ac:dyDescent="0.3">
      <c r="AC849" s="16"/>
      <c r="AD849" s="16"/>
    </row>
    <row r="850" spans="29:30" ht="15.75" customHeight="1" x14ac:dyDescent="0.3">
      <c r="AC850" s="16"/>
      <c r="AD850" s="16"/>
    </row>
    <row r="851" spans="29:30" ht="15.75" customHeight="1" x14ac:dyDescent="0.3">
      <c r="AC851" s="16"/>
      <c r="AD851" s="16"/>
    </row>
    <row r="852" spans="29:30" ht="15.75" customHeight="1" x14ac:dyDescent="0.3">
      <c r="AC852" s="16"/>
      <c r="AD852" s="16"/>
    </row>
    <row r="853" spans="29:30" ht="15.75" customHeight="1" x14ac:dyDescent="0.3">
      <c r="AC853" s="16"/>
      <c r="AD853" s="16"/>
    </row>
    <row r="854" spans="29:30" ht="15.75" customHeight="1" x14ac:dyDescent="0.3">
      <c r="AC854" s="16"/>
      <c r="AD854" s="16"/>
    </row>
    <row r="855" spans="29:30" ht="15.75" customHeight="1" x14ac:dyDescent="0.3">
      <c r="AC855" s="16"/>
      <c r="AD855" s="16"/>
    </row>
    <row r="856" spans="29:30" ht="15.75" customHeight="1" x14ac:dyDescent="0.3">
      <c r="AC856" s="16"/>
      <c r="AD856" s="16"/>
    </row>
    <row r="857" spans="29:30" ht="15.75" customHeight="1" x14ac:dyDescent="0.3">
      <c r="AC857" s="16"/>
      <c r="AD857" s="16"/>
    </row>
    <row r="858" spans="29:30" ht="15.75" customHeight="1" x14ac:dyDescent="0.3">
      <c r="AC858" s="16"/>
      <c r="AD858" s="16"/>
    </row>
    <row r="859" spans="29:30" ht="15.75" customHeight="1" x14ac:dyDescent="0.3">
      <c r="AC859" s="16"/>
      <c r="AD859" s="16"/>
    </row>
    <row r="860" spans="29:30" ht="15.75" customHeight="1" x14ac:dyDescent="0.3">
      <c r="AC860" s="16"/>
      <c r="AD860" s="16"/>
    </row>
    <row r="861" spans="29:30" ht="15.75" customHeight="1" x14ac:dyDescent="0.3">
      <c r="AC861" s="16"/>
      <c r="AD861" s="16"/>
    </row>
    <row r="862" spans="29:30" ht="15.75" customHeight="1" x14ac:dyDescent="0.3">
      <c r="AC862" s="16"/>
      <c r="AD862" s="16"/>
    </row>
    <row r="863" spans="29:30" ht="15.75" customHeight="1" x14ac:dyDescent="0.3">
      <c r="AC863" s="16"/>
      <c r="AD863" s="16"/>
    </row>
    <row r="864" spans="29:30" ht="15.75" customHeight="1" x14ac:dyDescent="0.3">
      <c r="AC864" s="16"/>
      <c r="AD864" s="16"/>
    </row>
    <row r="865" spans="29:30" ht="15.75" customHeight="1" x14ac:dyDescent="0.3">
      <c r="AC865" s="16"/>
      <c r="AD865" s="16"/>
    </row>
    <row r="866" spans="29:30" ht="15.75" customHeight="1" x14ac:dyDescent="0.3">
      <c r="AC866" s="16"/>
      <c r="AD866" s="16"/>
    </row>
    <row r="867" spans="29:30" ht="15.75" customHeight="1" x14ac:dyDescent="0.3">
      <c r="AC867" s="16"/>
      <c r="AD867" s="16"/>
    </row>
    <row r="868" spans="29:30" ht="15.75" customHeight="1" x14ac:dyDescent="0.3">
      <c r="AC868" s="16"/>
      <c r="AD868" s="16"/>
    </row>
    <row r="869" spans="29:30" ht="15.75" customHeight="1" x14ac:dyDescent="0.3">
      <c r="AC869" s="16"/>
      <c r="AD869" s="16"/>
    </row>
    <row r="870" spans="29:30" ht="15.75" customHeight="1" x14ac:dyDescent="0.3">
      <c r="AC870" s="16"/>
      <c r="AD870" s="16"/>
    </row>
    <row r="871" spans="29:30" ht="15.75" customHeight="1" x14ac:dyDescent="0.3">
      <c r="AC871" s="16"/>
      <c r="AD871" s="16"/>
    </row>
    <row r="872" spans="29:30" ht="15.75" customHeight="1" x14ac:dyDescent="0.3">
      <c r="AC872" s="16"/>
      <c r="AD872" s="16"/>
    </row>
    <row r="873" spans="29:30" ht="15.75" customHeight="1" x14ac:dyDescent="0.3">
      <c r="AC873" s="16"/>
      <c r="AD873" s="16"/>
    </row>
    <row r="874" spans="29:30" ht="15.75" customHeight="1" x14ac:dyDescent="0.3">
      <c r="AC874" s="16"/>
      <c r="AD874" s="16"/>
    </row>
    <row r="875" spans="29:30" ht="15.75" customHeight="1" x14ac:dyDescent="0.3">
      <c r="AC875" s="16"/>
      <c r="AD875" s="16"/>
    </row>
    <row r="876" spans="29:30" ht="15.75" customHeight="1" x14ac:dyDescent="0.3">
      <c r="AC876" s="16"/>
      <c r="AD876" s="16"/>
    </row>
    <row r="877" spans="29:30" ht="15.75" customHeight="1" x14ac:dyDescent="0.3">
      <c r="AC877" s="16"/>
      <c r="AD877" s="16"/>
    </row>
    <row r="878" spans="29:30" ht="15.75" customHeight="1" x14ac:dyDescent="0.3">
      <c r="AC878" s="16"/>
      <c r="AD878" s="16"/>
    </row>
    <row r="879" spans="29:30" ht="15.75" customHeight="1" x14ac:dyDescent="0.3">
      <c r="AC879" s="16"/>
      <c r="AD879" s="16"/>
    </row>
    <row r="880" spans="29:30" ht="15.75" customHeight="1" x14ac:dyDescent="0.3">
      <c r="AC880" s="16"/>
      <c r="AD880" s="16"/>
    </row>
    <row r="881" spans="29:30" ht="15.75" customHeight="1" x14ac:dyDescent="0.3">
      <c r="AC881" s="16"/>
      <c r="AD881" s="16"/>
    </row>
    <row r="882" spans="29:30" ht="15.75" customHeight="1" x14ac:dyDescent="0.3">
      <c r="AC882" s="16"/>
      <c r="AD882" s="16"/>
    </row>
    <row r="883" spans="29:30" ht="15.75" customHeight="1" x14ac:dyDescent="0.3">
      <c r="AC883" s="16"/>
      <c r="AD883" s="16"/>
    </row>
    <row r="884" spans="29:30" ht="15.75" customHeight="1" x14ac:dyDescent="0.3">
      <c r="AC884" s="16"/>
      <c r="AD884" s="16"/>
    </row>
    <row r="885" spans="29:30" ht="15.75" customHeight="1" x14ac:dyDescent="0.3">
      <c r="AC885" s="16"/>
      <c r="AD885" s="16"/>
    </row>
    <row r="886" spans="29:30" ht="15.75" customHeight="1" x14ac:dyDescent="0.3">
      <c r="AC886" s="16"/>
      <c r="AD886" s="16"/>
    </row>
    <row r="887" spans="29:30" ht="15.75" customHeight="1" x14ac:dyDescent="0.3">
      <c r="AC887" s="16"/>
      <c r="AD887" s="16"/>
    </row>
    <row r="888" spans="29:30" ht="15.75" customHeight="1" x14ac:dyDescent="0.3">
      <c r="AC888" s="16"/>
      <c r="AD888" s="16"/>
    </row>
    <row r="889" spans="29:30" ht="15.75" customHeight="1" x14ac:dyDescent="0.3">
      <c r="AC889" s="16"/>
      <c r="AD889" s="16"/>
    </row>
    <row r="890" spans="29:30" ht="15.75" customHeight="1" x14ac:dyDescent="0.3">
      <c r="AC890" s="16"/>
      <c r="AD890" s="16"/>
    </row>
    <row r="891" spans="29:30" ht="15.75" customHeight="1" x14ac:dyDescent="0.3">
      <c r="AC891" s="16"/>
      <c r="AD891" s="16"/>
    </row>
    <row r="892" spans="29:30" ht="15.75" customHeight="1" x14ac:dyDescent="0.3">
      <c r="AC892" s="16"/>
      <c r="AD892" s="16"/>
    </row>
    <row r="893" spans="29:30" ht="15.75" customHeight="1" x14ac:dyDescent="0.3">
      <c r="AC893" s="16"/>
      <c r="AD893" s="16"/>
    </row>
    <row r="894" spans="29:30" ht="15.75" customHeight="1" x14ac:dyDescent="0.3">
      <c r="AC894" s="16"/>
      <c r="AD894" s="16"/>
    </row>
    <row r="895" spans="29:30" ht="15.75" customHeight="1" x14ac:dyDescent="0.3">
      <c r="AC895" s="16"/>
      <c r="AD895" s="16"/>
    </row>
    <row r="896" spans="29:30" ht="15.75" customHeight="1" x14ac:dyDescent="0.3">
      <c r="AC896" s="16"/>
      <c r="AD896" s="16"/>
    </row>
    <row r="897" spans="29:30" ht="15.75" customHeight="1" x14ac:dyDescent="0.3">
      <c r="AC897" s="16"/>
      <c r="AD897" s="16"/>
    </row>
    <row r="898" spans="29:30" ht="15.75" customHeight="1" x14ac:dyDescent="0.3">
      <c r="AC898" s="16"/>
      <c r="AD898" s="16"/>
    </row>
    <row r="899" spans="29:30" ht="15.75" customHeight="1" x14ac:dyDescent="0.3">
      <c r="AC899" s="16"/>
      <c r="AD899" s="16"/>
    </row>
    <row r="900" spans="29:30" ht="15.75" customHeight="1" x14ac:dyDescent="0.3">
      <c r="AC900" s="16"/>
      <c r="AD900" s="16"/>
    </row>
    <row r="901" spans="29:30" ht="15.75" customHeight="1" x14ac:dyDescent="0.3">
      <c r="AC901" s="16"/>
      <c r="AD901" s="16"/>
    </row>
    <row r="902" spans="29:30" ht="15.75" customHeight="1" x14ac:dyDescent="0.3">
      <c r="AC902" s="16"/>
      <c r="AD902" s="16"/>
    </row>
    <row r="903" spans="29:30" ht="15.75" customHeight="1" x14ac:dyDescent="0.3">
      <c r="AC903" s="16"/>
      <c r="AD903" s="16"/>
    </row>
    <row r="904" spans="29:30" ht="15.75" customHeight="1" x14ac:dyDescent="0.3">
      <c r="AC904" s="16"/>
      <c r="AD904" s="16"/>
    </row>
    <row r="905" spans="29:30" ht="15.75" customHeight="1" x14ac:dyDescent="0.3">
      <c r="AC905" s="16"/>
      <c r="AD905" s="16"/>
    </row>
    <row r="906" spans="29:30" ht="15.75" customHeight="1" x14ac:dyDescent="0.3">
      <c r="AC906" s="16"/>
      <c r="AD906" s="16"/>
    </row>
    <row r="907" spans="29:30" ht="15.75" customHeight="1" x14ac:dyDescent="0.3">
      <c r="AC907" s="16"/>
      <c r="AD907" s="16"/>
    </row>
    <row r="908" spans="29:30" ht="15.75" customHeight="1" x14ac:dyDescent="0.3">
      <c r="AC908" s="16"/>
      <c r="AD908" s="16"/>
    </row>
    <row r="909" spans="29:30" ht="15.75" customHeight="1" x14ac:dyDescent="0.3">
      <c r="AC909" s="16"/>
      <c r="AD909" s="16"/>
    </row>
    <row r="910" spans="29:30" ht="15.75" customHeight="1" x14ac:dyDescent="0.3">
      <c r="AC910" s="16"/>
      <c r="AD910" s="16"/>
    </row>
    <row r="911" spans="29:30" ht="15.75" customHeight="1" x14ac:dyDescent="0.3">
      <c r="AC911" s="16"/>
      <c r="AD911" s="16"/>
    </row>
    <row r="912" spans="29:30" ht="15.75" customHeight="1" x14ac:dyDescent="0.3">
      <c r="AC912" s="16"/>
      <c r="AD912" s="16"/>
    </row>
    <row r="913" spans="29:30" ht="15.75" customHeight="1" x14ac:dyDescent="0.3">
      <c r="AC913" s="16"/>
      <c r="AD913" s="16"/>
    </row>
    <row r="914" spans="29:30" ht="15.75" customHeight="1" x14ac:dyDescent="0.3">
      <c r="AC914" s="16"/>
      <c r="AD914" s="16"/>
    </row>
    <row r="915" spans="29:30" ht="15.75" customHeight="1" x14ac:dyDescent="0.3">
      <c r="AC915" s="16"/>
      <c r="AD915" s="16"/>
    </row>
    <row r="916" spans="29:30" ht="15.75" customHeight="1" x14ac:dyDescent="0.3">
      <c r="AC916" s="16"/>
      <c r="AD916" s="16"/>
    </row>
    <row r="917" spans="29:30" ht="15.75" customHeight="1" x14ac:dyDescent="0.3">
      <c r="AC917" s="16"/>
      <c r="AD917" s="16"/>
    </row>
    <row r="918" spans="29:30" ht="15.75" customHeight="1" x14ac:dyDescent="0.3">
      <c r="AC918" s="16"/>
      <c r="AD918" s="16"/>
    </row>
    <row r="919" spans="29:30" ht="15.75" customHeight="1" x14ac:dyDescent="0.3">
      <c r="AC919" s="16"/>
      <c r="AD919" s="16"/>
    </row>
    <row r="920" spans="29:30" ht="15.75" customHeight="1" x14ac:dyDescent="0.3">
      <c r="AC920" s="16"/>
      <c r="AD920" s="16"/>
    </row>
    <row r="921" spans="29:30" ht="15.75" customHeight="1" x14ac:dyDescent="0.3">
      <c r="AC921" s="16"/>
      <c r="AD921" s="16"/>
    </row>
    <row r="922" spans="29:30" ht="15.75" customHeight="1" x14ac:dyDescent="0.3">
      <c r="AC922" s="16"/>
      <c r="AD922" s="16"/>
    </row>
    <row r="923" spans="29:30" ht="15.75" customHeight="1" x14ac:dyDescent="0.3">
      <c r="AC923" s="16"/>
      <c r="AD923" s="16"/>
    </row>
    <row r="924" spans="29:30" ht="15.75" customHeight="1" x14ac:dyDescent="0.3">
      <c r="AC924" s="16"/>
      <c r="AD924" s="16"/>
    </row>
    <row r="925" spans="29:30" ht="15.75" customHeight="1" x14ac:dyDescent="0.3">
      <c r="AC925" s="16"/>
      <c r="AD925" s="16"/>
    </row>
    <row r="926" spans="29:30" ht="15.75" customHeight="1" x14ac:dyDescent="0.3">
      <c r="AC926" s="16"/>
      <c r="AD926" s="16"/>
    </row>
    <row r="927" spans="29:30" ht="15.75" customHeight="1" x14ac:dyDescent="0.3">
      <c r="AC927" s="16"/>
      <c r="AD927" s="16"/>
    </row>
    <row r="928" spans="29:30" ht="15.75" customHeight="1" x14ac:dyDescent="0.3">
      <c r="AC928" s="16"/>
      <c r="AD928" s="16"/>
    </row>
    <row r="929" spans="29:30" ht="15.75" customHeight="1" x14ac:dyDescent="0.3">
      <c r="AC929" s="16"/>
      <c r="AD929" s="16"/>
    </row>
    <row r="930" spans="29:30" ht="15.75" customHeight="1" x14ac:dyDescent="0.3">
      <c r="AC930" s="16"/>
      <c r="AD930" s="16"/>
    </row>
    <row r="931" spans="29:30" ht="15.75" customHeight="1" x14ac:dyDescent="0.3">
      <c r="AC931" s="16"/>
      <c r="AD931" s="16"/>
    </row>
    <row r="932" spans="29:30" ht="15.75" customHeight="1" x14ac:dyDescent="0.3">
      <c r="AC932" s="16"/>
      <c r="AD932" s="16"/>
    </row>
    <row r="933" spans="29:30" ht="15.75" customHeight="1" x14ac:dyDescent="0.3">
      <c r="AC933" s="16"/>
      <c r="AD933" s="16"/>
    </row>
    <row r="934" spans="29:30" ht="15.75" customHeight="1" x14ac:dyDescent="0.3">
      <c r="AC934" s="16"/>
      <c r="AD934" s="16"/>
    </row>
    <row r="935" spans="29:30" ht="15.75" customHeight="1" x14ac:dyDescent="0.3">
      <c r="AC935" s="16"/>
      <c r="AD935" s="16"/>
    </row>
    <row r="936" spans="29:30" ht="15.75" customHeight="1" x14ac:dyDescent="0.3">
      <c r="AC936" s="16"/>
      <c r="AD936" s="16"/>
    </row>
    <row r="937" spans="29:30" ht="15.75" customHeight="1" x14ac:dyDescent="0.3">
      <c r="AC937" s="16"/>
      <c r="AD937" s="16"/>
    </row>
    <row r="938" spans="29:30" ht="15.75" customHeight="1" x14ac:dyDescent="0.3">
      <c r="AC938" s="16"/>
      <c r="AD938" s="16"/>
    </row>
    <row r="939" spans="29:30" ht="15.75" customHeight="1" x14ac:dyDescent="0.3">
      <c r="AC939" s="16"/>
      <c r="AD939" s="16"/>
    </row>
    <row r="940" spans="29:30" ht="15.75" customHeight="1" x14ac:dyDescent="0.3">
      <c r="AC940" s="16"/>
      <c r="AD940" s="16"/>
    </row>
    <row r="941" spans="29:30" ht="15.75" customHeight="1" x14ac:dyDescent="0.3">
      <c r="AC941" s="16"/>
      <c r="AD941" s="16"/>
    </row>
    <row r="942" spans="29:30" ht="15.75" customHeight="1" x14ac:dyDescent="0.3">
      <c r="AC942" s="16"/>
      <c r="AD942" s="16"/>
    </row>
    <row r="943" spans="29:30" ht="15.75" customHeight="1" x14ac:dyDescent="0.3">
      <c r="AC943" s="16"/>
      <c r="AD943" s="16"/>
    </row>
    <row r="944" spans="29:30" ht="15.75" customHeight="1" x14ac:dyDescent="0.3">
      <c r="AC944" s="16"/>
      <c r="AD944" s="16"/>
    </row>
    <row r="945" spans="29:30" ht="15.75" customHeight="1" x14ac:dyDescent="0.3">
      <c r="AC945" s="16"/>
      <c r="AD945" s="16"/>
    </row>
    <row r="946" spans="29:30" ht="15.75" customHeight="1" x14ac:dyDescent="0.3">
      <c r="AC946" s="16"/>
      <c r="AD946" s="16"/>
    </row>
    <row r="947" spans="29:30" ht="15.75" customHeight="1" x14ac:dyDescent="0.3">
      <c r="AC947" s="16"/>
      <c r="AD947" s="16"/>
    </row>
    <row r="948" spans="29:30" ht="15.75" customHeight="1" x14ac:dyDescent="0.3">
      <c r="AC948" s="16"/>
      <c r="AD948" s="16"/>
    </row>
    <row r="949" spans="29:30" ht="15.75" customHeight="1" x14ac:dyDescent="0.3">
      <c r="AC949" s="16"/>
      <c r="AD949" s="16"/>
    </row>
    <row r="950" spans="29:30" ht="15.75" customHeight="1" x14ac:dyDescent="0.3">
      <c r="AC950" s="16"/>
      <c r="AD950" s="16"/>
    </row>
    <row r="951" spans="29:30" ht="15.75" customHeight="1" x14ac:dyDescent="0.3">
      <c r="AC951" s="16"/>
      <c r="AD951" s="16"/>
    </row>
    <row r="952" spans="29:30" ht="15.75" customHeight="1" x14ac:dyDescent="0.3">
      <c r="AC952" s="16"/>
      <c r="AD952" s="16"/>
    </row>
    <row r="953" spans="29:30" ht="15.75" customHeight="1" x14ac:dyDescent="0.3">
      <c r="AC953" s="16"/>
      <c r="AD953" s="16"/>
    </row>
    <row r="954" spans="29:30" ht="15.75" customHeight="1" x14ac:dyDescent="0.3">
      <c r="AC954" s="16"/>
      <c r="AD954" s="16"/>
    </row>
    <row r="955" spans="29:30" ht="15.75" customHeight="1" x14ac:dyDescent="0.3">
      <c r="AC955" s="16"/>
      <c r="AD955" s="16"/>
    </row>
    <row r="956" spans="29:30" ht="15.75" customHeight="1" x14ac:dyDescent="0.3">
      <c r="AC956" s="16"/>
      <c r="AD956" s="16"/>
    </row>
    <row r="957" spans="29:30" ht="15.75" customHeight="1" x14ac:dyDescent="0.3">
      <c r="AC957" s="16"/>
      <c r="AD957" s="16"/>
    </row>
    <row r="958" spans="29:30" ht="15.75" customHeight="1" x14ac:dyDescent="0.3">
      <c r="AC958" s="16"/>
      <c r="AD958" s="16"/>
    </row>
    <row r="959" spans="29:30" ht="15.75" customHeight="1" x14ac:dyDescent="0.3">
      <c r="AC959" s="16"/>
      <c r="AD959" s="16"/>
    </row>
    <row r="960" spans="29:30" ht="15.75" customHeight="1" x14ac:dyDescent="0.3">
      <c r="AC960" s="16"/>
      <c r="AD960" s="16"/>
    </row>
    <row r="961" spans="29:30" ht="15.75" customHeight="1" x14ac:dyDescent="0.3">
      <c r="AC961" s="16"/>
      <c r="AD961" s="16"/>
    </row>
    <row r="962" spans="29:30" ht="15.75" customHeight="1" x14ac:dyDescent="0.3">
      <c r="AC962" s="16"/>
      <c r="AD962" s="16"/>
    </row>
    <row r="963" spans="29:30" ht="15.75" customHeight="1" x14ac:dyDescent="0.3">
      <c r="AC963" s="16"/>
      <c r="AD963" s="16"/>
    </row>
    <row r="964" spans="29:30" ht="15.75" customHeight="1" x14ac:dyDescent="0.3">
      <c r="AC964" s="16"/>
      <c r="AD964" s="16"/>
    </row>
    <row r="965" spans="29:30" ht="15.75" customHeight="1" x14ac:dyDescent="0.3">
      <c r="AC965" s="16"/>
      <c r="AD965" s="16"/>
    </row>
    <row r="966" spans="29:30" ht="15.75" customHeight="1" x14ac:dyDescent="0.3">
      <c r="AC966" s="16"/>
      <c r="AD966" s="16"/>
    </row>
    <row r="967" spans="29:30" ht="15.75" customHeight="1" x14ac:dyDescent="0.3">
      <c r="AC967" s="16"/>
      <c r="AD967" s="16"/>
    </row>
    <row r="968" spans="29:30" ht="15.75" customHeight="1" x14ac:dyDescent="0.3">
      <c r="AC968" s="16"/>
      <c r="AD968" s="16"/>
    </row>
    <row r="969" spans="29:30" ht="15.75" customHeight="1" x14ac:dyDescent="0.3">
      <c r="AC969" s="16"/>
      <c r="AD969" s="16"/>
    </row>
    <row r="970" spans="29:30" ht="15.75" customHeight="1" x14ac:dyDescent="0.3">
      <c r="AC970" s="16"/>
      <c r="AD970" s="16"/>
    </row>
    <row r="971" spans="29:30" ht="15.75" customHeight="1" x14ac:dyDescent="0.3">
      <c r="AC971" s="16"/>
      <c r="AD971" s="16"/>
    </row>
    <row r="972" spans="29:30" ht="15.75" customHeight="1" x14ac:dyDescent="0.3">
      <c r="AC972" s="16"/>
      <c r="AD972" s="16"/>
    </row>
    <row r="973" spans="29:30" ht="15.75" customHeight="1" x14ac:dyDescent="0.3">
      <c r="AC973" s="16"/>
      <c r="AD973" s="16"/>
    </row>
    <row r="974" spans="29:30" ht="15.75" customHeight="1" x14ac:dyDescent="0.3">
      <c r="AC974" s="16"/>
      <c r="AD974" s="16"/>
    </row>
    <row r="975" spans="29:30" ht="15.75" customHeight="1" x14ac:dyDescent="0.3">
      <c r="AC975" s="16"/>
      <c r="AD975" s="16"/>
    </row>
    <row r="976" spans="29:30" ht="15.75" customHeight="1" x14ac:dyDescent="0.3">
      <c r="AC976" s="16"/>
      <c r="AD976" s="16"/>
    </row>
    <row r="977" spans="29:30" ht="15.75" customHeight="1" x14ac:dyDescent="0.3">
      <c r="AC977" s="16"/>
      <c r="AD977" s="16"/>
    </row>
    <row r="978" spans="29:30" ht="15.75" customHeight="1" x14ac:dyDescent="0.3">
      <c r="AC978" s="16"/>
      <c r="AD978" s="16"/>
    </row>
    <row r="979" spans="29:30" ht="15.75" customHeight="1" x14ac:dyDescent="0.3">
      <c r="AC979" s="16"/>
      <c r="AD979" s="16"/>
    </row>
    <row r="980" spans="29:30" ht="15.75" customHeight="1" x14ac:dyDescent="0.3">
      <c r="AC980" s="16"/>
      <c r="AD980" s="16"/>
    </row>
    <row r="981" spans="29:30" ht="15.75" customHeight="1" x14ac:dyDescent="0.3">
      <c r="AC981" s="16"/>
      <c r="AD981" s="16"/>
    </row>
    <row r="982" spans="29:30" ht="15.75" customHeight="1" x14ac:dyDescent="0.3">
      <c r="AC982" s="16"/>
      <c r="AD982" s="16"/>
    </row>
    <row r="983" spans="29:30" ht="15.75" customHeight="1" x14ac:dyDescent="0.3">
      <c r="AC983" s="16"/>
      <c r="AD983" s="16"/>
    </row>
    <row r="984" spans="29:30" ht="15.75" customHeight="1" x14ac:dyDescent="0.3">
      <c r="AC984" s="16"/>
      <c r="AD984" s="16"/>
    </row>
    <row r="985" spans="29:30" ht="15.75" customHeight="1" x14ac:dyDescent="0.3">
      <c r="AC985" s="16"/>
      <c r="AD985" s="16"/>
    </row>
    <row r="986" spans="29:30" ht="15.75" customHeight="1" x14ac:dyDescent="0.3">
      <c r="AC986" s="16"/>
      <c r="AD986" s="16"/>
    </row>
    <row r="987" spans="29:30" ht="15.75" customHeight="1" x14ac:dyDescent="0.3">
      <c r="AC987" s="16"/>
      <c r="AD987" s="16"/>
    </row>
    <row r="988" spans="29:30" ht="15.75" customHeight="1" x14ac:dyDescent="0.3">
      <c r="AC988" s="16"/>
      <c r="AD988" s="16"/>
    </row>
    <row r="989" spans="29:30" ht="15.75" customHeight="1" x14ac:dyDescent="0.3">
      <c r="AC989" s="16"/>
      <c r="AD989" s="16"/>
    </row>
    <row r="990" spans="29:30" ht="15.75" customHeight="1" x14ac:dyDescent="0.3">
      <c r="AC990" s="16"/>
      <c r="AD990" s="16"/>
    </row>
    <row r="991" spans="29:30" ht="15.75" customHeight="1" x14ac:dyDescent="0.3">
      <c r="AC991" s="16"/>
      <c r="AD991" s="16"/>
    </row>
    <row r="992" spans="29:30" ht="15.75" customHeight="1" x14ac:dyDescent="0.3">
      <c r="AC992" s="16"/>
      <c r="AD992" s="16"/>
    </row>
    <row r="993" spans="29:30" ht="15.75" customHeight="1" x14ac:dyDescent="0.3">
      <c r="AC993" s="16"/>
      <c r="AD993" s="16"/>
    </row>
    <row r="994" spans="29:30" ht="15.75" customHeight="1" x14ac:dyDescent="0.3">
      <c r="AC994" s="16"/>
      <c r="AD994" s="16"/>
    </row>
    <row r="995" spans="29:30" ht="15.75" customHeight="1" x14ac:dyDescent="0.3">
      <c r="AC995" s="16"/>
      <c r="AD995" s="16"/>
    </row>
    <row r="996" spans="29:30" ht="15.75" customHeight="1" x14ac:dyDescent="0.3">
      <c r="AC996" s="16"/>
      <c r="AD996" s="16"/>
    </row>
    <row r="997" spans="29:30" ht="15.75" customHeight="1" x14ac:dyDescent="0.3">
      <c r="AC997" s="16"/>
      <c r="AD997" s="16"/>
    </row>
    <row r="998" spans="29:30" ht="15.75" customHeight="1" x14ac:dyDescent="0.3">
      <c r="AC998" s="16"/>
      <c r="AD998" s="16"/>
    </row>
    <row r="999" spans="29:30" ht="15.75" customHeight="1" x14ac:dyDescent="0.3">
      <c r="AC999" s="16"/>
      <c r="AD999" s="16"/>
    </row>
    <row r="1000" spans="29:30" ht="15.75" customHeight="1" x14ac:dyDescent="0.3">
      <c r="AC1000" s="16"/>
      <c r="AD1000" s="16"/>
    </row>
  </sheetData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Z1000"/>
  <sheetViews>
    <sheetView workbookViewId="0"/>
  </sheetViews>
  <sheetFormatPr defaultColWidth="14.44140625" defaultRowHeight="15" customHeight="1" x14ac:dyDescent="0.3"/>
  <cols>
    <col min="1" max="1" width="5.33203125" customWidth="1"/>
    <col min="2" max="2" width="34.88671875" customWidth="1"/>
    <col min="3" max="3" width="15.44140625" customWidth="1"/>
    <col min="4" max="4" width="33.6640625" customWidth="1"/>
    <col min="5" max="5" width="12.5546875" customWidth="1"/>
    <col min="6" max="12" width="14.6640625" customWidth="1"/>
    <col min="13" max="13" width="49.6640625" customWidth="1"/>
    <col min="14" max="26" width="8.6640625" customWidth="1"/>
  </cols>
  <sheetData>
    <row r="1" spans="1:26" ht="21" customHeight="1" x14ac:dyDescent="0.3">
      <c r="A1" s="234" t="s">
        <v>232</v>
      </c>
      <c r="B1" s="235"/>
      <c r="C1" s="235"/>
      <c r="D1" s="235"/>
      <c r="E1" s="235"/>
    </row>
    <row r="2" spans="1:26" ht="14.25" customHeight="1" x14ac:dyDescent="0.3">
      <c r="A2" s="237" t="s">
        <v>0</v>
      </c>
      <c r="B2" s="252" t="s">
        <v>1</v>
      </c>
      <c r="C2" s="252" t="s">
        <v>2</v>
      </c>
      <c r="D2" s="252" t="s">
        <v>3</v>
      </c>
      <c r="E2" s="237" t="s">
        <v>4</v>
      </c>
      <c r="F2" s="255" t="s">
        <v>530</v>
      </c>
      <c r="G2" s="256"/>
      <c r="H2" s="256"/>
      <c r="I2" s="256"/>
      <c r="J2" s="256"/>
      <c r="K2" s="256"/>
      <c r="L2" s="257"/>
      <c r="M2" s="237" t="s">
        <v>531</v>
      </c>
      <c r="N2" s="13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38"/>
      <c r="B3" s="238"/>
      <c r="C3" s="238"/>
      <c r="D3" s="238"/>
      <c r="E3" s="238"/>
      <c r="F3" s="246" t="s">
        <v>528</v>
      </c>
      <c r="G3" s="246" t="s">
        <v>507</v>
      </c>
      <c r="H3" s="246" t="s">
        <v>508</v>
      </c>
      <c r="I3" s="246" t="s">
        <v>509</v>
      </c>
      <c r="J3" s="246" t="s">
        <v>510</v>
      </c>
      <c r="K3" s="246" t="s">
        <v>511</v>
      </c>
      <c r="L3" s="253" t="s">
        <v>535</v>
      </c>
      <c r="M3" s="238"/>
      <c r="N3" s="13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238"/>
      <c r="B4" s="238"/>
      <c r="C4" s="238"/>
      <c r="D4" s="238"/>
      <c r="E4" s="238"/>
      <c r="F4" s="239"/>
      <c r="G4" s="239"/>
      <c r="H4" s="239"/>
      <c r="I4" s="239"/>
      <c r="J4" s="239"/>
      <c r="K4" s="239"/>
      <c r="L4" s="254"/>
      <c r="M4" s="238"/>
      <c r="N4" s="13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238"/>
      <c r="B5" s="239"/>
      <c r="C5" s="239"/>
      <c r="D5" s="239"/>
      <c r="E5" s="239"/>
      <c r="F5" s="139" t="s">
        <v>538</v>
      </c>
      <c r="G5" s="139" t="s">
        <v>539</v>
      </c>
      <c r="H5" s="139" t="s">
        <v>540</v>
      </c>
      <c r="I5" s="139" t="s">
        <v>539</v>
      </c>
      <c r="J5" s="139" t="s">
        <v>541</v>
      </c>
      <c r="K5" s="139" t="s">
        <v>540</v>
      </c>
      <c r="L5" s="140" t="s">
        <v>542</v>
      </c>
      <c r="M5" s="239"/>
      <c r="N5" s="13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223" t="s">
        <v>233</v>
      </c>
      <c r="B6" s="258" t="s">
        <v>234</v>
      </c>
      <c r="C6" s="241"/>
      <c r="D6" s="241"/>
      <c r="E6" s="242"/>
      <c r="F6" s="223"/>
      <c r="G6" s="223"/>
      <c r="H6" s="223"/>
      <c r="I6" s="223"/>
      <c r="J6" s="223"/>
      <c r="K6" s="223"/>
      <c r="L6" s="223"/>
      <c r="M6" s="22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2">
        <v>1</v>
      </c>
      <c r="B7" s="13" t="s">
        <v>109</v>
      </c>
      <c r="C7" s="14">
        <v>148</v>
      </c>
      <c r="D7" s="13" t="s">
        <v>110</v>
      </c>
      <c r="E7" s="13">
        <v>35000001</v>
      </c>
      <c r="F7" s="107">
        <v>29.82</v>
      </c>
      <c r="G7" s="107">
        <v>13.38</v>
      </c>
      <c r="H7" s="107">
        <v>6</v>
      </c>
      <c r="I7" s="107">
        <v>6.5</v>
      </c>
      <c r="J7" s="107">
        <v>3.1</v>
      </c>
      <c r="K7" s="107">
        <v>3.4</v>
      </c>
      <c r="L7" s="107">
        <f t="shared" ref="L7:L172" si="0">+SUM(F7:K7)</f>
        <v>62.2</v>
      </c>
      <c r="M7" s="13" t="s">
        <v>543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4" x14ac:dyDescent="0.3">
      <c r="A8" s="12">
        <v>2</v>
      </c>
      <c r="B8" s="13" t="s">
        <v>111</v>
      </c>
      <c r="C8" s="14">
        <v>156</v>
      </c>
      <c r="D8" s="13" t="s">
        <v>110</v>
      </c>
      <c r="E8" s="13">
        <v>35000002</v>
      </c>
      <c r="F8" s="107">
        <v>29.92</v>
      </c>
      <c r="G8" s="107">
        <v>13.36</v>
      </c>
      <c r="H8" s="107">
        <v>6</v>
      </c>
      <c r="I8" s="107">
        <v>6.5</v>
      </c>
      <c r="J8" s="107">
        <v>3.1</v>
      </c>
      <c r="K8" s="107">
        <v>3</v>
      </c>
      <c r="L8" s="107">
        <f t="shared" si="0"/>
        <v>61.88</v>
      </c>
      <c r="M8" s="13" t="s">
        <v>543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4" x14ac:dyDescent="0.3">
      <c r="A9" s="224">
        <v>3</v>
      </c>
      <c r="B9" s="116" t="s">
        <v>112</v>
      </c>
      <c r="C9" s="117">
        <v>1212</v>
      </c>
      <c r="D9" s="116" t="s">
        <v>110</v>
      </c>
      <c r="E9" s="116">
        <v>35000003</v>
      </c>
      <c r="F9" s="115">
        <v>30.26</v>
      </c>
      <c r="G9" s="115">
        <v>13.4</v>
      </c>
      <c r="H9" s="115">
        <v>6</v>
      </c>
      <c r="I9" s="115">
        <v>6.5</v>
      </c>
      <c r="J9" s="115">
        <v>2.9</v>
      </c>
      <c r="K9" s="115">
        <v>3.99</v>
      </c>
      <c r="L9" s="115">
        <f t="shared" si="0"/>
        <v>63.050000000000004</v>
      </c>
      <c r="M9" s="116" t="s">
        <v>543</v>
      </c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</row>
    <row r="10" spans="1:26" ht="14.4" x14ac:dyDescent="0.3">
      <c r="A10" s="12">
        <v>4</v>
      </c>
      <c r="B10" s="13" t="s">
        <v>113</v>
      </c>
      <c r="C10" s="14">
        <v>20</v>
      </c>
      <c r="D10" s="13" t="s">
        <v>110</v>
      </c>
      <c r="E10" s="13">
        <v>35000004</v>
      </c>
      <c r="F10" s="107">
        <v>28.65</v>
      </c>
      <c r="G10" s="107">
        <v>13.53</v>
      </c>
      <c r="H10" s="107">
        <v>6</v>
      </c>
      <c r="I10" s="107">
        <v>6.5</v>
      </c>
      <c r="J10" s="107">
        <v>3.1</v>
      </c>
      <c r="K10" s="107">
        <v>3</v>
      </c>
      <c r="L10" s="107">
        <f t="shared" si="0"/>
        <v>60.78</v>
      </c>
      <c r="M10" s="13" t="s">
        <v>543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4" x14ac:dyDescent="0.3">
      <c r="A11" s="12">
        <v>5</v>
      </c>
      <c r="B11" s="13" t="s">
        <v>114</v>
      </c>
      <c r="C11" s="14">
        <v>527</v>
      </c>
      <c r="D11" s="13" t="s">
        <v>110</v>
      </c>
      <c r="E11" s="13">
        <v>35000005</v>
      </c>
      <c r="F11" s="107">
        <v>19.29</v>
      </c>
      <c r="G11" s="107">
        <v>12.71</v>
      </c>
      <c r="H11" s="107">
        <v>4.5999999999999996</v>
      </c>
      <c r="I11" s="107">
        <v>10.28</v>
      </c>
      <c r="J11" s="107">
        <v>2.98</v>
      </c>
      <c r="K11" s="107">
        <v>4.2</v>
      </c>
      <c r="L11" s="107">
        <f t="shared" si="0"/>
        <v>54.06</v>
      </c>
      <c r="M11" s="13" t="s">
        <v>544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4.4" x14ac:dyDescent="0.3">
      <c r="A12" s="12">
        <v>6</v>
      </c>
      <c r="B12" s="13" t="s">
        <v>115</v>
      </c>
      <c r="C12" s="14">
        <v>457</v>
      </c>
      <c r="D12" s="13" t="s">
        <v>116</v>
      </c>
      <c r="E12" s="13">
        <v>35000006</v>
      </c>
      <c r="F12" s="107">
        <v>23.97</v>
      </c>
      <c r="G12" s="107">
        <v>13.65</v>
      </c>
      <c r="H12" s="107">
        <v>3.9</v>
      </c>
      <c r="I12" s="107">
        <v>8.26</v>
      </c>
      <c r="J12" s="107">
        <v>3.1</v>
      </c>
      <c r="K12" s="107">
        <v>6.3</v>
      </c>
      <c r="L12" s="107">
        <f t="shared" si="0"/>
        <v>59.179999999999993</v>
      </c>
      <c r="M12" s="13" t="s">
        <v>543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4.4" x14ac:dyDescent="0.3">
      <c r="A13" s="12">
        <v>7</v>
      </c>
      <c r="B13" s="13" t="s">
        <v>117</v>
      </c>
      <c r="C13" s="14">
        <v>107</v>
      </c>
      <c r="D13" s="13" t="s">
        <v>110</v>
      </c>
      <c r="E13" s="13">
        <v>35000007</v>
      </c>
      <c r="F13" s="107">
        <v>29.45</v>
      </c>
      <c r="G13" s="107">
        <v>13.38</v>
      </c>
      <c r="H13" s="107">
        <v>6</v>
      </c>
      <c r="I13" s="107">
        <v>6.5</v>
      </c>
      <c r="J13" s="107">
        <v>3.1</v>
      </c>
      <c r="K13" s="107">
        <v>3</v>
      </c>
      <c r="L13" s="107">
        <f t="shared" si="0"/>
        <v>61.43</v>
      </c>
      <c r="M13" s="13" t="s">
        <v>543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4" x14ac:dyDescent="0.3">
      <c r="A14" s="12">
        <v>8</v>
      </c>
      <c r="B14" s="13" t="s">
        <v>118</v>
      </c>
      <c r="C14" s="14">
        <v>39</v>
      </c>
      <c r="D14" s="13" t="s">
        <v>110</v>
      </c>
      <c r="E14" s="13">
        <v>35000008</v>
      </c>
      <c r="F14" s="107">
        <v>28.57</v>
      </c>
      <c r="G14" s="107">
        <v>14.35</v>
      </c>
      <c r="H14" s="107">
        <v>4.5999999999999996</v>
      </c>
      <c r="I14" s="107">
        <v>7.7</v>
      </c>
      <c r="J14" s="107">
        <v>3.1</v>
      </c>
      <c r="K14" s="107">
        <v>3</v>
      </c>
      <c r="L14" s="107">
        <f t="shared" si="0"/>
        <v>61.320000000000007</v>
      </c>
      <c r="M14" s="13" t="s">
        <v>543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4" x14ac:dyDescent="0.3">
      <c r="A15" s="12">
        <v>9</v>
      </c>
      <c r="B15" s="13" t="s">
        <v>119</v>
      </c>
      <c r="C15" s="14">
        <v>282</v>
      </c>
      <c r="D15" s="13" t="s">
        <v>116</v>
      </c>
      <c r="E15" s="13">
        <v>35000009</v>
      </c>
      <c r="F15" s="107">
        <v>28.48</v>
      </c>
      <c r="G15" s="107">
        <v>13.54</v>
      </c>
      <c r="H15" s="107">
        <v>3.8</v>
      </c>
      <c r="I15" s="107">
        <v>9.6999999999999993</v>
      </c>
      <c r="J15" s="107">
        <v>2.9</v>
      </c>
      <c r="K15" s="107">
        <v>3</v>
      </c>
      <c r="L15" s="107">
        <f t="shared" si="0"/>
        <v>61.419999999999995</v>
      </c>
      <c r="M15" s="13" t="s">
        <v>543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4.4" x14ac:dyDescent="0.3">
      <c r="A16" s="12">
        <v>10</v>
      </c>
      <c r="B16" s="13" t="s">
        <v>120</v>
      </c>
      <c r="C16" s="14">
        <v>726</v>
      </c>
      <c r="D16" s="13" t="s">
        <v>110</v>
      </c>
      <c r="E16" s="13">
        <v>35000010</v>
      </c>
      <c r="F16" s="107">
        <v>31.96</v>
      </c>
      <c r="G16" s="107">
        <v>13.27</v>
      </c>
      <c r="H16" s="107">
        <v>5.9</v>
      </c>
      <c r="I16" s="107">
        <v>6.5</v>
      </c>
      <c r="J16" s="107">
        <v>3.1</v>
      </c>
      <c r="K16" s="107">
        <v>3</v>
      </c>
      <c r="L16" s="107">
        <f t="shared" si="0"/>
        <v>63.730000000000004</v>
      </c>
      <c r="M16" s="13" t="s">
        <v>543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4" x14ac:dyDescent="0.3">
      <c r="A17" s="12">
        <v>11</v>
      </c>
      <c r="B17" s="13" t="s">
        <v>121</v>
      </c>
      <c r="C17" s="14">
        <v>63</v>
      </c>
      <c r="D17" s="13" t="s">
        <v>110</v>
      </c>
      <c r="E17" s="13">
        <v>35000011</v>
      </c>
      <c r="F17" s="107">
        <v>27.57</v>
      </c>
      <c r="G17" s="107">
        <v>13.46</v>
      </c>
      <c r="H17" s="107">
        <v>6</v>
      </c>
      <c r="I17" s="107">
        <v>6.5</v>
      </c>
      <c r="J17" s="107">
        <v>3.1</v>
      </c>
      <c r="K17" s="107">
        <v>3</v>
      </c>
      <c r="L17" s="107">
        <f t="shared" si="0"/>
        <v>59.63</v>
      </c>
      <c r="M17" s="13" t="s">
        <v>543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4.4" x14ac:dyDescent="0.3">
      <c r="A18" s="12">
        <v>12</v>
      </c>
      <c r="B18" s="13" t="s">
        <v>122</v>
      </c>
      <c r="C18" s="14">
        <v>70</v>
      </c>
      <c r="D18" s="13" t="s">
        <v>110</v>
      </c>
      <c r="E18" s="13">
        <v>35000012</v>
      </c>
      <c r="F18" s="107">
        <v>28.39</v>
      </c>
      <c r="G18" s="107">
        <v>15</v>
      </c>
      <c r="H18" s="107">
        <v>5</v>
      </c>
      <c r="I18" s="107">
        <v>7.14</v>
      </c>
      <c r="J18" s="107">
        <v>3.1</v>
      </c>
      <c r="K18" s="107">
        <v>3</v>
      </c>
      <c r="L18" s="107">
        <f t="shared" si="0"/>
        <v>61.63</v>
      </c>
      <c r="M18" s="13" t="s">
        <v>543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4.4" x14ac:dyDescent="0.3">
      <c r="A19" s="12">
        <v>13</v>
      </c>
      <c r="B19" s="13" t="s">
        <v>123</v>
      </c>
      <c r="C19" s="14">
        <v>53</v>
      </c>
      <c r="D19" s="13" t="s">
        <v>110</v>
      </c>
      <c r="E19" s="13">
        <v>35000013</v>
      </c>
      <c r="F19" s="107">
        <v>22.16</v>
      </c>
      <c r="G19" s="107">
        <v>14.81</v>
      </c>
      <c r="H19" s="107">
        <v>6.2</v>
      </c>
      <c r="I19" s="107">
        <v>9.8800000000000008</v>
      </c>
      <c r="J19" s="107">
        <v>2.7</v>
      </c>
      <c r="K19" s="107">
        <v>4.16</v>
      </c>
      <c r="L19" s="107">
        <f t="shared" si="0"/>
        <v>59.910000000000011</v>
      </c>
      <c r="M19" s="13" t="s">
        <v>545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4.4" x14ac:dyDescent="0.3">
      <c r="A20" s="12">
        <v>14</v>
      </c>
      <c r="B20" s="13" t="s">
        <v>124</v>
      </c>
      <c r="C20" s="14">
        <v>193</v>
      </c>
      <c r="D20" s="13" t="s">
        <v>110</v>
      </c>
      <c r="E20" s="13">
        <v>35000014</v>
      </c>
      <c r="F20" s="107">
        <v>27.55</v>
      </c>
      <c r="G20" s="107">
        <v>11.04</v>
      </c>
      <c r="H20" s="107">
        <v>6.95</v>
      </c>
      <c r="I20" s="107">
        <v>7.86</v>
      </c>
      <c r="J20" s="107">
        <v>3.45</v>
      </c>
      <c r="K20" s="107">
        <v>0</v>
      </c>
      <c r="L20" s="107">
        <f t="shared" si="0"/>
        <v>56.850000000000009</v>
      </c>
      <c r="M20" s="13" t="s">
        <v>543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3">
      <c r="A21" s="12">
        <v>15</v>
      </c>
      <c r="B21" s="13" t="s">
        <v>125</v>
      </c>
      <c r="C21" s="14">
        <v>455</v>
      </c>
      <c r="D21" s="13" t="s">
        <v>110</v>
      </c>
      <c r="E21" s="13">
        <v>35000015</v>
      </c>
      <c r="F21" s="107">
        <v>27.88</v>
      </c>
      <c r="G21" s="107">
        <v>11.42</v>
      </c>
      <c r="H21" s="107">
        <v>4.24</v>
      </c>
      <c r="I21" s="107">
        <v>6.1</v>
      </c>
      <c r="J21" s="107">
        <v>3.5</v>
      </c>
      <c r="K21" s="107">
        <v>0</v>
      </c>
      <c r="L21" s="107">
        <f t="shared" si="0"/>
        <v>53.14</v>
      </c>
      <c r="M21" s="13" t="s">
        <v>543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3">
      <c r="A22" s="12">
        <v>16</v>
      </c>
      <c r="B22" s="13" t="s">
        <v>126</v>
      </c>
      <c r="C22" s="14">
        <v>16</v>
      </c>
      <c r="D22" s="13" t="s">
        <v>110</v>
      </c>
      <c r="E22" s="13">
        <v>35000016</v>
      </c>
      <c r="F22" s="107">
        <v>27.18</v>
      </c>
      <c r="G22" s="107">
        <v>13.4</v>
      </c>
      <c r="H22" s="107">
        <v>6</v>
      </c>
      <c r="I22" s="107">
        <v>6.9</v>
      </c>
      <c r="J22" s="107">
        <v>3.1</v>
      </c>
      <c r="K22" s="107">
        <v>3</v>
      </c>
      <c r="L22" s="107">
        <f t="shared" si="0"/>
        <v>59.58</v>
      </c>
      <c r="M22" s="13" t="s">
        <v>543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3">
      <c r="A23" s="12">
        <v>17</v>
      </c>
      <c r="B23" s="13" t="s">
        <v>127</v>
      </c>
      <c r="C23" s="14">
        <v>32</v>
      </c>
      <c r="D23" s="13" t="s">
        <v>110</v>
      </c>
      <c r="E23" s="13">
        <v>35000017</v>
      </c>
      <c r="F23" s="107">
        <v>22.54</v>
      </c>
      <c r="G23" s="107">
        <v>13.5</v>
      </c>
      <c r="H23" s="107">
        <v>6</v>
      </c>
      <c r="I23" s="107">
        <v>6.5</v>
      </c>
      <c r="J23" s="107">
        <v>3.1</v>
      </c>
      <c r="K23" s="107">
        <v>3</v>
      </c>
      <c r="L23" s="107">
        <f t="shared" si="0"/>
        <v>54.64</v>
      </c>
      <c r="M23" s="13" t="s">
        <v>543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3">
      <c r="A24" s="12">
        <v>18</v>
      </c>
      <c r="B24" s="13" t="s">
        <v>128</v>
      </c>
      <c r="C24" s="14">
        <v>46</v>
      </c>
      <c r="D24" s="13" t="s">
        <v>110</v>
      </c>
      <c r="E24" s="13">
        <v>35000018</v>
      </c>
      <c r="F24" s="107">
        <v>27.43</v>
      </c>
      <c r="G24" s="107">
        <v>15</v>
      </c>
      <c r="H24" s="107">
        <v>5.9</v>
      </c>
      <c r="I24" s="107">
        <v>7.3</v>
      </c>
      <c r="J24" s="107">
        <v>3.1</v>
      </c>
      <c r="K24" s="107">
        <v>3</v>
      </c>
      <c r="L24" s="107">
        <f t="shared" si="0"/>
        <v>61.73</v>
      </c>
      <c r="M24" s="13" t="s">
        <v>543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3">
      <c r="A25" s="12">
        <v>19</v>
      </c>
      <c r="B25" s="13" t="s">
        <v>129</v>
      </c>
      <c r="C25" s="14">
        <v>59</v>
      </c>
      <c r="D25" s="13" t="s">
        <v>110</v>
      </c>
      <c r="E25" s="13">
        <v>35000019</v>
      </c>
      <c r="F25" s="107">
        <v>21.83</v>
      </c>
      <c r="G25" s="107">
        <v>13.21</v>
      </c>
      <c r="H25" s="107">
        <v>6</v>
      </c>
      <c r="I25" s="107">
        <v>6.5</v>
      </c>
      <c r="J25" s="107">
        <v>3.1</v>
      </c>
      <c r="K25" s="107">
        <v>3</v>
      </c>
      <c r="L25" s="107">
        <f t="shared" si="0"/>
        <v>53.64</v>
      </c>
      <c r="M25" s="13" t="s">
        <v>543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3">
      <c r="A26" s="12">
        <v>20</v>
      </c>
      <c r="B26" s="13" t="s">
        <v>130</v>
      </c>
      <c r="C26" s="14">
        <v>119</v>
      </c>
      <c r="D26" s="13" t="s">
        <v>110</v>
      </c>
      <c r="E26" s="13">
        <v>35003010</v>
      </c>
      <c r="F26" s="107">
        <v>28.83</v>
      </c>
      <c r="G26" s="107">
        <v>14.56</v>
      </c>
      <c r="H26" s="107">
        <v>5.9</v>
      </c>
      <c r="I26" s="107">
        <v>6.5</v>
      </c>
      <c r="J26" s="107">
        <v>2.9</v>
      </c>
      <c r="K26" s="107">
        <v>3</v>
      </c>
      <c r="L26" s="107">
        <f t="shared" si="0"/>
        <v>61.69</v>
      </c>
      <c r="M26" s="13" t="s">
        <v>543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3">
      <c r="A27" s="12">
        <v>21</v>
      </c>
      <c r="B27" s="13" t="s">
        <v>133</v>
      </c>
      <c r="C27" s="14">
        <v>165</v>
      </c>
      <c r="D27" s="13" t="s">
        <v>134</v>
      </c>
      <c r="E27" s="13">
        <v>35000021</v>
      </c>
      <c r="F27" s="107">
        <v>21.53</v>
      </c>
      <c r="G27" s="107">
        <v>13.86</v>
      </c>
      <c r="H27" s="107">
        <v>7.15</v>
      </c>
      <c r="I27" s="107">
        <v>11.1</v>
      </c>
      <c r="J27" s="107">
        <v>3.65</v>
      </c>
      <c r="K27" s="107">
        <v>7.75</v>
      </c>
      <c r="L27" s="107">
        <f t="shared" si="0"/>
        <v>65.039999999999992</v>
      </c>
      <c r="M27" s="13" t="s">
        <v>543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3">
      <c r="A28" s="12">
        <v>22</v>
      </c>
      <c r="B28" s="13" t="s">
        <v>135</v>
      </c>
      <c r="C28" s="14">
        <v>551</v>
      </c>
      <c r="D28" s="13" t="s">
        <v>132</v>
      </c>
      <c r="E28" s="13">
        <v>35000022</v>
      </c>
      <c r="F28" s="107">
        <v>17.97</v>
      </c>
      <c r="G28" s="107">
        <v>12.21</v>
      </c>
      <c r="H28" s="107">
        <v>5.09</v>
      </c>
      <c r="I28" s="107">
        <v>8.9</v>
      </c>
      <c r="J28" s="107">
        <v>3.58</v>
      </c>
      <c r="K28" s="107">
        <v>5.96</v>
      </c>
      <c r="L28" s="107">
        <f t="shared" si="0"/>
        <v>53.709999999999994</v>
      </c>
      <c r="M28" s="13" t="s">
        <v>543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3">
      <c r="A29" s="12">
        <v>23</v>
      </c>
      <c r="B29" s="13" t="s">
        <v>137</v>
      </c>
      <c r="C29" s="14">
        <v>69</v>
      </c>
      <c r="D29" s="13" t="s">
        <v>138</v>
      </c>
      <c r="E29" s="13">
        <v>35000024</v>
      </c>
      <c r="F29" s="107">
        <v>24.75</v>
      </c>
      <c r="G29" s="107">
        <v>14.28</v>
      </c>
      <c r="H29" s="107">
        <v>7</v>
      </c>
      <c r="I29" s="107">
        <v>10.5</v>
      </c>
      <c r="J29" s="107">
        <v>4.03</v>
      </c>
      <c r="K29" s="107">
        <v>4.26</v>
      </c>
      <c r="L29" s="107">
        <f t="shared" si="0"/>
        <v>64.820000000000007</v>
      </c>
      <c r="M29" s="13" t="s">
        <v>543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3">
      <c r="A30" s="12">
        <v>24</v>
      </c>
      <c r="B30" s="13" t="s">
        <v>139</v>
      </c>
      <c r="C30" s="14">
        <v>54</v>
      </c>
      <c r="D30" s="13" t="s">
        <v>138</v>
      </c>
      <c r="E30" s="13">
        <v>35000025</v>
      </c>
      <c r="F30" s="107">
        <v>29.82</v>
      </c>
      <c r="G30" s="107">
        <v>13.51</v>
      </c>
      <c r="H30" s="107">
        <v>6</v>
      </c>
      <c r="I30" s="107">
        <v>10.5</v>
      </c>
      <c r="J30" s="107">
        <v>3.5</v>
      </c>
      <c r="K30" s="107">
        <v>7</v>
      </c>
      <c r="L30" s="107">
        <f t="shared" si="0"/>
        <v>70.33</v>
      </c>
      <c r="M30" s="13" t="s">
        <v>543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3">
      <c r="A31" s="12">
        <v>25</v>
      </c>
      <c r="B31" s="13" t="s">
        <v>140</v>
      </c>
      <c r="C31" s="14">
        <v>23</v>
      </c>
      <c r="D31" s="13" t="s">
        <v>138</v>
      </c>
      <c r="E31" s="13">
        <v>35000026</v>
      </c>
      <c r="F31" s="107">
        <v>29.66</v>
      </c>
      <c r="G31" s="107">
        <v>13.53</v>
      </c>
      <c r="H31" s="107">
        <v>7</v>
      </c>
      <c r="I31" s="107">
        <v>10.5</v>
      </c>
      <c r="J31" s="107">
        <v>3.5</v>
      </c>
      <c r="K31" s="107">
        <v>7</v>
      </c>
      <c r="L31" s="107">
        <f t="shared" si="0"/>
        <v>71.19</v>
      </c>
      <c r="M31" s="13" t="s">
        <v>543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3">
      <c r="A32" s="12">
        <v>26</v>
      </c>
      <c r="B32" s="13" t="s">
        <v>141</v>
      </c>
      <c r="C32" s="14">
        <v>42</v>
      </c>
      <c r="D32" s="13" t="s">
        <v>138</v>
      </c>
      <c r="E32" s="13">
        <v>35000027</v>
      </c>
      <c r="F32" s="107">
        <v>28.87</v>
      </c>
      <c r="G32" s="107">
        <v>13.15</v>
      </c>
      <c r="H32" s="107">
        <v>7</v>
      </c>
      <c r="I32" s="107">
        <v>10.5</v>
      </c>
      <c r="J32" s="107">
        <v>3.5</v>
      </c>
      <c r="K32" s="107">
        <v>7</v>
      </c>
      <c r="L32" s="107">
        <f t="shared" si="0"/>
        <v>70.02000000000001</v>
      </c>
      <c r="M32" s="13" t="s">
        <v>543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3">
      <c r="A33" s="12">
        <v>27</v>
      </c>
      <c r="B33" s="13" t="s">
        <v>142</v>
      </c>
      <c r="C33" s="14">
        <v>51</v>
      </c>
      <c r="D33" s="13" t="s">
        <v>138</v>
      </c>
      <c r="E33" s="13">
        <v>35000028</v>
      </c>
      <c r="F33" s="107">
        <v>13.8</v>
      </c>
      <c r="G33" s="107">
        <v>13.22</v>
      </c>
      <c r="H33" s="107">
        <v>7</v>
      </c>
      <c r="I33" s="107">
        <v>10.5</v>
      </c>
      <c r="J33" s="107">
        <v>3.5</v>
      </c>
      <c r="K33" s="107">
        <v>7</v>
      </c>
      <c r="L33" s="107">
        <f t="shared" si="0"/>
        <v>55.02</v>
      </c>
      <c r="M33" s="13" t="s">
        <v>543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3">
      <c r="A34" s="12">
        <v>28</v>
      </c>
      <c r="B34" s="13" t="s">
        <v>143</v>
      </c>
      <c r="C34" s="14">
        <v>82</v>
      </c>
      <c r="D34" s="13" t="s">
        <v>138</v>
      </c>
      <c r="E34" s="13">
        <v>35000029</v>
      </c>
      <c r="F34" s="107">
        <v>27.48</v>
      </c>
      <c r="G34" s="107">
        <v>13.52</v>
      </c>
      <c r="H34" s="107">
        <v>7</v>
      </c>
      <c r="I34" s="107">
        <v>10.5</v>
      </c>
      <c r="J34" s="107">
        <v>3.5</v>
      </c>
      <c r="K34" s="107">
        <v>7</v>
      </c>
      <c r="L34" s="107">
        <f t="shared" si="0"/>
        <v>69</v>
      </c>
      <c r="M34" s="13" t="s">
        <v>543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3">
      <c r="A35" s="12">
        <v>29</v>
      </c>
      <c r="B35" s="13" t="s">
        <v>144</v>
      </c>
      <c r="C35" s="14">
        <v>62</v>
      </c>
      <c r="D35" s="13" t="s">
        <v>138</v>
      </c>
      <c r="E35" s="13">
        <v>35000030</v>
      </c>
      <c r="F35" s="107">
        <v>24.65</v>
      </c>
      <c r="G35" s="107">
        <v>13.57</v>
      </c>
      <c r="H35" s="107">
        <v>7</v>
      </c>
      <c r="I35" s="107">
        <v>10.5</v>
      </c>
      <c r="J35" s="107">
        <v>3.5</v>
      </c>
      <c r="K35" s="107">
        <v>7</v>
      </c>
      <c r="L35" s="107">
        <f t="shared" si="0"/>
        <v>66.22</v>
      </c>
      <c r="M35" s="13" t="s">
        <v>543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3">
      <c r="A36" s="12">
        <v>30</v>
      </c>
      <c r="B36" s="13" t="s">
        <v>145</v>
      </c>
      <c r="C36" s="14">
        <v>56</v>
      </c>
      <c r="D36" s="13" t="s">
        <v>138</v>
      </c>
      <c r="E36" s="13">
        <v>35000032</v>
      </c>
      <c r="F36" s="107">
        <v>26.65</v>
      </c>
      <c r="G36" s="107">
        <v>13.17</v>
      </c>
      <c r="H36" s="107">
        <v>7</v>
      </c>
      <c r="I36" s="107">
        <v>10.5</v>
      </c>
      <c r="J36" s="107">
        <v>3.5</v>
      </c>
      <c r="K36" s="107">
        <v>7</v>
      </c>
      <c r="L36" s="107">
        <f t="shared" si="0"/>
        <v>67.819999999999993</v>
      </c>
      <c r="M36" s="13" t="s">
        <v>543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3">
      <c r="A37" s="12">
        <v>31</v>
      </c>
      <c r="B37" s="13" t="s">
        <v>146</v>
      </c>
      <c r="C37" s="14">
        <v>38</v>
      </c>
      <c r="D37" s="13" t="s">
        <v>138</v>
      </c>
      <c r="E37" s="13">
        <v>35000033</v>
      </c>
      <c r="F37" s="107">
        <v>17.25</v>
      </c>
      <c r="G37" s="107">
        <v>13.58</v>
      </c>
      <c r="H37" s="107">
        <v>7</v>
      </c>
      <c r="I37" s="107">
        <v>10.5</v>
      </c>
      <c r="J37" s="107">
        <v>3.5</v>
      </c>
      <c r="K37" s="107">
        <v>7</v>
      </c>
      <c r="L37" s="107">
        <f t="shared" si="0"/>
        <v>58.83</v>
      </c>
      <c r="M37" s="13" t="s">
        <v>543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3">
      <c r="A38" s="12">
        <v>32</v>
      </c>
      <c r="B38" s="13" t="s">
        <v>147</v>
      </c>
      <c r="C38" s="14">
        <v>45</v>
      </c>
      <c r="D38" s="13" t="s">
        <v>138</v>
      </c>
      <c r="E38" s="13">
        <v>35000038</v>
      </c>
      <c r="F38" s="118">
        <v>25.3</v>
      </c>
      <c r="G38" s="107">
        <v>11.51</v>
      </c>
      <c r="H38" s="107">
        <v>7</v>
      </c>
      <c r="I38" s="107">
        <v>10.5</v>
      </c>
      <c r="J38" s="107">
        <v>3.5</v>
      </c>
      <c r="K38" s="107">
        <v>7</v>
      </c>
      <c r="L38" s="107">
        <f t="shared" si="0"/>
        <v>64.81</v>
      </c>
      <c r="M38" s="13" t="s">
        <v>543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3">
      <c r="A39" s="12">
        <v>33</v>
      </c>
      <c r="B39" s="13" t="s">
        <v>148</v>
      </c>
      <c r="C39" s="14">
        <v>461</v>
      </c>
      <c r="D39" s="13" t="s">
        <v>149</v>
      </c>
      <c r="E39" s="13">
        <v>35000039</v>
      </c>
      <c r="F39" s="107">
        <v>19.7</v>
      </c>
      <c r="G39" s="107">
        <v>12.18</v>
      </c>
      <c r="H39" s="107">
        <v>3.94</v>
      </c>
      <c r="I39" s="107">
        <v>8.9</v>
      </c>
      <c r="J39" s="107">
        <v>2.85</v>
      </c>
      <c r="K39" s="107">
        <v>5</v>
      </c>
      <c r="L39" s="107">
        <f t="shared" si="0"/>
        <v>52.57</v>
      </c>
      <c r="M39" s="13" t="s">
        <v>543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3">
      <c r="A40" s="224">
        <v>34</v>
      </c>
      <c r="B40" s="116" t="s">
        <v>12</v>
      </c>
      <c r="C40" s="117">
        <v>1763</v>
      </c>
      <c r="D40" s="116" t="s">
        <v>13</v>
      </c>
      <c r="E40" s="116">
        <v>35000194</v>
      </c>
      <c r="F40" s="119">
        <v>36.72</v>
      </c>
      <c r="G40" s="115">
        <v>14.47</v>
      </c>
      <c r="H40" s="115">
        <v>3</v>
      </c>
      <c r="I40" s="115">
        <v>5.7</v>
      </c>
      <c r="J40" s="115">
        <v>3.3</v>
      </c>
      <c r="K40" s="115">
        <v>6.6</v>
      </c>
      <c r="L40" s="115">
        <f t="shared" si="0"/>
        <v>69.789999999999992</v>
      </c>
      <c r="M40" s="116" t="s">
        <v>545</v>
      </c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</row>
    <row r="41" spans="1:26" ht="15.75" customHeight="1" x14ac:dyDescent="0.3">
      <c r="A41" s="12">
        <v>35</v>
      </c>
      <c r="B41" s="13" t="s">
        <v>107</v>
      </c>
      <c r="C41" s="14">
        <v>1378</v>
      </c>
      <c r="D41" s="13" t="s">
        <v>108</v>
      </c>
      <c r="E41" s="13">
        <v>35000095</v>
      </c>
      <c r="F41" s="107">
        <v>23.96</v>
      </c>
      <c r="G41" s="107">
        <v>9</v>
      </c>
      <c r="H41" s="107">
        <v>8.0500000000000007</v>
      </c>
      <c r="I41" s="107">
        <v>11.19</v>
      </c>
      <c r="J41" s="107">
        <v>3.5</v>
      </c>
      <c r="K41" s="107">
        <v>7</v>
      </c>
      <c r="L41" s="107">
        <f t="shared" si="0"/>
        <v>62.7</v>
      </c>
      <c r="M41" s="13" t="s">
        <v>543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4.25" customHeight="1" x14ac:dyDescent="0.3">
      <c r="A42" s="48" t="s">
        <v>236</v>
      </c>
      <c r="B42" s="228" t="s">
        <v>237</v>
      </c>
      <c r="C42" s="229"/>
      <c r="D42" s="229"/>
      <c r="E42" s="230"/>
      <c r="F42" s="175"/>
      <c r="G42" s="175"/>
      <c r="H42" s="175"/>
      <c r="I42" s="175"/>
      <c r="J42" s="175"/>
      <c r="K42" s="175"/>
      <c r="L42" s="107">
        <f t="shared" si="0"/>
        <v>0</v>
      </c>
      <c r="M42" s="4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224">
        <v>1</v>
      </c>
      <c r="B43" s="116" t="s">
        <v>131</v>
      </c>
      <c r="C43" s="117">
        <v>1926</v>
      </c>
      <c r="D43" s="116" t="s">
        <v>132</v>
      </c>
      <c r="E43" s="116">
        <v>35000020</v>
      </c>
      <c r="F43" s="115">
        <v>25.99</v>
      </c>
      <c r="G43" s="115">
        <v>11.26</v>
      </c>
      <c r="H43" s="115">
        <v>4.2</v>
      </c>
      <c r="I43" s="115">
        <v>7.62</v>
      </c>
      <c r="J43" s="115">
        <v>3.5</v>
      </c>
      <c r="K43" s="115">
        <v>4.76</v>
      </c>
      <c r="L43" s="115">
        <f t="shared" si="0"/>
        <v>57.33</v>
      </c>
      <c r="M43" s="116" t="s">
        <v>547</v>
      </c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</row>
    <row r="44" spans="1:26" ht="15.75" customHeight="1" x14ac:dyDescent="0.3">
      <c r="A44" s="224">
        <v>2</v>
      </c>
      <c r="B44" s="116" t="s">
        <v>136</v>
      </c>
      <c r="C44" s="117">
        <v>2946</v>
      </c>
      <c r="D44" s="116" t="s">
        <v>132</v>
      </c>
      <c r="E44" s="116">
        <v>35000023</v>
      </c>
      <c r="F44" s="119">
        <v>38.83</v>
      </c>
      <c r="G44" s="115">
        <v>11.46</v>
      </c>
      <c r="H44" s="115">
        <v>4.34</v>
      </c>
      <c r="I44" s="115">
        <v>6.02</v>
      </c>
      <c r="J44" s="115">
        <v>2.9</v>
      </c>
      <c r="K44" s="115">
        <v>4.76</v>
      </c>
      <c r="L44" s="115">
        <f t="shared" si="0"/>
        <v>68.309999999999988</v>
      </c>
      <c r="M44" s="116" t="s">
        <v>545</v>
      </c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</row>
    <row r="45" spans="1:26" ht="15.75" customHeight="1" x14ac:dyDescent="0.3">
      <c r="A45" s="12">
        <v>3</v>
      </c>
      <c r="B45" s="13" t="s">
        <v>150</v>
      </c>
      <c r="C45" s="14">
        <v>369</v>
      </c>
      <c r="D45" s="13" t="s">
        <v>151</v>
      </c>
      <c r="E45" s="13">
        <v>35000040</v>
      </c>
      <c r="F45" s="107">
        <v>22</v>
      </c>
      <c r="G45" s="107">
        <v>14.66</v>
      </c>
      <c r="H45" s="107">
        <v>7.5</v>
      </c>
      <c r="I45" s="107">
        <v>11.25</v>
      </c>
      <c r="J45" s="107">
        <v>3.8</v>
      </c>
      <c r="K45" s="107">
        <v>7</v>
      </c>
      <c r="L45" s="107">
        <f t="shared" si="0"/>
        <v>66.209999999999994</v>
      </c>
      <c r="M45" s="13" t="s">
        <v>545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3">
      <c r="A46" s="12">
        <v>4</v>
      </c>
      <c r="B46" s="13" t="s">
        <v>152</v>
      </c>
      <c r="C46" s="14">
        <v>281</v>
      </c>
      <c r="D46" s="13" t="s">
        <v>151</v>
      </c>
      <c r="E46" s="13">
        <v>35000041</v>
      </c>
      <c r="F46" s="107">
        <v>13.45</v>
      </c>
      <c r="G46" s="107">
        <v>14.35</v>
      </c>
      <c r="H46" s="107">
        <v>7.59</v>
      </c>
      <c r="I46" s="107">
        <v>11.07</v>
      </c>
      <c r="J46" s="107">
        <v>3.65</v>
      </c>
      <c r="K46" s="107">
        <v>7</v>
      </c>
      <c r="L46" s="107">
        <f t="shared" si="0"/>
        <v>57.11</v>
      </c>
      <c r="M46" s="13" t="s">
        <v>545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3">
      <c r="A47" s="12">
        <v>5</v>
      </c>
      <c r="B47" s="13" t="s">
        <v>153</v>
      </c>
      <c r="C47" s="14">
        <v>332</v>
      </c>
      <c r="D47" s="13" t="s">
        <v>151</v>
      </c>
      <c r="E47" s="13">
        <v>35000042</v>
      </c>
      <c r="F47" s="107">
        <v>23.79</v>
      </c>
      <c r="G47" s="107">
        <v>11.57</v>
      </c>
      <c r="H47" s="107">
        <v>8.4600000000000009</v>
      </c>
      <c r="I47" s="107">
        <v>12.72</v>
      </c>
      <c r="J47" s="107">
        <v>4.03</v>
      </c>
      <c r="K47" s="107">
        <v>7.9</v>
      </c>
      <c r="L47" s="107">
        <f t="shared" si="0"/>
        <v>68.47</v>
      </c>
      <c r="M47" s="13" t="s">
        <v>543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3">
      <c r="A48" s="12">
        <v>6</v>
      </c>
      <c r="B48" s="13" t="s">
        <v>154</v>
      </c>
      <c r="C48" s="14">
        <v>108</v>
      </c>
      <c r="D48" s="13" t="s">
        <v>151</v>
      </c>
      <c r="E48" s="13">
        <v>35000043</v>
      </c>
      <c r="F48" s="107">
        <v>28.53</v>
      </c>
      <c r="G48" s="107">
        <v>10.52</v>
      </c>
      <c r="H48" s="107">
        <v>7.37</v>
      </c>
      <c r="I48" s="107">
        <v>11.15</v>
      </c>
      <c r="J48" s="107">
        <v>3.8</v>
      </c>
      <c r="K48" s="107">
        <v>7</v>
      </c>
      <c r="L48" s="107">
        <f t="shared" si="0"/>
        <v>68.36999999999999</v>
      </c>
      <c r="M48" s="13" t="s">
        <v>545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3">
      <c r="A49" s="12">
        <v>7</v>
      </c>
      <c r="B49" s="13" t="s">
        <v>155</v>
      </c>
      <c r="C49" s="14">
        <v>98</v>
      </c>
      <c r="D49" s="13" t="s">
        <v>151</v>
      </c>
      <c r="E49" s="13">
        <v>35000044</v>
      </c>
      <c r="F49" s="107">
        <v>24.05</v>
      </c>
      <c r="G49" s="107">
        <v>13.96</v>
      </c>
      <c r="H49" s="107">
        <v>7.62</v>
      </c>
      <c r="I49" s="107">
        <v>11.06</v>
      </c>
      <c r="J49" s="107">
        <v>3.8</v>
      </c>
      <c r="K49" s="107">
        <v>7</v>
      </c>
      <c r="L49" s="107">
        <f t="shared" si="0"/>
        <v>67.490000000000009</v>
      </c>
      <c r="M49" s="13" t="s">
        <v>545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3">
      <c r="A50" s="12">
        <v>8</v>
      </c>
      <c r="B50" s="13" t="s">
        <v>156</v>
      </c>
      <c r="C50" s="14">
        <v>245</v>
      </c>
      <c r="D50" s="13" t="s">
        <v>151</v>
      </c>
      <c r="E50" s="13">
        <v>35000200</v>
      </c>
      <c r="F50" s="107">
        <v>20.81</v>
      </c>
      <c r="G50" s="107">
        <v>14.04</v>
      </c>
      <c r="H50" s="107">
        <v>7.44</v>
      </c>
      <c r="I50" s="107">
        <v>11.1</v>
      </c>
      <c r="J50" s="107">
        <v>3.88</v>
      </c>
      <c r="K50" s="107">
        <v>7</v>
      </c>
      <c r="L50" s="107">
        <f t="shared" si="0"/>
        <v>64.27</v>
      </c>
      <c r="M50" s="13" t="s">
        <v>545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3">
      <c r="A51" s="12">
        <v>9</v>
      </c>
      <c r="B51" s="13" t="s">
        <v>157</v>
      </c>
      <c r="C51" s="14">
        <v>113</v>
      </c>
      <c r="D51" s="13" t="s">
        <v>151</v>
      </c>
      <c r="E51" s="13">
        <v>35000206</v>
      </c>
      <c r="F51" s="107">
        <v>13.38</v>
      </c>
      <c r="G51" s="107">
        <v>14.63</v>
      </c>
      <c r="H51" s="107">
        <v>7.77</v>
      </c>
      <c r="I51" s="107">
        <v>10.76</v>
      </c>
      <c r="J51" s="107">
        <v>3.73</v>
      </c>
      <c r="K51" s="107">
        <v>7</v>
      </c>
      <c r="L51" s="107">
        <f t="shared" si="0"/>
        <v>57.269999999999996</v>
      </c>
      <c r="M51" s="13" t="s">
        <v>545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3">
      <c r="A52" s="12">
        <v>10</v>
      </c>
      <c r="B52" s="13" t="s">
        <v>158</v>
      </c>
      <c r="C52" s="14">
        <v>69</v>
      </c>
      <c r="D52" s="13" t="s">
        <v>151</v>
      </c>
      <c r="E52" s="13">
        <v>35000202</v>
      </c>
      <c r="F52" s="107">
        <v>23.57</v>
      </c>
      <c r="G52" s="107">
        <v>13.47</v>
      </c>
      <c r="H52" s="107">
        <v>7.59</v>
      </c>
      <c r="I52" s="107">
        <v>11.34</v>
      </c>
      <c r="J52" s="107">
        <v>3.8</v>
      </c>
      <c r="K52" s="107">
        <v>7.45</v>
      </c>
      <c r="L52" s="107">
        <f t="shared" si="0"/>
        <v>67.22</v>
      </c>
      <c r="M52" s="13" t="s">
        <v>545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3">
      <c r="A53" s="12">
        <v>11</v>
      </c>
      <c r="B53" s="13" t="s">
        <v>159</v>
      </c>
      <c r="C53" s="14">
        <v>38</v>
      </c>
      <c r="D53" s="13" t="s">
        <v>151</v>
      </c>
      <c r="E53" s="13">
        <v>35000203</v>
      </c>
      <c r="F53" s="107">
        <v>24.48</v>
      </c>
      <c r="G53" s="107">
        <v>13.36</v>
      </c>
      <c r="H53" s="107">
        <v>7.54</v>
      </c>
      <c r="I53" s="107">
        <v>11.4</v>
      </c>
      <c r="J53" s="107">
        <v>3.88</v>
      </c>
      <c r="K53" s="107">
        <v>7.6</v>
      </c>
      <c r="L53" s="107">
        <f t="shared" si="0"/>
        <v>68.260000000000005</v>
      </c>
      <c r="M53" s="13" t="s">
        <v>545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3">
      <c r="A54" s="12">
        <v>12</v>
      </c>
      <c r="B54" s="13" t="s">
        <v>48</v>
      </c>
      <c r="C54" s="14">
        <v>1637</v>
      </c>
      <c r="D54" s="13" t="s">
        <v>49</v>
      </c>
      <c r="E54" s="13">
        <v>35000096</v>
      </c>
      <c r="F54" s="107">
        <v>32</v>
      </c>
      <c r="G54" s="107">
        <v>12.5</v>
      </c>
      <c r="H54" s="107">
        <v>7.29</v>
      </c>
      <c r="I54" s="107">
        <v>11.49</v>
      </c>
      <c r="J54" s="107">
        <v>4.03</v>
      </c>
      <c r="K54" s="107">
        <v>7.68</v>
      </c>
      <c r="L54" s="107">
        <f t="shared" si="0"/>
        <v>74.990000000000009</v>
      </c>
      <c r="M54" s="13" t="s">
        <v>545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3">
      <c r="A55" s="224">
        <v>13</v>
      </c>
      <c r="B55" s="116" t="s">
        <v>50</v>
      </c>
      <c r="C55" s="117">
        <v>1086</v>
      </c>
      <c r="D55" s="116" t="s">
        <v>49</v>
      </c>
      <c r="E55" s="116">
        <v>35000097</v>
      </c>
      <c r="F55" s="115">
        <v>29.28</v>
      </c>
      <c r="G55" s="115">
        <v>13.42</v>
      </c>
      <c r="H55" s="115">
        <v>7.71</v>
      </c>
      <c r="I55" s="115">
        <v>11.42</v>
      </c>
      <c r="J55" s="115">
        <v>3.88</v>
      </c>
      <c r="K55" s="115">
        <v>7.39</v>
      </c>
      <c r="L55" s="115">
        <f t="shared" si="0"/>
        <v>73.100000000000009</v>
      </c>
      <c r="M55" s="116" t="s">
        <v>545</v>
      </c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</row>
    <row r="56" spans="1:26" ht="15.75" customHeight="1" x14ac:dyDescent="0.3">
      <c r="A56" s="12">
        <v>14</v>
      </c>
      <c r="B56" s="13" t="s">
        <v>59</v>
      </c>
      <c r="C56" s="14">
        <v>1211</v>
      </c>
      <c r="D56" s="13" t="s">
        <v>60</v>
      </c>
      <c r="E56" s="13">
        <v>35000107</v>
      </c>
      <c r="F56" s="107">
        <v>23.37</v>
      </c>
      <c r="G56" s="107">
        <v>11.91</v>
      </c>
      <c r="H56" s="107">
        <v>4.4000000000000004</v>
      </c>
      <c r="I56" s="107">
        <v>8.9</v>
      </c>
      <c r="J56" s="107">
        <v>3.18</v>
      </c>
      <c r="K56" s="107">
        <v>5.2</v>
      </c>
      <c r="L56" s="107">
        <f t="shared" si="0"/>
        <v>56.96</v>
      </c>
      <c r="M56" s="13" t="s">
        <v>543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3">
      <c r="A57" s="224">
        <v>15</v>
      </c>
      <c r="B57" s="116" t="s">
        <v>61</v>
      </c>
      <c r="C57" s="117">
        <v>1470</v>
      </c>
      <c r="D57" s="116" t="s">
        <v>60</v>
      </c>
      <c r="E57" s="116">
        <v>35000108</v>
      </c>
      <c r="F57" s="115">
        <v>25.32</v>
      </c>
      <c r="G57" s="115">
        <v>11.24</v>
      </c>
      <c r="H57" s="115">
        <v>4.34</v>
      </c>
      <c r="I57" s="115">
        <v>8.58</v>
      </c>
      <c r="J57" s="115">
        <v>2.9</v>
      </c>
      <c r="K57" s="115">
        <v>3.84</v>
      </c>
      <c r="L57" s="115">
        <f t="shared" si="0"/>
        <v>56.22</v>
      </c>
      <c r="M57" s="116" t="s">
        <v>547</v>
      </c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</row>
    <row r="58" spans="1:26" ht="15.75" customHeight="1" x14ac:dyDescent="0.3">
      <c r="A58" s="12">
        <v>17</v>
      </c>
      <c r="B58" s="13" t="s">
        <v>34</v>
      </c>
      <c r="C58" s="14">
        <v>1812</v>
      </c>
      <c r="D58" s="13" t="s">
        <v>35</v>
      </c>
      <c r="E58" s="13">
        <v>35000111</v>
      </c>
      <c r="F58" s="107">
        <v>30.8</v>
      </c>
      <c r="G58" s="107">
        <v>14.34</v>
      </c>
      <c r="H58" s="107">
        <v>7.3</v>
      </c>
      <c r="I58" s="107">
        <v>11.16</v>
      </c>
      <c r="J58" s="107">
        <v>4.03</v>
      </c>
      <c r="K58" s="107">
        <v>7.59</v>
      </c>
      <c r="L58" s="107">
        <f t="shared" si="0"/>
        <v>75.22</v>
      </c>
      <c r="M58" s="13" t="s">
        <v>545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3">
      <c r="A59" s="12">
        <v>18</v>
      </c>
      <c r="B59" s="13" t="s">
        <v>36</v>
      </c>
      <c r="C59" s="14">
        <v>1182</v>
      </c>
      <c r="D59" s="13" t="s">
        <v>35</v>
      </c>
      <c r="E59" s="13">
        <v>35000110</v>
      </c>
      <c r="F59" s="107">
        <v>27.41</v>
      </c>
      <c r="G59" s="107">
        <v>13.17</v>
      </c>
      <c r="H59" s="107">
        <v>7.74</v>
      </c>
      <c r="I59" s="107">
        <v>11.45</v>
      </c>
      <c r="J59" s="107">
        <v>3.8</v>
      </c>
      <c r="K59" s="107">
        <v>7.84</v>
      </c>
      <c r="L59" s="107">
        <f t="shared" si="0"/>
        <v>71.41</v>
      </c>
      <c r="M59" s="13" t="s">
        <v>545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3">
      <c r="A60" s="12">
        <v>19</v>
      </c>
      <c r="B60" s="13" t="s">
        <v>160</v>
      </c>
      <c r="C60" s="14">
        <v>445</v>
      </c>
      <c r="D60" s="13" t="s">
        <v>161</v>
      </c>
      <c r="E60" s="13">
        <v>35000193</v>
      </c>
      <c r="F60" s="107">
        <v>25.55</v>
      </c>
      <c r="G60" s="107">
        <v>13.22</v>
      </c>
      <c r="H60" s="107">
        <v>7.81</v>
      </c>
      <c r="I60" s="107">
        <v>11.64</v>
      </c>
      <c r="J60" s="107">
        <v>3.8</v>
      </c>
      <c r="K60" s="107">
        <v>7</v>
      </c>
      <c r="L60" s="107">
        <f t="shared" si="0"/>
        <v>69.02000000000001</v>
      </c>
      <c r="M60" s="13" t="s">
        <v>545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4.25" customHeight="1" x14ac:dyDescent="0.3">
      <c r="A61" s="48" t="s">
        <v>238</v>
      </c>
      <c r="B61" s="228" t="s">
        <v>239</v>
      </c>
      <c r="C61" s="229"/>
      <c r="D61" s="229"/>
      <c r="E61" s="230"/>
      <c r="F61" s="175"/>
      <c r="G61" s="175"/>
      <c r="H61" s="175"/>
      <c r="I61" s="175"/>
      <c r="J61" s="175"/>
      <c r="K61" s="175"/>
      <c r="L61" s="107">
        <f t="shared" si="0"/>
        <v>0</v>
      </c>
      <c r="M61" s="48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2">
        <v>1</v>
      </c>
      <c r="B62" s="13" t="s">
        <v>162</v>
      </c>
      <c r="C62" s="14">
        <v>62</v>
      </c>
      <c r="D62" s="13" t="s">
        <v>163</v>
      </c>
      <c r="E62" s="13">
        <v>35000045</v>
      </c>
      <c r="F62" s="107">
        <v>21.06</v>
      </c>
      <c r="G62" s="107">
        <v>12.8</v>
      </c>
      <c r="H62" s="107">
        <v>7.65</v>
      </c>
      <c r="I62" s="107">
        <v>11.4</v>
      </c>
      <c r="J62" s="107">
        <v>3.88</v>
      </c>
      <c r="K62" s="107">
        <v>7.68</v>
      </c>
      <c r="L62" s="107">
        <f t="shared" si="0"/>
        <v>64.47</v>
      </c>
      <c r="M62" s="13" t="s">
        <v>545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3">
      <c r="A63" s="12">
        <v>2</v>
      </c>
      <c r="B63" s="13" t="s">
        <v>164</v>
      </c>
      <c r="C63" s="14">
        <v>288</v>
      </c>
      <c r="D63" s="13" t="s">
        <v>163</v>
      </c>
      <c r="E63" s="13">
        <v>35000046</v>
      </c>
      <c r="F63" s="107">
        <v>21.67</v>
      </c>
      <c r="G63" s="107">
        <v>11.75</v>
      </c>
      <c r="H63" s="107">
        <v>7.71</v>
      </c>
      <c r="I63" s="107">
        <v>11.64</v>
      </c>
      <c r="J63" s="107">
        <v>3.95</v>
      </c>
      <c r="K63" s="107">
        <v>7.24</v>
      </c>
      <c r="L63" s="107">
        <f t="shared" si="0"/>
        <v>63.960000000000008</v>
      </c>
      <c r="M63" s="13" t="s">
        <v>545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3">
      <c r="A64" s="12">
        <v>3</v>
      </c>
      <c r="B64" s="13" t="s">
        <v>165</v>
      </c>
      <c r="C64" s="14">
        <v>69</v>
      </c>
      <c r="D64" s="13" t="s">
        <v>163</v>
      </c>
      <c r="E64" s="13">
        <v>35000047</v>
      </c>
      <c r="F64" s="107">
        <v>21.16</v>
      </c>
      <c r="G64" s="107">
        <v>13.72</v>
      </c>
      <c r="H64" s="107">
        <v>7.48</v>
      </c>
      <c r="I64" s="107">
        <v>11.22</v>
      </c>
      <c r="J64" s="107">
        <v>3.8</v>
      </c>
      <c r="K64" s="107">
        <v>7.23</v>
      </c>
      <c r="L64" s="107">
        <f t="shared" si="0"/>
        <v>64.61</v>
      </c>
      <c r="M64" s="13" t="s">
        <v>545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3">
      <c r="A65" s="224">
        <v>4</v>
      </c>
      <c r="B65" s="116" t="s">
        <v>166</v>
      </c>
      <c r="C65" s="117">
        <v>661</v>
      </c>
      <c r="D65" s="116" t="s">
        <v>167</v>
      </c>
      <c r="E65" s="116">
        <v>35000048</v>
      </c>
      <c r="F65" s="115">
        <v>26.4</v>
      </c>
      <c r="G65" s="115">
        <v>10.27</v>
      </c>
      <c r="H65" s="115">
        <v>7.75</v>
      </c>
      <c r="I65" s="115">
        <v>11.27</v>
      </c>
      <c r="J65" s="115">
        <v>3.73</v>
      </c>
      <c r="K65" s="115">
        <v>7.53</v>
      </c>
      <c r="L65" s="115">
        <f t="shared" si="0"/>
        <v>66.949999999999989</v>
      </c>
      <c r="M65" s="116" t="s">
        <v>545</v>
      </c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</row>
    <row r="66" spans="1:26" ht="15.75" customHeight="1" x14ac:dyDescent="0.3">
      <c r="A66" s="224">
        <v>5</v>
      </c>
      <c r="B66" s="116" t="s">
        <v>168</v>
      </c>
      <c r="C66" s="117">
        <v>515</v>
      </c>
      <c r="D66" s="116" t="s">
        <v>169</v>
      </c>
      <c r="E66" s="116">
        <v>35000049</v>
      </c>
      <c r="F66" s="115">
        <v>25.04</v>
      </c>
      <c r="G66" s="115">
        <v>11.81</v>
      </c>
      <c r="H66" s="115">
        <v>4.34</v>
      </c>
      <c r="I66" s="115">
        <v>7.54</v>
      </c>
      <c r="J66" s="115">
        <v>2.9</v>
      </c>
      <c r="K66" s="115">
        <v>4.24</v>
      </c>
      <c r="L66" s="115">
        <f t="shared" si="0"/>
        <v>55.87</v>
      </c>
      <c r="M66" s="116" t="s">
        <v>547</v>
      </c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</row>
    <row r="67" spans="1:26" ht="15.75" customHeight="1" x14ac:dyDescent="0.3">
      <c r="A67" s="224">
        <v>6</v>
      </c>
      <c r="B67" s="116" t="s">
        <v>170</v>
      </c>
      <c r="C67" s="117">
        <v>293</v>
      </c>
      <c r="D67" s="116" t="s">
        <v>169</v>
      </c>
      <c r="E67" s="116">
        <v>35000050</v>
      </c>
      <c r="F67" s="119">
        <v>29.97</v>
      </c>
      <c r="G67" s="115">
        <v>12.03</v>
      </c>
      <c r="H67" s="115">
        <v>4.24</v>
      </c>
      <c r="I67" s="115">
        <v>6.54</v>
      </c>
      <c r="J67" s="115">
        <v>3.5</v>
      </c>
      <c r="K67" s="115">
        <v>4.76</v>
      </c>
      <c r="L67" s="115">
        <f t="shared" si="0"/>
        <v>61.04</v>
      </c>
      <c r="M67" s="116" t="s">
        <v>547</v>
      </c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</row>
    <row r="68" spans="1:26" ht="15.75" customHeight="1" x14ac:dyDescent="0.3">
      <c r="A68" s="224">
        <v>7</v>
      </c>
      <c r="B68" s="116" t="s">
        <v>171</v>
      </c>
      <c r="C68" s="117">
        <v>971</v>
      </c>
      <c r="D68" s="116" t="s">
        <v>169</v>
      </c>
      <c r="E68" s="116">
        <v>35000051</v>
      </c>
      <c r="F68" s="115">
        <v>24.68</v>
      </c>
      <c r="G68" s="115">
        <v>11.79</v>
      </c>
      <c r="H68" s="115">
        <v>3.44</v>
      </c>
      <c r="I68" s="115">
        <v>6.74</v>
      </c>
      <c r="J68" s="115">
        <v>2.7</v>
      </c>
      <c r="K68" s="115">
        <v>3.8</v>
      </c>
      <c r="L68" s="115">
        <f t="shared" si="0"/>
        <v>53.15</v>
      </c>
      <c r="M68" s="116" t="s">
        <v>547</v>
      </c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</row>
    <row r="69" spans="1:26" ht="15.75" customHeight="1" x14ac:dyDescent="0.3">
      <c r="A69" s="224">
        <v>9</v>
      </c>
      <c r="B69" s="116" t="s">
        <v>173</v>
      </c>
      <c r="C69" s="117">
        <v>1911</v>
      </c>
      <c r="D69" s="116" t="s">
        <v>169</v>
      </c>
      <c r="E69" s="116">
        <v>35000053</v>
      </c>
      <c r="F69" s="115">
        <v>22.58</v>
      </c>
      <c r="G69" s="115">
        <v>11.29</v>
      </c>
      <c r="H69" s="115">
        <v>4.74</v>
      </c>
      <c r="I69" s="115">
        <v>8.1</v>
      </c>
      <c r="J69" s="115">
        <v>3.5</v>
      </c>
      <c r="K69" s="115">
        <v>4.4400000000000004</v>
      </c>
      <c r="L69" s="115">
        <f t="shared" si="0"/>
        <v>54.65</v>
      </c>
      <c r="M69" s="116" t="s">
        <v>547</v>
      </c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</row>
    <row r="70" spans="1:26" ht="15.75" customHeight="1" x14ac:dyDescent="0.3">
      <c r="A70" s="28">
        <v>10</v>
      </c>
      <c r="B70" s="29" t="s">
        <v>57</v>
      </c>
      <c r="C70" s="30">
        <v>1055</v>
      </c>
      <c r="D70" s="29" t="s">
        <v>58</v>
      </c>
      <c r="E70" s="29">
        <v>35000112</v>
      </c>
      <c r="F70" s="113">
        <v>17.739999999999998</v>
      </c>
      <c r="G70" s="113">
        <v>13.38</v>
      </c>
      <c r="H70" s="113">
        <v>4.8</v>
      </c>
      <c r="I70" s="113">
        <v>8.92</v>
      </c>
      <c r="J70" s="113">
        <v>2.98</v>
      </c>
      <c r="K70" s="113">
        <v>4.3600000000000003</v>
      </c>
      <c r="L70" s="107">
        <f t="shared" si="0"/>
        <v>52.179999999999993</v>
      </c>
      <c r="M70" s="29" t="s">
        <v>544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 x14ac:dyDescent="0.3">
      <c r="A71" s="48" t="s">
        <v>240</v>
      </c>
      <c r="B71" s="228" t="s">
        <v>241</v>
      </c>
      <c r="C71" s="229"/>
      <c r="D71" s="229"/>
      <c r="E71" s="230"/>
      <c r="F71" s="175"/>
      <c r="G71" s="175"/>
      <c r="H71" s="175"/>
      <c r="I71" s="175"/>
      <c r="J71" s="175"/>
      <c r="K71" s="175"/>
      <c r="L71" s="107">
        <f t="shared" si="0"/>
        <v>0</v>
      </c>
      <c r="M71" s="4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2">
        <v>1</v>
      </c>
      <c r="B72" s="13" t="s">
        <v>199</v>
      </c>
      <c r="C72" s="14">
        <v>2143</v>
      </c>
      <c r="D72" s="13" t="s">
        <v>200</v>
      </c>
      <c r="E72" s="13">
        <v>35000073</v>
      </c>
      <c r="F72" s="107">
        <v>20.46</v>
      </c>
      <c r="G72" s="107">
        <v>7.39</v>
      </c>
      <c r="H72" s="107">
        <v>7</v>
      </c>
      <c r="I72" s="107">
        <v>11.27</v>
      </c>
      <c r="J72" s="107">
        <v>3.5</v>
      </c>
      <c r="K72" s="107">
        <v>7.54</v>
      </c>
      <c r="L72" s="107">
        <f t="shared" si="0"/>
        <v>57.160000000000004</v>
      </c>
      <c r="M72" s="13" t="s">
        <v>548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3">
      <c r="A73" s="224">
        <v>2</v>
      </c>
      <c r="B73" s="116" t="s">
        <v>201</v>
      </c>
      <c r="C73" s="117">
        <v>2721</v>
      </c>
      <c r="D73" s="116" t="s">
        <v>202</v>
      </c>
      <c r="E73" s="116">
        <v>35000074</v>
      </c>
      <c r="F73" s="115">
        <v>23.24</v>
      </c>
      <c r="G73" s="115">
        <v>13.42</v>
      </c>
      <c r="H73" s="115">
        <v>7.6</v>
      </c>
      <c r="I73" s="115">
        <v>11.57</v>
      </c>
      <c r="J73" s="115">
        <v>3.95</v>
      </c>
      <c r="K73" s="115">
        <v>6.8</v>
      </c>
      <c r="L73" s="115">
        <f t="shared" si="0"/>
        <v>66.58</v>
      </c>
      <c r="M73" s="116" t="s">
        <v>548</v>
      </c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</row>
    <row r="74" spans="1:26" ht="15.75" customHeight="1" x14ac:dyDescent="0.3">
      <c r="A74" s="12">
        <v>3</v>
      </c>
      <c r="B74" s="13" t="s">
        <v>203</v>
      </c>
      <c r="C74" s="14">
        <v>1146</v>
      </c>
      <c r="D74" s="13" t="s">
        <v>202</v>
      </c>
      <c r="E74" s="13">
        <v>35000075</v>
      </c>
      <c r="F74" s="107">
        <v>23.24</v>
      </c>
      <c r="G74" s="107">
        <v>13.67</v>
      </c>
      <c r="H74" s="107">
        <v>7</v>
      </c>
      <c r="I74" s="107">
        <v>10.5</v>
      </c>
      <c r="J74" s="107">
        <v>3.5</v>
      </c>
      <c r="K74" s="107">
        <v>7</v>
      </c>
      <c r="L74" s="107">
        <f t="shared" si="0"/>
        <v>64.91</v>
      </c>
      <c r="M74" s="13" t="s">
        <v>548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3">
      <c r="A75" s="12">
        <v>4</v>
      </c>
      <c r="B75" s="13" t="s">
        <v>17</v>
      </c>
      <c r="C75" s="14">
        <v>1144</v>
      </c>
      <c r="D75" s="13" t="s">
        <v>15</v>
      </c>
      <c r="E75" s="13">
        <v>35000132</v>
      </c>
      <c r="F75" s="107">
        <v>21.75</v>
      </c>
      <c r="G75" s="107">
        <v>11.16</v>
      </c>
      <c r="H75" s="107">
        <v>7</v>
      </c>
      <c r="I75" s="107">
        <v>12.66</v>
      </c>
      <c r="J75" s="107">
        <v>3.8</v>
      </c>
      <c r="K75" s="107">
        <v>7</v>
      </c>
      <c r="L75" s="107">
        <f t="shared" si="0"/>
        <v>63.36999999999999</v>
      </c>
      <c r="M75" s="13" t="s">
        <v>548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3">
      <c r="A76" s="12">
        <v>5</v>
      </c>
      <c r="B76" s="13" t="s">
        <v>16</v>
      </c>
      <c r="C76" s="14">
        <v>1347</v>
      </c>
      <c r="D76" s="13" t="s">
        <v>15</v>
      </c>
      <c r="E76" s="13">
        <v>35000133</v>
      </c>
      <c r="F76" s="107">
        <v>26.6</v>
      </c>
      <c r="G76" s="107">
        <v>11.74</v>
      </c>
      <c r="H76" s="107">
        <v>7.21</v>
      </c>
      <c r="I76" s="107">
        <v>12.63</v>
      </c>
      <c r="J76" s="107">
        <v>3.5</v>
      </c>
      <c r="K76" s="107">
        <v>7</v>
      </c>
      <c r="L76" s="107">
        <f t="shared" si="0"/>
        <v>68.680000000000007</v>
      </c>
      <c r="M76" s="13" t="s">
        <v>549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3">
      <c r="A77" s="12">
        <v>6</v>
      </c>
      <c r="B77" s="13" t="s">
        <v>14</v>
      </c>
      <c r="C77" s="14">
        <v>1733</v>
      </c>
      <c r="D77" s="13" t="s">
        <v>15</v>
      </c>
      <c r="E77" s="13">
        <v>35000134</v>
      </c>
      <c r="F77" s="107">
        <v>22.83</v>
      </c>
      <c r="G77" s="107">
        <v>13.37</v>
      </c>
      <c r="H77" s="107">
        <v>7.21</v>
      </c>
      <c r="I77" s="107">
        <v>12.51</v>
      </c>
      <c r="J77" s="107">
        <v>3.5</v>
      </c>
      <c r="K77" s="107">
        <v>7</v>
      </c>
      <c r="L77" s="107">
        <f t="shared" si="0"/>
        <v>66.419999999999987</v>
      </c>
      <c r="M77" s="13" t="s">
        <v>548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3">
      <c r="A78" s="224">
        <v>7</v>
      </c>
      <c r="B78" s="116" t="s">
        <v>104</v>
      </c>
      <c r="C78" s="117">
        <v>1229</v>
      </c>
      <c r="D78" s="116" t="s">
        <v>103</v>
      </c>
      <c r="E78" s="116">
        <v>35000135</v>
      </c>
      <c r="F78" s="115">
        <v>24.5</v>
      </c>
      <c r="G78" s="115">
        <v>8.98</v>
      </c>
      <c r="H78" s="115">
        <v>7.21</v>
      </c>
      <c r="I78" s="115">
        <v>12.63</v>
      </c>
      <c r="J78" s="115">
        <v>3.5</v>
      </c>
      <c r="K78" s="115">
        <v>4.43</v>
      </c>
      <c r="L78" s="115">
        <f t="shared" si="0"/>
        <v>61.250000000000007</v>
      </c>
      <c r="M78" s="116" t="s">
        <v>545</v>
      </c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</row>
    <row r="79" spans="1:26" ht="15.75" customHeight="1" x14ac:dyDescent="0.3">
      <c r="A79" s="12">
        <v>8</v>
      </c>
      <c r="B79" s="13" t="s">
        <v>106</v>
      </c>
      <c r="C79" s="14">
        <v>1292</v>
      </c>
      <c r="D79" s="13" t="s">
        <v>103</v>
      </c>
      <c r="E79" s="13">
        <v>35000136</v>
      </c>
      <c r="F79" s="107">
        <v>27.87</v>
      </c>
      <c r="G79" s="107">
        <v>13.87</v>
      </c>
      <c r="H79" s="107">
        <v>5.18</v>
      </c>
      <c r="I79" s="107">
        <v>11.01</v>
      </c>
      <c r="J79" s="107">
        <v>0</v>
      </c>
      <c r="K79" s="107">
        <v>6.11</v>
      </c>
      <c r="L79" s="107">
        <f t="shared" si="0"/>
        <v>64.040000000000006</v>
      </c>
      <c r="M79" s="13" t="s">
        <v>545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3">
      <c r="A80" s="12">
        <v>9</v>
      </c>
      <c r="B80" s="13" t="s">
        <v>105</v>
      </c>
      <c r="C80" s="14">
        <v>1475</v>
      </c>
      <c r="D80" s="13" t="s">
        <v>103</v>
      </c>
      <c r="E80" s="13">
        <v>35000137</v>
      </c>
      <c r="F80" s="107">
        <v>11.3</v>
      </c>
      <c r="G80" s="107">
        <v>12.23</v>
      </c>
      <c r="H80" s="107">
        <v>7.21</v>
      </c>
      <c r="I80" s="107">
        <v>12.63</v>
      </c>
      <c r="J80" s="107">
        <v>3.5</v>
      </c>
      <c r="K80" s="107">
        <v>7.76</v>
      </c>
      <c r="L80" s="107">
        <f t="shared" si="0"/>
        <v>54.63</v>
      </c>
      <c r="M80" s="13" t="s">
        <v>548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3">
      <c r="A81" s="224">
        <v>10</v>
      </c>
      <c r="B81" s="116" t="s">
        <v>102</v>
      </c>
      <c r="C81" s="117">
        <v>2522</v>
      </c>
      <c r="D81" s="116" t="s">
        <v>103</v>
      </c>
      <c r="E81" s="116">
        <v>35000195</v>
      </c>
      <c r="F81" s="119">
        <v>37.57</v>
      </c>
      <c r="G81" s="115">
        <v>14.44</v>
      </c>
      <c r="H81" s="115">
        <v>7.21</v>
      </c>
      <c r="I81" s="115">
        <v>11.78</v>
      </c>
      <c r="J81" s="115">
        <v>3.5</v>
      </c>
      <c r="K81" s="115">
        <v>7</v>
      </c>
      <c r="L81" s="115">
        <f t="shared" si="0"/>
        <v>81.5</v>
      </c>
      <c r="M81" s="116" t="s">
        <v>548</v>
      </c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</row>
    <row r="82" spans="1:26" ht="15.75" customHeight="1" x14ac:dyDescent="0.3">
      <c r="A82" s="12">
        <v>11</v>
      </c>
      <c r="B82" s="13" t="s">
        <v>41</v>
      </c>
      <c r="C82" s="14">
        <v>1044</v>
      </c>
      <c r="D82" s="13" t="s">
        <v>38</v>
      </c>
      <c r="E82" s="13">
        <v>35000139</v>
      </c>
      <c r="F82" s="107">
        <v>20.72</v>
      </c>
      <c r="G82" s="107">
        <v>10.77</v>
      </c>
      <c r="H82" s="107">
        <v>8.5</v>
      </c>
      <c r="I82" s="107">
        <v>12.31</v>
      </c>
      <c r="J82" s="107">
        <v>4.25</v>
      </c>
      <c r="K82" s="107">
        <v>7.4</v>
      </c>
      <c r="L82" s="107">
        <f t="shared" si="0"/>
        <v>63.949999999999996</v>
      </c>
      <c r="M82" s="13" t="s">
        <v>548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3">
      <c r="A83" s="28">
        <v>12</v>
      </c>
      <c r="B83" s="29" t="s">
        <v>231</v>
      </c>
      <c r="C83" s="30">
        <v>1120</v>
      </c>
      <c r="D83" s="29" t="s">
        <v>38</v>
      </c>
      <c r="E83" s="29">
        <v>35000140</v>
      </c>
      <c r="F83" s="113">
        <v>12.44</v>
      </c>
      <c r="G83" s="113">
        <v>14.29</v>
      </c>
      <c r="H83" s="113">
        <v>4.21</v>
      </c>
      <c r="I83" s="113">
        <v>10.474</v>
      </c>
      <c r="J83" s="113">
        <v>2.1800000000000002</v>
      </c>
      <c r="K83" s="113">
        <v>4.4000000000000004</v>
      </c>
      <c r="L83" s="113">
        <f t="shared" si="0"/>
        <v>47.994</v>
      </c>
      <c r="M83" s="29" t="s">
        <v>544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3">
      <c r="A84" s="12">
        <v>14</v>
      </c>
      <c r="B84" s="13" t="s">
        <v>37</v>
      </c>
      <c r="C84" s="14">
        <v>1274</v>
      </c>
      <c r="D84" s="13" t="s">
        <v>38</v>
      </c>
      <c r="E84" s="13">
        <v>35000142</v>
      </c>
      <c r="F84" s="107">
        <v>19.809999999999999</v>
      </c>
      <c r="G84" s="107">
        <v>9.1199999999999992</v>
      </c>
      <c r="H84" s="107">
        <v>7</v>
      </c>
      <c r="I84" s="107">
        <v>10.5</v>
      </c>
      <c r="J84" s="107">
        <v>3.5</v>
      </c>
      <c r="K84" s="107">
        <v>7.23</v>
      </c>
      <c r="L84" s="107">
        <f t="shared" si="0"/>
        <v>57.16</v>
      </c>
      <c r="M84" s="13" t="s">
        <v>543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3">
      <c r="A85" s="12">
        <v>15</v>
      </c>
      <c r="B85" s="13" t="s">
        <v>40</v>
      </c>
      <c r="C85" s="14">
        <v>1661</v>
      </c>
      <c r="D85" s="13" t="s">
        <v>38</v>
      </c>
      <c r="E85" s="13">
        <v>35000143</v>
      </c>
      <c r="F85" s="107">
        <v>19.23</v>
      </c>
      <c r="G85" s="107">
        <v>10.44</v>
      </c>
      <c r="H85" s="107">
        <v>7</v>
      </c>
      <c r="I85" s="107">
        <v>10.5</v>
      </c>
      <c r="J85" s="107">
        <v>3.5</v>
      </c>
      <c r="K85" s="107">
        <v>6.4</v>
      </c>
      <c r="L85" s="107">
        <f t="shared" si="0"/>
        <v>57.07</v>
      </c>
      <c r="M85" s="13" t="s">
        <v>543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3">
      <c r="A86" s="12">
        <v>16</v>
      </c>
      <c r="B86" s="13" t="s">
        <v>39</v>
      </c>
      <c r="C86" s="14">
        <v>1779</v>
      </c>
      <c r="D86" s="13" t="s">
        <v>38</v>
      </c>
      <c r="E86" s="13">
        <v>35000144</v>
      </c>
      <c r="F86" s="107">
        <v>14.54</v>
      </c>
      <c r="G86" s="107">
        <v>9.64</v>
      </c>
      <c r="H86" s="107">
        <v>7</v>
      </c>
      <c r="I86" s="107">
        <v>11.31</v>
      </c>
      <c r="J86" s="107">
        <v>3.5</v>
      </c>
      <c r="K86" s="107">
        <v>7.23</v>
      </c>
      <c r="L86" s="107">
        <f t="shared" si="0"/>
        <v>53.22</v>
      </c>
      <c r="M86" s="13" t="s">
        <v>548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4.25" customHeight="1" x14ac:dyDescent="0.3">
      <c r="A87" s="48" t="s">
        <v>242</v>
      </c>
      <c r="B87" s="228" t="s">
        <v>243</v>
      </c>
      <c r="C87" s="229"/>
      <c r="D87" s="229"/>
      <c r="E87" s="230"/>
      <c r="F87" s="175"/>
      <c r="G87" s="175"/>
      <c r="H87" s="175"/>
      <c r="I87" s="175"/>
      <c r="J87" s="175"/>
      <c r="K87" s="175"/>
      <c r="L87" s="107">
        <f t="shared" si="0"/>
        <v>0</v>
      </c>
      <c r="M87" s="4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2">
        <v>1</v>
      </c>
      <c r="B88" s="13" t="s">
        <v>174</v>
      </c>
      <c r="C88" s="13">
        <v>1232</v>
      </c>
      <c r="D88" s="13" t="s">
        <v>175</v>
      </c>
      <c r="E88" s="13">
        <v>35000055</v>
      </c>
      <c r="F88" s="107">
        <v>27.63</v>
      </c>
      <c r="G88" s="107">
        <v>11.6</v>
      </c>
      <c r="H88" s="107">
        <v>3</v>
      </c>
      <c r="I88" s="107">
        <v>4.5</v>
      </c>
      <c r="J88" s="107">
        <v>1.9</v>
      </c>
      <c r="K88" s="107">
        <v>3</v>
      </c>
      <c r="L88" s="107">
        <f t="shared" si="0"/>
        <v>51.629999999999995</v>
      </c>
      <c r="M88" s="13" t="s">
        <v>549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3">
      <c r="A89" s="12">
        <v>2</v>
      </c>
      <c r="B89" s="13" t="s">
        <v>177</v>
      </c>
      <c r="C89" s="13">
        <v>1155</v>
      </c>
      <c r="D89" s="13" t="s">
        <v>175</v>
      </c>
      <c r="E89" s="13">
        <v>35000056</v>
      </c>
      <c r="F89" s="107">
        <v>20.7</v>
      </c>
      <c r="G89" s="107">
        <v>11.44</v>
      </c>
      <c r="H89" s="107">
        <v>5.2</v>
      </c>
      <c r="I89" s="107">
        <v>9.8000000000000007</v>
      </c>
      <c r="J89" s="107">
        <v>3.58</v>
      </c>
      <c r="K89" s="107">
        <v>5.56</v>
      </c>
      <c r="L89" s="107">
        <f t="shared" si="0"/>
        <v>56.28</v>
      </c>
      <c r="M89" s="13" t="s">
        <v>544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3">
      <c r="A90" s="12">
        <v>3</v>
      </c>
      <c r="B90" s="13" t="s">
        <v>178</v>
      </c>
      <c r="C90" s="13">
        <v>422</v>
      </c>
      <c r="D90" s="13" t="s">
        <v>175</v>
      </c>
      <c r="E90" s="13">
        <v>35000057</v>
      </c>
      <c r="F90" s="107">
        <v>19.88</v>
      </c>
      <c r="G90" s="107">
        <v>12.15</v>
      </c>
      <c r="H90" s="107">
        <v>7.5</v>
      </c>
      <c r="I90" s="107">
        <v>11.52</v>
      </c>
      <c r="J90" s="107">
        <v>3.8</v>
      </c>
      <c r="K90" s="107">
        <v>6.22</v>
      </c>
      <c r="L90" s="107">
        <f t="shared" si="0"/>
        <v>61.069999999999993</v>
      </c>
      <c r="M90" s="13" t="s">
        <v>548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3">
      <c r="A91" s="12">
        <v>4</v>
      </c>
      <c r="B91" s="13" t="s">
        <v>179</v>
      </c>
      <c r="C91" s="13">
        <v>194</v>
      </c>
      <c r="D91" s="13" t="s">
        <v>175</v>
      </c>
      <c r="E91" s="13">
        <v>35000058</v>
      </c>
      <c r="F91" s="107">
        <v>17.02</v>
      </c>
      <c r="G91" s="107">
        <v>10.26</v>
      </c>
      <c r="H91" s="107">
        <v>5.6</v>
      </c>
      <c r="I91" s="107">
        <v>9.2200000000000006</v>
      </c>
      <c r="J91" s="107">
        <v>3.5</v>
      </c>
      <c r="K91" s="107">
        <v>5.8</v>
      </c>
      <c r="L91" s="107">
        <f t="shared" si="0"/>
        <v>51.4</v>
      </c>
      <c r="M91" s="13" t="s">
        <v>545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3">
      <c r="A92" s="12">
        <v>5</v>
      </c>
      <c r="B92" s="13" t="s">
        <v>180</v>
      </c>
      <c r="C92" s="13">
        <v>684</v>
      </c>
      <c r="D92" s="13" t="s">
        <v>175</v>
      </c>
      <c r="E92" s="13">
        <v>35000059</v>
      </c>
      <c r="F92" s="107">
        <v>22.09</v>
      </c>
      <c r="G92" s="107">
        <v>12.16</v>
      </c>
      <c r="H92" s="107">
        <v>5.14</v>
      </c>
      <c r="I92" s="107">
        <v>7.1</v>
      </c>
      <c r="J92" s="107">
        <v>3.2</v>
      </c>
      <c r="K92" s="107">
        <v>6.64</v>
      </c>
      <c r="L92" s="107">
        <f t="shared" si="0"/>
        <v>56.330000000000005</v>
      </c>
      <c r="M92" s="13" t="s">
        <v>543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3">
      <c r="A93" s="12">
        <v>6</v>
      </c>
      <c r="B93" s="13" t="s">
        <v>181</v>
      </c>
      <c r="C93" s="13">
        <v>461</v>
      </c>
      <c r="D93" s="13" t="s">
        <v>175</v>
      </c>
      <c r="E93" s="13">
        <v>35000060</v>
      </c>
      <c r="F93" s="107">
        <v>29.73</v>
      </c>
      <c r="G93" s="107">
        <v>10.18</v>
      </c>
      <c r="H93" s="107">
        <v>7.71</v>
      </c>
      <c r="I93" s="107">
        <v>10.25</v>
      </c>
      <c r="J93" s="107">
        <v>3.5</v>
      </c>
      <c r="K93" s="107">
        <v>7.15</v>
      </c>
      <c r="L93" s="107">
        <f t="shared" si="0"/>
        <v>68.52</v>
      </c>
      <c r="M93" s="13" t="s">
        <v>548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3">
      <c r="A94" s="12">
        <v>7</v>
      </c>
      <c r="B94" s="13" t="s">
        <v>176</v>
      </c>
      <c r="C94" s="13">
        <v>50</v>
      </c>
      <c r="D94" s="13" t="s">
        <v>175</v>
      </c>
      <c r="E94" s="13">
        <v>35000197</v>
      </c>
      <c r="F94" s="107">
        <v>12.03</v>
      </c>
      <c r="G94" s="107">
        <v>9.94</v>
      </c>
      <c r="H94" s="107">
        <v>6.8</v>
      </c>
      <c r="I94" s="107">
        <v>11.39</v>
      </c>
      <c r="J94" s="107">
        <v>3.4</v>
      </c>
      <c r="K94" s="107">
        <v>4.97</v>
      </c>
      <c r="L94" s="107">
        <f t="shared" si="0"/>
        <v>48.529999999999994</v>
      </c>
      <c r="M94" s="13" t="s">
        <v>548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3">
      <c r="A95" s="12">
        <v>8</v>
      </c>
      <c r="B95" s="13" t="s">
        <v>182</v>
      </c>
      <c r="C95" s="13">
        <v>1554</v>
      </c>
      <c r="D95" s="13" t="s">
        <v>183</v>
      </c>
      <c r="E95" s="13">
        <v>35000061</v>
      </c>
      <c r="F95" s="107">
        <v>27.01</v>
      </c>
      <c r="G95" s="107">
        <v>10.130000000000001</v>
      </c>
      <c r="H95" s="107">
        <v>7.69</v>
      </c>
      <c r="I95" s="107">
        <v>11.18</v>
      </c>
      <c r="J95" s="107">
        <v>3.5</v>
      </c>
      <c r="K95" s="107">
        <v>8.2799999999999994</v>
      </c>
      <c r="L95" s="107">
        <f t="shared" si="0"/>
        <v>67.789999999999992</v>
      </c>
      <c r="M95" s="13" t="s">
        <v>548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3">
      <c r="A96" s="12">
        <v>9</v>
      </c>
      <c r="B96" s="13" t="s">
        <v>184</v>
      </c>
      <c r="C96" s="13">
        <v>745</v>
      </c>
      <c r="D96" s="13" t="s">
        <v>185</v>
      </c>
      <c r="E96" s="13">
        <v>35000062</v>
      </c>
      <c r="F96" s="107">
        <v>28.63</v>
      </c>
      <c r="G96" s="107">
        <v>10.16</v>
      </c>
      <c r="H96" s="107">
        <v>5.34</v>
      </c>
      <c r="I96" s="107">
        <v>11.53</v>
      </c>
      <c r="J96" s="107">
        <v>4.0999999999999996</v>
      </c>
      <c r="K96" s="107">
        <v>7</v>
      </c>
      <c r="L96" s="107">
        <f t="shared" si="0"/>
        <v>66.759999999999991</v>
      </c>
      <c r="M96" s="13" t="s">
        <v>543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3">
      <c r="A97" s="12">
        <v>10</v>
      </c>
      <c r="B97" s="13" t="s">
        <v>186</v>
      </c>
      <c r="C97" s="13">
        <v>230</v>
      </c>
      <c r="D97" s="13" t="s">
        <v>187</v>
      </c>
      <c r="E97" s="13">
        <v>35000063</v>
      </c>
      <c r="F97" s="107">
        <v>26.37</v>
      </c>
      <c r="G97" s="107">
        <v>13.38</v>
      </c>
      <c r="H97" s="107">
        <v>4.25</v>
      </c>
      <c r="I97" s="107">
        <v>12.11</v>
      </c>
      <c r="J97" s="107">
        <v>4.25</v>
      </c>
      <c r="K97" s="107">
        <v>7.38</v>
      </c>
      <c r="L97" s="107">
        <f t="shared" si="0"/>
        <v>67.739999999999995</v>
      </c>
      <c r="M97" s="13" t="s">
        <v>543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3">
      <c r="A98" s="12">
        <v>11</v>
      </c>
      <c r="B98" s="13" t="s">
        <v>130</v>
      </c>
      <c r="C98" s="13">
        <v>367</v>
      </c>
      <c r="D98" s="13" t="s">
        <v>188</v>
      </c>
      <c r="E98" s="13">
        <v>35000064</v>
      </c>
      <c r="F98" s="107">
        <v>20.94</v>
      </c>
      <c r="G98" s="107">
        <v>11.4</v>
      </c>
      <c r="H98" s="107">
        <v>7</v>
      </c>
      <c r="I98" s="107">
        <v>12.63</v>
      </c>
      <c r="J98" s="107">
        <v>3.5</v>
      </c>
      <c r="K98" s="107">
        <v>3</v>
      </c>
      <c r="L98" s="107">
        <f t="shared" si="0"/>
        <v>58.470000000000006</v>
      </c>
      <c r="M98" s="13" t="s">
        <v>548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3">
      <c r="A99" s="12">
        <v>12</v>
      </c>
      <c r="B99" s="13" t="s">
        <v>189</v>
      </c>
      <c r="C99" s="13">
        <v>215</v>
      </c>
      <c r="D99" s="13" t="s">
        <v>188</v>
      </c>
      <c r="E99" s="13">
        <v>35000065</v>
      </c>
      <c r="F99" s="107">
        <v>25.35</v>
      </c>
      <c r="G99" s="107">
        <v>5.77</v>
      </c>
      <c r="H99" s="107">
        <v>7</v>
      </c>
      <c r="I99" s="107">
        <v>12.27</v>
      </c>
      <c r="J99" s="107">
        <v>3.5</v>
      </c>
      <c r="K99" s="107">
        <v>7</v>
      </c>
      <c r="L99" s="107">
        <f t="shared" si="0"/>
        <v>60.89</v>
      </c>
      <c r="M99" s="13" t="s">
        <v>548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3">
      <c r="A100" s="12">
        <v>13</v>
      </c>
      <c r="B100" s="13" t="s">
        <v>190</v>
      </c>
      <c r="C100" s="13">
        <v>165</v>
      </c>
      <c r="D100" s="13" t="s">
        <v>188</v>
      </c>
      <c r="E100" s="13">
        <v>35000066</v>
      </c>
      <c r="F100" s="107">
        <v>20.22</v>
      </c>
      <c r="G100" s="107">
        <v>11.76</v>
      </c>
      <c r="H100" s="107">
        <v>7</v>
      </c>
      <c r="I100" s="107">
        <v>12.63</v>
      </c>
      <c r="J100" s="107">
        <v>3.5</v>
      </c>
      <c r="K100" s="107">
        <v>7</v>
      </c>
      <c r="L100" s="107">
        <f t="shared" si="0"/>
        <v>62.11</v>
      </c>
      <c r="M100" s="13" t="s">
        <v>547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3">
      <c r="A101" s="12">
        <v>14</v>
      </c>
      <c r="B101" s="13" t="s">
        <v>191</v>
      </c>
      <c r="C101" s="13">
        <v>629</v>
      </c>
      <c r="D101" s="13" t="s">
        <v>188</v>
      </c>
      <c r="E101" s="13">
        <v>35000067</v>
      </c>
      <c r="F101" s="107">
        <v>19.66</v>
      </c>
      <c r="G101" s="107">
        <v>7.1</v>
      </c>
      <c r="H101" s="107">
        <v>5.75</v>
      </c>
      <c r="I101" s="107">
        <v>10.050000000000001</v>
      </c>
      <c r="J101" s="107">
        <v>4.03</v>
      </c>
      <c r="K101" s="107">
        <v>7</v>
      </c>
      <c r="L101" s="107">
        <f t="shared" si="0"/>
        <v>53.59</v>
      </c>
      <c r="M101" s="13" t="s">
        <v>543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3">
      <c r="A102" s="12">
        <v>15</v>
      </c>
      <c r="B102" s="13" t="s">
        <v>192</v>
      </c>
      <c r="C102" s="13">
        <v>2340</v>
      </c>
      <c r="D102" s="13" t="s">
        <v>188</v>
      </c>
      <c r="E102" s="13">
        <v>35000068</v>
      </c>
      <c r="F102" s="107">
        <v>19.25</v>
      </c>
      <c r="G102" s="107">
        <v>11.26</v>
      </c>
      <c r="H102" s="107">
        <v>4</v>
      </c>
      <c r="I102" s="107">
        <v>7.3</v>
      </c>
      <c r="J102" s="107">
        <v>3.58</v>
      </c>
      <c r="K102" s="107">
        <v>5.8</v>
      </c>
      <c r="L102" s="107">
        <f t="shared" si="0"/>
        <v>51.189999999999991</v>
      </c>
      <c r="M102" s="13" t="s">
        <v>543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3">
      <c r="A103" s="12">
        <v>16</v>
      </c>
      <c r="B103" s="13" t="s">
        <v>193</v>
      </c>
      <c r="C103" s="13">
        <v>789</v>
      </c>
      <c r="D103" s="13" t="s">
        <v>188</v>
      </c>
      <c r="E103" s="13">
        <v>35000069</v>
      </c>
      <c r="F103" s="107">
        <v>23.87</v>
      </c>
      <c r="G103" s="107">
        <v>10.99</v>
      </c>
      <c r="H103" s="107">
        <v>6.82</v>
      </c>
      <c r="I103" s="107">
        <v>12.51</v>
      </c>
      <c r="J103" s="107">
        <v>4.25</v>
      </c>
      <c r="K103" s="107">
        <v>7</v>
      </c>
      <c r="L103" s="107">
        <f t="shared" si="0"/>
        <v>65.44</v>
      </c>
      <c r="M103" s="13" t="s">
        <v>548</v>
      </c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3">
      <c r="A104" s="12">
        <v>17</v>
      </c>
      <c r="B104" s="13" t="s">
        <v>194</v>
      </c>
      <c r="C104" s="13">
        <v>209</v>
      </c>
      <c r="D104" s="13" t="s">
        <v>188</v>
      </c>
      <c r="E104" s="13">
        <v>35000070</v>
      </c>
      <c r="F104" s="107">
        <v>15.05</v>
      </c>
      <c r="G104" s="107">
        <v>11</v>
      </c>
      <c r="H104" s="107">
        <v>7</v>
      </c>
      <c r="I104" s="107">
        <v>12.63</v>
      </c>
      <c r="J104" s="107">
        <v>3.5</v>
      </c>
      <c r="K104" s="107">
        <v>3</v>
      </c>
      <c r="L104" s="107">
        <f t="shared" si="0"/>
        <v>52.18</v>
      </c>
      <c r="M104" s="13" t="s">
        <v>548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3">
      <c r="A105" s="12">
        <v>18</v>
      </c>
      <c r="B105" s="13" t="s">
        <v>195</v>
      </c>
      <c r="C105" s="13">
        <v>13</v>
      </c>
      <c r="D105" s="13" t="s">
        <v>196</v>
      </c>
      <c r="E105" s="13">
        <v>35000071</v>
      </c>
      <c r="F105" s="107">
        <v>13.9</v>
      </c>
      <c r="G105" s="107">
        <v>14.25</v>
      </c>
      <c r="H105" s="107">
        <v>7.08</v>
      </c>
      <c r="I105" s="107">
        <v>12.63</v>
      </c>
      <c r="J105" s="107">
        <v>3.5</v>
      </c>
      <c r="K105" s="107">
        <v>7</v>
      </c>
      <c r="L105" s="107">
        <f t="shared" si="0"/>
        <v>58.36</v>
      </c>
      <c r="M105" s="13" t="s">
        <v>548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3">
      <c r="A106" s="12">
        <v>20</v>
      </c>
      <c r="B106" s="13" t="s">
        <v>198</v>
      </c>
      <c r="C106" s="13">
        <v>54</v>
      </c>
      <c r="D106" s="13" t="s">
        <v>187</v>
      </c>
      <c r="E106" s="13">
        <v>35000199</v>
      </c>
      <c r="F106" s="107">
        <v>24.64</v>
      </c>
      <c r="G106" s="107">
        <v>13.4</v>
      </c>
      <c r="H106" s="107">
        <v>4.28</v>
      </c>
      <c r="I106" s="107">
        <v>10.3</v>
      </c>
      <c r="J106" s="107">
        <v>4.25</v>
      </c>
      <c r="K106" s="107">
        <v>7</v>
      </c>
      <c r="L106" s="107">
        <f t="shared" si="0"/>
        <v>63.870000000000005</v>
      </c>
      <c r="M106" s="13" t="s">
        <v>543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3">
      <c r="A107" s="12">
        <v>21</v>
      </c>
      <c r="B107" s="13" t="s">
        <v>55</v>
      </c>
      <c r="C107" s="13">
        <v>1332</v>
      </c>
      <c r="D107" s="13" t="s">
        <v>52</v>
      </c>
      <c r="E107" s="13">
        <v>35000113</v>
      </c>
      <c r="F107" s="107">
        <v>25.98</v>
      </c>
      <c r="G107" s="107">
        <v>13.94</v>
      </c>
      <c r="H107" s="107">
        <v>5.7</v>
      </c>
      <c r="I107" s="107">
        <v>8.8800000000000008</v>
      </c>
      <c r="J107" s="107">
        <v>1.5</v>
      </c>
      <c r="K107" s="107">
        <v>5.08</v>
      </c>
      <c r="L107" s="107">
        <f t="shared" si="0"/>
        <v>61.080000000000005</v>
      </c>
      <c r="M107" s="13" t="s">
        <v>548</v>
      </c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3">
      <c r="A108" s="12">
        <v>22</v>
      </c>
      <c r="B108" s="13" t="s">
        <v>51</v>
      </c>
      <c r="C108" s="13">
        <v>1058</v>
      </c>
      <c r="D108" s="13" t="s">
        <v>52</v>
      </c>
      <c r="E108" s="13">
        <v>35000114</v>
      </c>
      <c r="F108" s="107">
        <v>27.41</v>
      </c>
      <c r="G108" s="107">
        <v>14.34</v>
      </c>
      <c r="H108" s="107">
        <v>6.48</v>
      </c>
      <c r="I108" s="107">
        <v>10.51</v>
      </c>
      <c r="J108" s="107">
        <v>3.73</v>
      </c>
      <c r="K108" s="107">
        <v>6.2</v>
      </c>
      <c r="L108" s="107">
        <f t="shared" si="0"/>
        <v>68.67</v>
      </c>
      <c r="M108" s="13" t="s">
        <v>543</v>
      </c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3">
      <c r="A109" s="12">
        <v>23</v>
      </c>
      <c r="B109" s="13" t="s">
        <v>56</v>
      </c>
      <c r="C109" s="13">
        <v>1045</v>
      </c>
      <c r="D109" s="13" t="s">
        <v>52</v>
      </c>
      <c r="E109" s="13">
        <v>35000115</v>
      </c>
      <c r="F109" s="107">
        <v>27.22</v>
      </c>
      <c r="G109" s="107">
        <v>13.31</v>
      </c>
      <c r="H109" s="107">
        <v>6</v>
      </c>
      <c r="I109" s="107">
        <v>8.68</v>
      </c>
      <c r="J109" s="107">
        <v>4.03</v>
      </c>
      <c r="K109" s="107">
        <v>7.08</v>
      </c>
      <c r="L109" s="107">
        <f t="shared" si="0"/>
        <v>66.320000000000007</v>
      </c>
      <c r="M109" s="13" t="s">
        <v>543</v>
      </c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3">
      <c r="A110" s="12">
        <v>24</v>
      </c>
      <c r="B110" s="13" t="s">
        <v>54</v>
      </c>
      <c r="C110" s="13">
        <v>1273</v>
      </c>
      <c r="D110" s="13" t="s">
        <v>52</v>
      </c>
      <c r="E110" s="13">
        <v>35000116</v>
      </c>
      <c r="F110" s="107">
        <v>27.01</v>
      </c>
      <c r="G110" s="107">
        <v>11.2</v>
      </c>
      <c r="H110" s="107">
        <v>7.71</v>
      </c>
      <c r="I110" s="107">
        <v>11.75</v>
      </c>
      <c r="J110" s="107">
        <v>3.8</v>
      </c>
      <c r="K110" s="107">
        <v>7.24</v>
      </c>
      <c r="L110" s="107">
        <f t="shared" si="0"/>
        <v>68.709999999999994</v>
      </c>
      <c r="M110" s="13" t="s">
        <v>548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3">
      <c r="A111" s="12">
        <v>25</v>
      </c>
      <c r="B111" s="13" t="s">
        <v>53</v>
      </c>
      <c r="C111" s="13">
        <v>2433</v>
      </c>
      <c r="D111" s="13" t="s">
        <v>52</v>
      </c>
      <c r="E111" s="13">
        <v>35000117</v>
      </c>
      <c r="F111" s="107">
        <v>21.97</v>
      </c>
      <c r="G111" s="107">
        <v>11.91</v>
      </c>
      <c r="H111" s="107">
        <v>4.46</v>
      </c>
      <c r="I111" s="107">
        <v>8.02</v>
      </c>
      <c r="J111" s="107">
        <v>3.65</v>
      </c>
      <c r="K111" s="107">
        <v>5.56</v>
      </c>
      <c r="L111" s="107">
        <f t="shared" si="0"/>
        <v>55.57</v>
      </c>
      <c r="M111" s="13" t="s">
        <v>543</v>
      </c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3">
      <c r="A112" s="12">
        <v>26</v>
      </c>
      <c r="B112" s="13" t="s">
        <v>85</v>
      </c>
      <c r="C112" s="13">
        <v>1403</v>
      </c>
      <c r="D112" s="13" t="s">
        <v>84</v>
      </c>
      <c r="E112" s="13">
        <v>35000118</v>
      </c>
      <c r="F112" s="107">
        <v>21.53</v>
      </c>
      <c r="G112" s="107">
        <v>14.91</v>
      </c>
      <c r="H112" s="107">
        <v>8.5</v>
      </c>
      <c r="I112" s="107">
        <v>11.1</v>
      </c>
      <c r="J112" s="107">
        <v>4.25</v>
      </c>
      <c r="K112" s="107">
        <v>6.55</v>
      </c>
      <c r="L112" s="107">
        <f t="shared" si="0"/>
        <v>66.84</v>
      </c>
      <c r="M112" s="13" t="s">
        <v>543</v>
      </c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3">
      <c r="A113" s="224">
        <v>27</v>
      </c>
      <c r="B113" s="116" t="s">
        <v>83</v>
      </c>
      <c r="C113" s="116">
        <v>1000</v>
      </c>
      <c r="D113" s="116" t="s">
        <v>84</v>
      </c>
      <c r="E113" s="116">
        <v>35000119</v>
      </c>
      <c r="F113" s="115">
        <v>27.13</v>
      </c>
      <c r="G113" s="115">
        <v>9.6300000000000008</v>
      </c>
      <c r="H113" s="115">
        <v>7.23</v>
      </c>
      <c r="I113" s="115">
        <v>11.72</v>
      </c>
      <c r="J113" s="115">
        <v>4.18</v>
      </c>
      <c r="K113" s="115">
        <v>7</v>
      </c>
      <c r="L113" s="115">
        <f t="shared" si="0"/>
        <v>66.889999999999986</v>
      </c>
      <c r="M113" s="116" t="s">
        <v>543</v>
      </c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</row>
    <row r="114" spans="1:26" ht="15.75" customHeight="1" x14ac:dyDescent="0.3">
      <c r="A114" s="12">
        <v>29</v>
      </c>
      <c r="B114" s="13" t="s">
        <v>88</v>
      </c>
      <c r="C114" s="13">
        <v>1096</v>
      </c>
      <c r="D114" s="13" t="s">
        <v>84</v>
      </c>
      <c r="E114" s="13">
        <v>35000121</v>
      </c>
      <c r="F114" s="107">
        <v>25.69</v>
      </c>
      <c r="G114" s="107">
        <v>13</v>
      </c>
      <c r="H114" s="107">
        <v>6.15</v>
      </c>
      <c r="I114" s="107">
        <v>9.64</v>
      </c>
      <c r="J114" s="107">
        <v>3.8</v>
      </c>
      <c r="K114" s="107">
        <v>7</v>
      </c>
      <c r="L114" s="107">
        <f t="shared" si="0"/>
        <v>65.28</v>
      </c>
      <c r="M114" s="13" t="s">
        <v>545</v>
      </c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3">
      <c r="A115" s="12">
        <v>30</v>
      </c>
      <c r="B115" s="13" t="s">
        <v>87</v>
      </c>
      <c r="C115" s="13">
        <v>1787</v>
      </c>
      <c r="D115" s="13" t="s">
        <v>84</v>
      </c>
      <c r="E115" s="13">
        <v>35000122</v>
      </c>
      <c r="F115" s="107">
        <v>27.97</v>
      </c>
      <c r="G115" s="118">
        <v>13</v>
      </c>
      <c r="H115" s="118">
        <v>6.15</v>
      </c>
      <c r="I115" s="118">
        <v>9.64</v>
      </c>
      <c r="J115" s="118">
        <v>3.8</v>
      </c>
      <c r="K115" s="118">
        <v>7</v>
      </c>
      <c r="L115" s="107">
        <f t="shared" si="0"/>
        <v>67.56</v>
      </c>
      <c r="M115" s="13" t="s">
        <v>576</v>
      </c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3">
      <c r="A116" s="12">
        <v>31</v>
      </c>
      <c r="B116" s="13" t="s">
        <v>86</v>
      </c>
      <c r="C116" s="13">
        <v>1370</v>
      </c>
      <c r="D116" s="13" t="s">
        <v>84</v>
      </c>
      <c r="E116" s="13">
        <v>35000123</v>
      </c>
      <c r="F116" s="107">
        <v>30.94</v>
      </c>
      <c r="G116" s="107">
        <v>15</v>
      </c>
      <c r="H116" s="107">
        <v>7.23</v>
      </c>
      <c r="I116" s="107">
        <v>11.72</v>
      </c>
      <c r="J116" s="107">
        <v>4.18</v>
      </c>
      <c r="K116" s="107">
        <v>7.75</v>
      </c>
      <c r="L116" s="107">
        <f t="shared" si="0"/>
        <v>76.819999999999993</v>
      </c>
      <c r="M116" s="13" t="s">
        <v>543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3">
      <c r="A117" s="12">
        <v>32</v>
      </c>
      <c r="B117" s="13" t="s">
        <v>67</v>
      </c>
      <c r="C117" s="13">
        <v>1341</v>
      </c>
      <c r="D117" s="13" t="s">
        <v>64</v>
      </c>
      <c r="E117" s="13">
        <v>35000124</v>
      </c>
      <c r="F117" s="107">
        <v>20.32</v>
      </c>
      <c r="G117" s="107">
        <v>11.61</v>
      </c>
      <c r="H117" s="107">
        <v>7</v>
      </c>
      <c r="I117" s="107">
        <v>12.63</v>
      </c>
      <c r="J117" s="107">
        <v>3.5</v>
      </c>
      <c r="K117" s="107">
        <v>7.17</v>
      </c>
      <c r="L117" s="107">
        <f t="shared" si="0"/>
        <v>62.230000000000004</v>
      </c>
      <c r="M117" s="13" t="s">
        <v>548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3">
      <c r="A118" s="224">
        <v>33</v>
      </c>
      <c r="B118" s="116" t="s">
        <v>69</v>
      </c>
      <c r="C118" s="116">
        <v>1046</v>
      </c>
      <c r="D118" s="116" t="s">
        <v>64</v>
      </c>
      <c r="E118" s="116">
        <v>35000125</v>
      </c>
      <c r="F118" s="115">
        <v>23.73</v>
      </c>
      <c r="G118" s="115">
        <v>9.64</v>
      </c>
      <c r="H118" s="115">
        <v>7</v>
      </c>
      <c r="I118" s="115">
        <v>12.63</v>
      </c>
      <c r="J118" s="115">
        <v>3.5</v>
      </c>
      <c r="K118" s="115">
        <v>7</v>
      </c>
      <c r="L118" s="115">
        <f t="shared" si="0"/>
        <v>63.500000000000007</v>
      </c>
      <c r="M118" s="116" t="s">
        <v>548</v>
      </c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</row>
    <row r="119" spans="1:26" ht="15.75" customHeight="1" x14ac:dyDescent="0.3">
      <c r="A119" s="12">
        <v>34</v>
      </c>
      <c r="B119" s="13" t="s">
        <v>65</v>
      </c>
      <c r="C119" s="13">
        <v>1593</v>
      </c>
      <c r="D119" s="13" t="s">
        <v>64</v>
      </c>
      <c r="E119" s="13">
        <v>35000126</v>
      </c>
      <c r="F119" s="107">
        <v>19.649999999999999</v>
      </c>
      <c r="G119" s="107">
        <v>9.86</v>
      </c>
      <c r="H119" s="107">
        <v>6.8</v>
      </c>
      <c r="I119" s="107">
        <v>12.63</v>
      </c>
      <c r="J119" s="107">
        <v>3.5</v>
      </c>
      <c r="K119" s="107">
        <v>6.16</v>
      </c>
      <c r="L119" s="107">
        <f t="shared" si="0"/>
        <v>58.599999999999994</v>
      </c>
      <c r="M119" s="13" t="s">
        <v>548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3">
      <c r="A120" s="12">
        <v>35</v>
      </c>
      <c r="B120" s="13" t="s">
        <v>63</v>
      </c>
      <c r="C120" s="13">
        <v>1921</v>
      </c>
      <c r="D120" s="13" t="s">
        <v>64</v>
      </c>
      <c r="E120" s="13">
        <v>35000127</v>
      </c>
      <c r="F120" s="107">
        <v>22.88</v>
      </c>
      <c r="G120" s="107">
        <v>13.76</v>
      </c>
      <c r="H120" s="107">
        <v>7</v>
      </c>
      <c r="I120" s="107">
        <v>12.63</v>
      </c>
      <c r="J120" s="107">
        <v>3.5</v>
      </c>
      <c r="K120" s="107">
        <v>7</v>
      </c>
      <c r="L120" s="107">
        <f t="shared" si="0"/>
        <v>66.77000000000001</v>
      </c>
      <c r="M120" s="13" t="s">
        <v>548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3">
      <c r="A121" s="12">
        <v>36</v>
      </c>
      <c r="B121" s="13" t="s">
        <v>68</v>
      </c>
      <c r="C121" s="13">
        <v>1884</v>
      </c>
      <c r="D121" s="13" t="s">
        <v>64</v>
      </c>
      <c r="E121" s="13">
        <v>35000129</v>
      </c>
      <c r="F121" s="107">
        <v>26.42</v>
      </c>
      <c r="G121" s="107">
        <v>11.41</v>
      </c>
      <c r="H121" s="107">
        <v>7</v>
      </c>
      <c r="I121" s="107">
        <v>12.63</v>
      </c>
      <c r="J121" s="107">
        <v>3.5</v>
      </c>
      <c r="K121" s="107">
        <v>7</v>
      </c>
      <c r="L121" s="107">
        <f t="shared" si="0"/>
        <v>67.960000000000008</v>
      </c>
      <c r="M121" s="13" t="s">
        <v>548</v>
      </c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3">
      <c r="A122" s="12">
        <v>37</v>
      </c>
      <c r="B122" s="13" t="s">
        <v>70</v>
      </c>
      <c r="C122" s="13">
        <v>1337</v>
      </c>
      <c r="D122" s="13" t="s">
        <v>64</v>
      </c>
      <c r="E122" s="13">
        <v>35000128</v>
      </c>
      <c r="F122" s="107">
        <v>26.07</v>
      </c>
      <c r="G122" s="107">
        <v>7.49</v>
      </c>
      <c r="H122" s="107">
        <v>6.78</v>
      </c>
      <c r="I122" s="107">
        <v>11.57</v>
      </c>
      <c r="J122" s="107">
        <v>4.18</v>
      </c>
      <c r="K122" s="107">
        <v>7.15</v>
      </c>
      <c r="L122" s="107">
        <f t="shared" si="0"/>
        <v>63.24</v>
      </c>
      <c r="M122" s="13" t="s">
        <v>543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3">
      <c r="A123" s="12">
        <v>38</v>
      </c>
      <c r="B123" s="13" t="s">
        <v>66</v>
      </c>
      <c r="C123" s="13">
        <v>1246</v>
      </c>
      <c r="D123" s="13" t="s">
        <v>64</v>
      </c>
      <c r="E123" s="13">
        <v>35000130</v>
      </c>
      <c r="F123" s="107">
        <v>23.26</v>
      </c>
      <c r="G123" s="107">
        <v>13.16</v>
      </c>
      <c r="H123" s="107">
        <v>5.28</v>
      </c>
      <c r="I123" s="107">
        <v>10.6</v>
      </c>
      <c r="J123" s="107">
        <v>3.58</v>
      </c>
      <c r="K123" s="107">
        <v>5.76</v>
      </c>
      <c r="L123" s="107">
        <f t="shared" si="0"/>
        <v>61.64</v>
      </c>
      <c r="M123" s="13" t="s">
        <v>544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3">
      <c r="A124" s="12">
        <v>39</v>
      </c>
      <c r="B124" s="13" t="s">
        <v>71</v>
      </c>
      <c r="C124" s="13">
        <v>1372</v>
      </c>
      <c r="D124" s="13" t="s">
        <v>64</v>
      </c>
      <c r="E124" s="13">
        <v>35000131</v>
      </c>
      <c r="F124" s="107">
        <v>21.51</v>
      </c>
      <c r="G124" s="107">
        <v>8.18</v>
      </c>
      <c r="H124" s="107">
        <v>7</v>
      </c>
      <c r="I124" s="107">
        <v>12.63</v>
      </c>
      <c r="J124" s="107">
        <v>3.5</v>
      </c>
      <c r="K124" s="107">
        <v>7</v>
      </c>
      <c r="L124" s="107">
        <f t="shared" si="0"/>
        <v>59.82</v>
      </c>
      <c r="M124" s="13" t="s">
        <v>548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4.25" customHeight="1" x14ac:dyDescent="0.3">
      <c r="A125" s="48" t="s">
        <v>244</v>
      </c>
      <c r="B125" s="228" t="s">
        <v>245</v>
      </c>
      <c r="C125" s="229"/>
      <c r="D125" s="229"/>
      <c r="E125" s="230"/>
      <c r="F125" s="175"/>
      <c r="G125" s="175"/>
      <c r="H125" s="175"/>
      <c r="I125" s="175"/>
      <c r="J125" s="175"/>
      <c r="K125" s="175"/>
      <c r="L125" s="107">
        <f t="shared" si="0"/>
        <v>0</v>
      </c>
      <c r="M125" s="48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2">
        <v>8</v>
      </c>
      <c r="B126" s="13" t="s">
        <v>222</v>
      </c>
      <c r="C126" s="13">
        <v>695</v>
      </c>
      <c r="D126" s="13" t="s">
        <v>223</v>
      </c>
      <c r="E126" s="13">
        <v>35000090</v>
      </c>
      <c r="F126" s="107">
        <v>22.73</v>
      </c>
      <c r="G126" s="107">
        <v>14.96</v>
      </c>
      <c r="H126" s="107">
        <v>6.88</v>
      </c>
      <c r="I126" s="107">
        <v>9.68</v>
      </c>
      <c r="J126" s="107">
        <v>2.9</v>
      </c>
      <c r="K126" s="107">
        <v>6.1</v>
      </c>
      <c r="L126" s="107">
        <f t="shared" si="0"/>
        <v>63.25</v>
      </c>
      <c r="M126" s="13" t="s">
        <v>548</v>
      </c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3">
      <c r="A127" s="12">
        <v>9</v>
      </c>
      <c r="B127" s="13" t="s">
        <v>224</v>
      </c>
      <c r="C127" s="13">
        <v>463</v>
      </c>
      <c r="D127" s="13" t="s">
        <v>223</v>
      </c>
      <c r="E127" s="13">
        <v>35000091</v>
      </c>
      <c r="F127" s="107">
        <v>23.63</v>
      </c>
      <c r="G127" s="118">
        <v>14.96</v>
      </c>
      <c r="H127" s="118">
        <v>6.88</v>
      </c>
      <c r="I127" s="118">
        <v>9.68</v>
      </c>
      <c r="J127" s="118">
        <v>2.9</v>
      </c>
      <c r="K127" s="118">
        <v>6.1</v>
      </c>
      <c r="L127" s="107">
        <f t="shared" si="0"/>
        <v>64.150000000000006</v>
      </c>
      <c r="M127" s="13" t="s">
        <v>576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3">
      <c r="A128" s="12">
        <v>10</v>
      </c>
      <c r="B128" s="13" t="s">
        <v>225</v>
      </c>
      <c r="C128" s="13">
        <v>296</v>
      </c>
      <c r="D128" s="13" t="s">
        <v>223</v>
      </c>
      <c r="E128" s="13">
        <v>35000092</v>
      </c>
      <c r="F128" s="107">
        <v>30.77</v>
      </c>
      <c r="G128" s="107">
        <v>7.71</v>
      </c>
      <c r="H128" s="107">
        <v>4.33</v>
      </c>
      <c r="I128" s="107">
        <v>8.84</v>
      </c>
      <c r="J128" s="107">
        <v>3.93</v>
      </c>
      <c r="K128" s="107">
        <v>3.2</v>
      </c>
      <c r="L128" s="107">
        <f t="shared" si="0"/>
        <v>58.779999999999994</v>
      </c>
      <c r="M128" s="13" t="s">
        <v>548</v>
      </c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3">
      <c r="A129" s="224">
        <v>11</v>
      </c>
      <c r="B129" s="116" t="s">
        <v>226</v>
      </c>
      <c r="C129" s="116">
        <v>2581</v>
      </c>
      <c r="D129" s="116" t="s">
        <v>223</v>
      </c>
      <c r="E129" s="116">
        <v>35000093</v>
      </c>
      <c r="F129" s="119">
        <v>35.97</v>
      </c>
      <c r="G129" s="115">
        <v>11.45</v>
      </c>
      <c r="H129" s="115">
        <v>4</v>
      </c>
      <c r="I129" s="115">
        <v>7.54</v>
      </c>
      <c r="J129" s="115">
        <v>2.7</v>
      </c>
      <c r="K129" s="115">
        <v>4.3600000000000003</v>
      </c>
      <c r="L129" s="115">
        <f t="shared" si="0"/>
        <v>66.02000000000001</v>
      </c>
      <c r="M129" s="116" t="s">
        <v>545</v>
      </c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</row>
    <row r="130" spans="1:26" ht="15.75" customHeight="1" x14ac:dyDescent="0.3">
      <c r="A130" s="12">
        <v>13</v>
      </c>
      <c r="B130" s="13" t="s">
        <v>93</v>
      </c>
      <c r="C130" s="13">
        <v>1126</v>
      </c>
      <c r="D130" s="13" t="s">
        <v>91</v>
      </c>
      <c r="E130" s="13">
        <v>35000171</v>
      </c>
      <c r="F130" s="107">
        <v>23.01</v>
      </c>
      <c r="G130" s="107">
        <v>13.71</v>
      </c>
      <c r="H130" s="107">
        <v>5.08</v>
      </c>
      <c r="I130" s="107">
        <v>10.6</v>
      </c>
      <c r="J130" s="107">
        <v>3.18</v>
      </c>
      <c r="K130" s="107">
        <v>5.31</v>
      </c>
      <c r="L130" s="107">
        <f t="shared" si="0"/>
        <v>60.89</v>
      </c>
      <c r="M130" s="13" t="s">
        <v>544</v>
      </c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3">
      <c r="A131" s="224">
        <v>15</v>
      </c>
      <c r="B131" s="116" t="s">
        <v>90</v>
      </c>
      <c r="C131" s="116">
        <v>1523</v>
      </c>
      <c r="D131" s="116" t="s">
        <v>91</v>
      </c>
      <c r="E131" s="116">
        <v>35000173</v>
      </c>
      <c r="F131" s="115">
        <v>31.88</v>
      </c>
      <c r="G131" s="115">
        <v>9.61</v>
      </c>
      <c r="H131" s="115">
        <v>5.58</v>
      </c>
      <c r="I131" s="115">
        <v>9.9499999999999993</v>
      </c>
      <c r="J131" s="115">
        <v>3.8</v>
      </c>
      <c r="K131" s="115">
        <v>6.41</v>
      </c>
      <c r="L131" s="115">
        <f t="shared" si="0"/>
        <v>67.22999999999999</v>
      </c>
      <c r="M131" s="116" t="s">
        <v>596</v>
      </c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</row>
    <row r="132" spans="1:26" ht="15.75" customHeight="1" x14ac:dyDescent="0.3">
      <c r="A132" s="12">
        <v>16</v>
      </c>
      <c r="B132" s="13" t="s">
        <v>92</v>
      </c>
      <c r="C132" s="13">
        <v>1744</v>
      </c>
      <c r="D132" s="13" t="s">
        <v>91</v>
      </c>
      <c r="E132" s="13">
        <v>35000174</v>
      </c>
      <c r="F132" s="107">
        <v>25.02</v>
      </c>
      <c r="G132" s="107">
        <v>11.87</v>
      </c>
      <c r="H132" s="107">
        <v>4.54</v>
      </c>
      <c r="I132" s="107">
        <v>7.66</v>
      </c>
      <c r="J132" s="107">
        <v>2.2999999999999998</v>
      </c>
      <c r="K132" s="107">
        <v>5.16</v>
      </c>
      <c r="L132" s="107">
        <f t="shared" si="0"/>
        <v>56.55</v>
      </c>
      <c r="M132" s="13" t="s">
        <v>543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3">
      <c r="A133" s="224">
        <v>17</v>
      </c>
      <c r="B133" s="116" t="s">
        <v>94</v>
      </c>
      <c r="C133" s="116">
        <v>1909</v>
      </c>
      <c r="D133" s="116" t="s">
        <v>91</v>
      </c>
      <c r="E133" s="116">
        <v>35000175</v>
      </c>
      <c r="F133" s="115">
        <v>28.37</v>
      </c>
      <c r="G133" s="115">
        <v>11.03</v>
      </c>
      <c r="H133" s="115">
        <v>4.3600000000000003</v>
      </c>
      <c r="I133" s="115">
        <v>8.58</v>
      </c>
      <c r="J133" s="115">
        <v>3.1</v>
      </c>
      <c r="K133" s="115">
        <v>4.04</v>
      </c>
      <c r="L133" s="115">
        <f t="shared" si="0"/>
        <v>59.48</v>
      </c>
      <c r="M133" s="116" t="s">
        <v>599</v>
      </c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</row>
    <row r="134" spans="1:26" ht="15.75" customHeight="1" x14ac:dyDescent="0.3">
      <c r="A134" s="12">
        <v>18</v>
      </c>
      <c r="B134" s="13" t="s">
        <v>78</v>
      </c>
      <c r="C134" s="13">
        <v>1008</v>
      </c>
      <c r="D134" s="13" t="s">
        <v>75</v>
      </c>
      <c r="E134" s="13">
        <v>35000176</v>
      </c>
      <c r="F134" s="107">
        <v>18.850000000000001</v>
      </c>
      <c r="G134" s="107">
        <v>11.9</v>
      </c>
      <c r="H134" s="107">
        <v>4.5999999999999996</v>
      </c>
      <c r="I134" s="107">
        <v>7.54</v>
      </c>
      <c r="J134" s="107">
        <v>3.18</v>
      </c>
      <c r="K134" s="107">
        <v>5</v>
      </c>
      <c r="L134" s="107">
        <f t="shared" si="0"/>
        <v>51.07</v>
      </c>
      <c r="M134" s="13" t="s">
        <v>543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3">
      <c r="A135" s="12">
        <v>21</v>
      </c>
      <c r="B135" s="13" t="s">
        <v>81</v>
      </c>
      <c r="C135" s="13">
        <v>1090</v>
      </c>
      <c r="D135" s="13" t="s">
        <v>75</v>
      </c>
      <c r="E135" s="13">
        <v>35000179</v>
      </c>
      <c r="F135" s="107">
        <v>23.44</v>
      </c>
      <c r="G135" s="107">
        <v>12.51</v>
      </c>
      <c r="H135" s="107">
        <v>3.94</v>
      </c>
      <c r="I135" s="107">
        <v>7.3</v>
      </c>
      <c r="J135" s="107">
        <v>3.18</v>
      </c>
      <c r="K135" s="107">
        <v>5</v>
      </c>
      <c r="L135" s="107">
        <f t="shared" si="0"/>
        <v>55.37</v>
      </c>
      <c r="M135" s="13" t="s">
        <v>543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3">
      <c r="A136" s="224">
        <v>23</v>
      </c>
      <c r="B136" s="116" t="s">
        <v>79</v>
      </c>
      <c r="C136" s="116">
        <v>1449</v>
      </c>
      <c r="D136" s="116" t="s">
        <v>75</v>
      </c>
      <c r="E136" s="116">
        <v>35000181</v>
      </c>
      <c r="F136" s="119">
        <v>37.79</v>
      </c>
      <c r="G136" s="115">
        <v>12.75</v>
      </c>
      <c r="H136" s="115">
        <v>4.8</v>
      </c>
      <c r="I136" s="115">
        <v>8.1</v>
      </c>
      <c r="J136" s="115">
        <v>3.5</v>
      </c>
      <c r="K136" s="115">
        <v>5.8</v>
      </c>
      <c r="L136" s="115">
        <f t="shared" si="0"/>
        <v>72.739999999999995</v>
      </c>
      <c r="M136" s="116" t="s">
        <v>545</v>
      </c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</row>
    <row r="137" spans="1:26" ht="15.75" customHeight="1" x14ac:dyDescent="0.3">
      <c r="A137" s="224">
        <v>24</v>
      </c>
      <c r="B137" s="116" t="s">
        <v>74</v>
      </c>
      <c r="C137" s="116">
        <v>1843</v>
      </c>
      <c r="D137" s="116" t="s">
        <v>75</v>
      </c>
      <c r="E137" s="116">
        <v>35000182</v>
      </c>
      <c r="F137" s="115">
        <v>27.72</v>
      </c>
      <c r="G137" s="115">
        <v>12.03</v>
      </c>
      <c r="H137" s="115">
        <v>4.5999999999999996</v>
      </c>
      <c r="I137" s="115">
        <v>8.18</v>
      </c>
      <c r="J137" s="115">
        <v>3.5</v>
      </c>
      <c r="K137" s="115">
        <v>5.64</v>
      </c>
      <c r="L137" s="115">
        <f t="shared" si="0"/>
        <v>61.67</v>
      </c>
      <c r="M137" s="116" t="s">
        <v>599</v>
      </c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</row>
    <row r="138" spans="1:26" ht="15.75" customHeight="1" x14ac:dyDescent="0.3">
      <c r="A138" s="224">
        <v>25</v>
      </c>
      <c r="B138" s="116" t="s">
        <v>77</v>
      </c>
      <c r="C138" s="116">
        <v>1057</v>
      </c>
      <c r="D138" s="116" t="s">
        <v>75</v>
      </c>
      <c r="E138" s="116">
        <v>35000183</v>
      </c>
      <c r="F138" s="115">
        <v>31.79</v>
      </c>
      <c r="G138" s="115">
        <v>13.64</v>
      </c>
      <c r="H138" s="115">
        <v>6.48</v>
      </c>
      <c r="I138" s="115">
        <v>8.5299999999999994</v>
      </c>
      <c r="J138" s="115">
        <v>4.25</v>
      </c>
      <c r="K138" s="115">
        <v>7.9</v>
      </c>
      <c r="L138" s="115">
        <f t="shared" si="0"/>
        <v>72.59</v>
      </c>
      <c r="M138" s="116" t="s">
        <v>543</v>
      </c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</row>
    <row r="139" spans="1:26" ht="14.25" customHeight="1" x14ac:dyDescent="0.3">
      <c r="A139" s="48" t="s">
        <v>246</v>
      </c>
      <c r="B139" s="228" t="s">
        <v>247</v>
      </c>
      <c r="C139" s="229"/>
      <c r="D139" s="229"/>
      <c r="E139" s="230"/>
      <c r="F139" s="175"/>
      <c r="G139" s="175"/>
      <c r="H139" s="175"/>
      <c r="I139" s="175"/>
      <c r="J139" s="175"/>
      <c r="K139" s="175"/>
      <c r="L139" s="107">
        <f t="shared" si="0"/>
        <v>0</v>
      </c>
      <c r="M139" s="4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224">
        <v>1</v>
      </c>
      <c r="B140" s="116" t="s">
        <v>33</v>
      </c>
      <c r="C140" s="116">
        <v>1393</v>
      </c>
      <c r="D140" s="116" t="s">
        <v>26</v>
      </c>
      <c r="E140" s="116">
        <v>35000156</v>
      </c>
      <c r="F140" s="119">
        <v>38.119999999999997</v>
      </c>
      <c r="G140" s="115">
        <v>14.2</v>
      </c>
      <c r="H140" s="115">
        <v>8.15</v>
      </c>
      <c r="I140" s="115">
        <v>11.51</v>
      </c>
      <c r="J140" s="115">
        <v>3.88</v>
      </c>
      <c r="K140" s="115">
        <v>7.23</v>
      </c>
      <c r="L140" s="115">
        <f t="shared" si="0"/>
        <v>83.089999999999989</v>
      </c>
      <c r="M140" s="116" t="s">
        <v>607</v>
      </c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</row>
    <row r="141" spans="1:26" ht="15.75" customHeight="1" x14ac:dyDescent="0.3">
      <c r="A141" s="12">
        <v>2</v>
      </c>
      <c r="B141" s="13" t="s">
        <v>29</v>
      </c>
      <c r="C141" s="13">
        <v>1447</v>
      </c>
      <c r="D141" s="13" t="s">
        <v>26</v>
      </c>
      <c r="E141" s="13">
        <v>35000157</v>
      </c>
      <c r="F141" s="107">
        <v>28.1</v>
      </c>
      <c r="G141" s="107">
        <v>11.53</v>
      </c>
      <c r="H141" s="107">
        <v>7.56</v>
      </c>
      <c r="I141" s="107">
        <v>11.25</v>
      </c>
      <c r="J141" s="107">
        <v>3.73</v>
      </c>
      <c r="K141" s="107">
        <v>7.53</v>
      </c>
      <c r="L141" s="107">
        <f t="shared" si="0"/>
        <v>69.7</v>
      </c>
      <c r="M141" s="13" t="s">
        <v>545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3">
      <c r="A142" s="224">
        <v>3</v>
      </c>
      <c r="B142" s="116" t="s">
        <v>27</v>
      </c>
      <c r="C142" s="116">
        <v>1239</v>
      </c>
      <c r="D142" s="116" t="s">
        <v>26</v>
      </c>
      <c r="E142" s="116">
        <v>35000158</v>
      </c>
      <c r="F142" s="115">
        <v>24.92</v>
      </c>
      <c r="G142" s="115">
        <v>14.53</v>
      </c>
      <c r="H142" s="115">
        <v>8.0299999999999994</v>
      </c>
      <c r="I142" s="115">
        <v>11.9</v>
      </c>
      <c r="J142" s="115">
        <v>3.88</v>
      </c>
      <c r="K142" s="115">
        <v>7.06</v>
      </c>
      <c r="L142" s="115">
        <f t="shared" si="0"/>
        <v>70.320000000000007</v>
      </c>
      <c r="M142" s="116" t="s">
        <v>607</v>
      </c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</row>
    <row r="143" spans="1:26" ht="15.75" customHeight="1" x14ac:dyDescent="0.3">
      <c r="A143" s="224">
        <v>4</v>
      </c>
      <c r="B143" s="116" t="s">
        <v>32</v>
      </c>
      <c r="C143" s="116">
        <v>1244</v>
      </c>
      <c r="D143" s="116" t="s">
        <v>26</v>
      </c>
      <c r="E143" s="116">
        <v>35000159</v>
      </c>
      <c r="F143" s="119">
        <v>36.950000000000003</v>
      </c>
      <c r="G143" s="115">
        <v>14.66</v>
      </c>
      <c r="H143" s="115">
        <v>7.88</v>
      </c>
      <c r="I143" s="115">
        <v>11.58</v>
      </c>
      <c r="J143" s="115">
        <v>4.0599999999999996</v>
      </c>
      <c r="K143" s="115">
        <v>7.53</v>
      </c>
      <c r="L143" s="115">
        <f t="shared" si="0"/>
        <v>82.660000000000011</v>
      </c>
      <c r="M143" s="116" t="s">
        <v>545</v>
      </c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</row>
    <row r="144" spans="1:26" ht="15.75" customHeight="1" x14ac:dyDescent="0.3">
      <c r="A144" s="12">
        <v>5</v>
      </c>
      <c r="B144" s="13" t="s">
        <v>31</v>
      </c>
      <c r="C144" s="13">
        <v>1879</v>
      </c>
      <c r="D144" s="13" t="s">
        <v>26</v>
      </c>
      <c r="E144" s="13">
        <v>35000160</v>
      </c>
      <c r="F144" s="107">
        <v>21.97</v>
      </c>
      <c r="G144" s="107">
        <v>11.42</v>
      </c>
      <c r="H144" s="107">
        <v>7</v>
      </c>
      <c r="I144" s="107">
        <v>10.5</v>
      </c>
      <c r="J144" s="107">
        <v>3.5</v>
      </c>
      <c r="K144" s="107">
        <v>3</v>
      </c>
      <c r="L144" s="107">
        <f t="shared" si="0"/>
        <v>57.39</v>
      </c>
      <c r="M144" s="13" t="s">
        <v>543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3">
      <c r="A145" s="224">
        <v>6</v>
      </c>
      <c r="B145" s="116" t="s">
        <v>25</v>
      </c>
      <c r="C145" s="116">
        <v>2188</v>
      </c>
      <c r="D145" s="116" t="s">
        <v>26</v>
      </c>
      <c r="E145" s="116">
        <v>35000161</v>
      </c>
      <c r="F145" s="115">
        <v>30.37</v>
      </c>
      <c r="G145" s="115">
        <v>13.02</v>
      </c>
      <c r="H145" s="115">
        <v>7.77</v>
      </c>
      <c r="I145" s="115">
        <v>11.61</v>
      </c>
      <c r="J145" s="115">
        <v>3.95</v>
      </c>
      <c r="K145" s="115">
        <v>7</v>
      </c>
      <c r="L145" s="115">
        <f t="shared" si="0"/>
        <v>73.72</v>
      </c>
      <c r="M145" s="116" t="s">
        <v>545</v>
      </c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</row>
    <row r="146" spans="1:26" ht="15.75" customHeight="1" x14ac:dyDescent="0.3">
      <c r="A146" s="224">
        <v>7</v>
      </c>
      <c r="B146" s="116" t="s">
        <v>30</v>
      </c>
      <c r="C146" s="116">
        <v>2056</v>
      </c>
      <c r="D146" s="116" t="s">
        <v>26</v>
      </c>
      <c r="E146" s="116">
        <v>35000162</v>
      </c>
      <c r="F146" s="115">
        <v>28.8</v>
      </c>
      <c r="G146" s="115">
        <v>10.56</v>
      </c>
      <c r="H146" s="115">
        <v>7.8</v>
      </c>
      <c r="I146" s="115">
        <v>11.61</v>
      </c>
      <c r="J146" s="115">
        <v>3.8</v>
      </c>
      <c r="K146" s="115">
        <v>7</v>
      </c>
      <c r="L146" s="115">
        <f t="shared" si="0"/>
        <v>69.569999999999993</v>
      </c>
      <c r="M146" s="116" t="s">
        <v>545</v>
      </c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</row>
    <row r="147" spans="1:26" ht="15.75" customHeight="1" x14ac:dyDescent="0.3">
      <c r="A147" s="12">
        <v>8</v>
      </c>
      <c r="B147" s="13" t="s">
        <v>28</v>
      </c>
      <c r="C147" s="13">
        <v>2323</v>
      </c>
      <c r="D147" s="13" t="s">
        <v>26</v>
      </c>
      <c r="E147" s="13">
        <v>35000163</v>
      </c>
      <c r="F147" s="107">
        <v>20.18</v>
      </c>
      <c r="G147" s="107">
        <v>12.05</v>
      </c>
      <c r="H147" s="107">
        <v>7.56</v>
      </c>
      <c r="I147" s="107">
        <v>11.37</v>
      </c>
      <c r="J147" s="107">
        <v>3.65</v>
      </c>
      <c r="K147" s="107">
        <v>8.0500000000000007</v>
      </c>
      <c r="L147" s="107">
        <f t="shared" si="0"/>
        <v>62.86</v>
      </c>
      <c r="M147" s="13" t="s">
        <v>545</v>
      </c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3">
      <c r="A148" s="12">
        <v>9</v>
      </c>
      <c r="B148" s="13" t="s">
        <v>46</v>
      </c>
      <c r="C148" s="13">
        <v>1920</v>
      </c>
      <c r="D148" s="13" t="s">
        <v>43</v>
      </c>
      <c r="E148" s="13">
        <v>35000165</v>
      </c>
      <c r="F148" s="107">
        <v>22.26</v>
      </c>
      <c r="G148" s="107">
        <v>13</v>
      </c>
      <c r="H148" s="107">
        <v>7.86</v>
      </c>
      <c r="I148" s="107">
        <v>11.36</v>
      </c>
      <c r="J148" s="107">
        <v>3.95</v>
      </c>
      <c r="K148" s="107">
        <v>7</v>
      </c>
      <c r="L148" s="107">
        <f t="shared" si="0"/>
        <v>65.430000000000007</v>
      </c>
      <c r="M148" s="13" t="s">
        <v>613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3">
      <c r="A149" s="12">
        <v>10</v>
      </c>
      <c r="B149" s="13" t="s">
        <v>44</v>
      </c>
      <c r="C149" s="13">
        <v>1867</v>
      </c>
      <c r="D149" s="13" t="s">
        <v>43</v>
      </c>
      <c r="E149" s="13">
        <v>35000166</v>
      </c>
      <c r="F149" s="107">
        <v>25.75</v>
      </c>
      <c r="G149" s="107">
        <v>12.23</v>
      </c>
      <c r="H149" s="107">
        <v>7.83</v>
      </c>
      <c r="I149" s="107">
        <v>11.25</v>
      </c>
      <c r="J149" s="107">
        <v>3.8</v>
      </c>
      <c r="K149" s="107">
        <v>7</v>
      </c>
      <c r="L149" s="107">
        <f t="shared" si="0"/>
        <v>67.86</v>
      </c>
      <c r="M149" s="13" t="s">
        <v>543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3">
      <c r="A150" s="12">
        <v>11</v>
      </c>
      <c r="B150" s="13" t="s">
        <v>47</v>
      </c>
      <c r="C150" s="13">
        <v>1262</v>
      </c>
      <c r="D150" s="13" t="s">
        <v>43</v>
      </c>
      <c r="E150" s="13">
        <v>35000167</v>
      </c>
      <c r="F150" s="107">
        <v>23.34</v>
      </c>
      <c r="G150" s="107">
        <v>13.36</v>
      </c>
      <c r="H150" s="107">
        <v>7.88</v>
      </c>
      <c r="I150" s="107">
        <v>12.03</v>
      </c>
      <c r="J150" s="107">
        <v>4.03</v>
      </c>
      <c r="K150" s="107">
        <v>7.62</v>
      </c>
      <c r="L150" s="107">
        <f t="shared" si="0"/>
        <v>68.260000000000005</v>
      </c>
      <c r="M150" s="13" t="s">
        <v>547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3">
      <c r="A151" s="12">
        <v>12</v>
      </c>
      <c r="B151" s="13" t="s">
        <v>42</v>
      </c>
      <c r="C151" s="13">
        <v>1094</v>
      </c>
      <c r="D151" s="13" t="s">
        <v>43</v>
      </c>
      <c r="E151" s="13">
        <v>35000168</v>
      </c>
      <c r="F151" s="107">
        <v>19.23</v>
      </c>
      <c r="G151" s="107">
        <v>10.34</v>
      </c>
      <c r="H151" s="107">
        <v>7</v>
      </c>
      <c r="I151" s="107">
        <v>10.5</v>
      </c>
      <c r="J151" s="107">
        <v>3.5</v>
      </c>
      <c r="K151" s="107">
        <v>7</v>
      </c>
      <c r="L151" s="107">
        <f t="shared" si="0"/>
        <v>57.57</v>
      </c>
      <c r="M151" s="13" t="s">
        <v>543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3">
      <c r="A152" s="12">
        <v>13</v>
      </c>
      <c r="B152" s="13" t="s">
        <v>45</v>
      </c>
      <c r="C152" s="13">
        <v>1088</v>
      </c>
      <c r="D152" s="13" t="s">
        <v>43</v>
      </c>
      <c r="E152" s="13">
        <v>35000169</v>
      </c>
      <c r="F152" s="107">
        <v>28.09</v>
      </c>
      <c r="G152" s="107">
        <v>14.86</v>
      </c>
      <c r="H152" s="107">
        <v>7.98</v>
      </c>
      <c r="I152" s="107">
        <v>11.5</v>
      </c>
      <c r="J152" s="107">
        <v>3.18</v>
      </c>
      <c r="K152" s="107">
        <v>7.6</v>
      </c>
      <c r="L152" s="107">
        <f t="shared" si="0"/>
        <v>73.210000000000008</v>
      </c>
      <c r="M152" s="13" t="s">
        <v>547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4.25" customHeight="1" x14ac:dyDescent="0.3">
      <c r="A153" s="48" t="s">
        <v>248</v>
      </c>
      <c r="B153" s="228" t="s">
        <v>249</v>
      </c>
      <c r="C153" s="229"/>
      <c r="D153" s="229"/>
      <c r="E153" s="230"/>
      <c r="F153" s="175"/>
      <c r="G153" s="175"/>
      <c r="H153" s="175"/>
      <c r="I153" s="175"/>
      <c r="J153" s="175"/>
      <c r="K153" s="175"/>
      <c r="L153" s="107">
        <f t="shared" si="0"/>
        <v>0</v>
      </c>
      <c r="M153" s="4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2">
        <v>1</v>
      </c>
      <c r="B154" s="13" t="s">
        <v>204</v>
      </c>
      <c r="C154" s="13">
        <v>1151</v>
      </c>
      <c r="D154" s="13" t="s">
        <v>205</v>
      </c>
      <c r="E154" s="13">
        <v>35000076</v>
      </c>
      <c r="F154" s="107">
        <v>21.41</v>
      </c>
      <c r="G154" s="107">
        <v>13.55</v>
      </c>
      <c r="H154" s="107">
        <v>3.76</v>
      </c>
      <c r="I154" s="107">
        <v>9.6999999999999993</v>
      </c>
      <c r="J154" s="107">
        <v>3.5</v>
      </c>
      <c r="K154" s="107">
        <v>5.56</v>
      </c>
      <c r="L154" s="107">
        <f t="shared" si="0"/>
        <v>57.480000000000004</v>
      </c>
      <c r="M154" s="13" t="s">
        <v>544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3">
      <c r="A155" s="224">
        <v>2</v>
      </c>
      <c r="B155" s="116" t="s">
        <v>206</v>
      </c>
      <c r="C155" s="116">
        <v>319</v>
      </c>
      <c r="D155" s="116" t="s">
        <v>205</v>
      </c>
      <c r="E155" s="116">
        <v>35000077</v>
      </c>
      <c r="F155" s="115">
        <v>22.33</v>
      </c>
      <c r="G155" s="115">
        <v>11.96</v>
      </c>
      <c r="H155" s="115">
        <v>5.0599999999999996</v>
      </c>
      <c r="I155" s="115">
        <v>10.71</v>
      </c>
      <c r="J155" s="115">
        <v>3.5</v>
      </c>
      <c r="K155" s="115">
        <v>7.95</v>
      </c>
      <c r="L155" s="115">
        <f t="shared" si="0"/>
        <v>61.510000000000005</v>
      </c>
      <c r="M155" s="116" t="s">
        <v>543</v>
      </c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</row>
    <row r="156" spans="1:26" ht="15.75" customHeight="1" x14ac:dyDescent="0.3">
      <c r="A156" s="12">
        <v>3</v>
      </c>
      <c r="B156" s="13" t="s">
        <v>207</v>
      </c>
      <c r="C156" s="13">
        <v>309</v>
      </c>
      <c r="D156" s="13" t="s">
        <v>208</v>
      </c>
      <c r="E156" s="13">
        <v>35000078</v>
      </c>
      <c r="F156" s="107">
        <v>26.08</v>
      </c>
      <c r="G156" s="107">
        <v>14.97</v>
      </c>
      <c r="H156" s="107">
        <v>6.31</v>
      </c>
      <c r="I156" s="107">
        <v>13.15</v>
      </c>
      <c r="J156" s="107">
        <v>4.25</v>
      </c>
      <c r="K156" s="107">
        <v>7.46</v>
      </c>
      <c r="L156" s="107">
        <f t="shared" si="0"/>
        <v>72.219999999999985</v>
      </c>
      <c r="M156" s="13" t="s">
        <v>543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3">
      <c r="A157" s="12">
        <v>4</v>
      </c>
      <c r="B157" s="13" t="s">
        <v>209</v>
      </c>
      <c r="C157" s="13">
        <v>350</v>
      </c>
      <c r="D157" s="13" t="s">
        <v>208</v>
      </c>
      <c r="E157" s="13">
        <v>35000079</v>
      </c>
      <c r="F157" s="107">
        <v>19.32</v>
      </c>
      <c r="G157" s="107">
        <v>4.95</v>
      </c>
      <c r="H157" s="107">
        <v>7.66</v>
      </c>
      <c r="I157" s="107">
        <v>12.75</v>
      </c>
      <c r="J157" s="107">
        <v>4.25</v>
      </c>
      <c r="K157" s="107">
        <v>8.41</v>
      </c>
      <c r="L157" s="107">
        <f t="shared" si="0"/>
        <v>57.34</v>
      </c>
      <c r="M157" s="13" t="s">
        <v>543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3">
      <c r="A158" s="12">
        <v>5</v>
      </c>
      <c r="B158" s="13" t="s">
        <v>210</v>
      </c>
      <c r="C158" s="13">
        <v>63</v>
      </c>
      <c r="D158" s="13" t="s">
        <v>208</v>
      </c>
      <c r="E158" s="13">
        <v>35000080</v>
      </c>
      <c r="F158" s="107">
        <v>24.78</v>
      </c>
      <c r="G158" s="107">
        <v>14.94</v>
      </c>
      <c r="H158" s="107">
        <v>8.6999999999999993</v>
      </c>
      <c r="I158" s="107">
        <v>12.75</v>
      </c>
      <c r="J158" s="107">
        <v>4.75</v>
      </c>
      <c r="K158" s="107">
        <v>7.7</v>
      </c>
      <c r="L158" s="107">
        <f t="shared" si="0"/>
        <v>73.62</v>
      </c>
      <c r="M158" s="13" t="s">
        <v>543</v>
      </c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3">
      <c r="A159" s="28">
        <v>6</v>
      </c>
      <c r="B159" s="29" t="s">
        <v>211</v>
      </c>
      <c r="C159" s="29">
        <v>777</v>
      </c>
      <c r="D159" s="29" t="s">
        <v>212</v>
      </c>
      <c r="E159" s="29">
        <v>35000081</v>
      </c>
      <c r="F159" s="113">
        <v>26.2</v>
      </c>
      <c r="G159" s="128">
        <v>14.64</v>
      </c>
      <c r="H159" s="113">
        <v>5.75</v>
      </c>
      <c r="I159" s="113">
        <v>12.75</v>
      </c>
      <c r="J159" s="113">
        <v>4.25</v>
      </c>
      <c r="K159" s="113">
        <v>7.74</v>
      </c>
      <c r="L159" s="113">
        <f t="shared" si="0"/>
        <v>71.33</v>
      </c>
      <c r="M159" s="29" t="s">
        <v>543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3">
      <c r="A160" s="12">
        <v>7</v>
      </c>
      <c r="B160" s="13" t="s">
        <v>213</v>
      </c>
      <c r="C160" s="13">
        <v>80</v>
      </c>
      <c r="D160" s="13" t="s">
        <v>208</v>
      </c>
      <c r="E160" s="13">
        <v>35000204</v>
      </c>
      <c r="F160" s="118">
        <v>24.52</v>
      </c>
      <c r="G160" s="118">
        <v>11.29</v>
      </c>
      <c r="H160" s="107">
        <v>3.8</v>
      </c>
      <c r="I160" s="107">
        <v>12.75</v>
      </c>
      <c r="J160" s="107">
        <v>4.25</v>
      </c>
      <c r="K160" s="107">
        <v>6.7</v>
      </c>
      <c r="L160" s="107">
        <f t="shared" si="0"/>
        <v>63.31</v>
      </c>
      <c r="M160" s="13" t="s">
        <v>543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3">
      <c r="A161" s="12">
        <v>8</v>
      </c>
      <c r="B161" s="13" t="s">
        <v>18</v>
      </c>
      <c r="C161" s="13">
        <v>1074</v>
      </c>
      <c r="D161" s="13" t="s">
        <v>19</v>
      </c>
      <c r="E161" s="13">
        <v>35000149</v>
      </c>
      <c r="F161" s="107">
        <v>23.65</v>
      </c>
      <c r="G161" s="107">
        <v>10.16</v>
      </c>
      <c r="H161" s="107">
        <v>5</v>
      </c>
      <c r="I161" s="107">
        <v>9.8000000000000007</v>
      </c>
      <c r="J161" s="107">
        <v>3.38</v>
      </c>
      <c r="K161" s="107">
        <v>5.16</v>
      </c>
      <c r="L161" s="107">
        <f t="shared" si="0"/>
        <v>57.150000000000006</v>
      </c>
      <c r="M161" s="13" t="s">
        <v>544</v>
      </c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3">
      <c r="A162" s="12">
        <v>9</v>
      </c>
      <c r="B162" s="13" t="s">
        <v>20</v>
      </c>
      <c r="C162" s="13">
        <v>1499</v>
      </c>
      <c r="D162" s="13" t="s">
        <v>19</v>
      </c>
      <c r="E162" s="13">
        <v>35000150</v>
      </c>
      <c r="F162" s="107">
        <v>27.53</v>
      </c>
      <c r="G162" s="107">
        <v>15</v>
      </c>
      <c r="H162" s="107">
        <v>7.14</v>
      </c>
      <c r="I162" s="107">
        <v>11.57</v>
      </c>
      <c r="J162" s="107">
        <v>4.25</v>
      </c>
      <c r="K162" s="107">
        <v>8.11</v>
      </c>
      <c r="L162" s="107">
        <f t="shared" si="0"/>
        <v>73.600000000000009</v>
      </c>
      <c r="M162" s="13" t="s">
        <v>543</v>
      </c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3">
      <c r="A163" s="224">
        <v>10</v>
      </c>
      <c r="B163" s="116" t="s">
        <v>98</v>
      </c>
      <c r="C163" s="116">
        <v>2184</v>
      </c>
      <c r="D163" s="116" t="s">
        <v>99</v>
      </c>
      <c r="E163" s="116">
        <v>35000151</v>
      </c>
      <c r="F163" s="115">
        <v>27.6</v>
      </c>
      <c r="G163" s="115">
        <v>12.67</v>
      </c>
      <c r="H163" s="115">
        <v>4.4000000000000004</v>
      </c>
      <c r="I163" s="115">
        <v>7.62</v>
      </c>
      <c r="J163" s="115">
        <v>3.1</v>
      </c>
      <c r="K163" s="115">
        <v>5.56</v>
      </c>
      <c r="L163" s="115">
        <f t="shared" si="0"/>
        <v>60.95</v>
      </c>
      <c r="M163" s="116" t="s">
        <v>543</v>
      </c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</row>
    <row r="164" spans="1:26" ht="15.75" customHeight="1" x14ac:dyDescent="0.3">
      <c r="A164" s="224">
        <v>11</v>
      </c>
      <c r="B164" s="116" t="s">
        <v>10</v>
      </c>
      <c r="C164" s="116">
        <v>1736</v>
      </c>
      <c r="D164" s="116" t="s">
        <v>9</v>
      </c>
      <c r="E164" s="116">
        <v>35000153</v>
      </c>
      <c r="F164" s="115">
        <v>24.43</v>
      </c>
      <c r="G164" s="115">
        <v>11.81</v>
      </c>
      <c r="H164" s="115">
        <v>4.2</v>
      </c>
      <c r="I164" s="115">
        <v>7.3</v>
      </c>
      <c r="J164" s="115">
        <v>3.58</v>
      </c>
      <c r="K164" s="115">
        <v>4.16</v>
      </c>
      <c r="L164" s="115">
        <f t="shared" si="0"/>
        <v>55.480000000000004</v>
      </c>
      <c r="M164" s="116" t="s">
        <v>543</v>
      </c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</row>
    <row r="165" spans="1:26" ht="15.75" customHeight="1" x14ac:dyDescent="0.3">
      <c r="A165" s="28">
        <v>12</v>
      </c>
      <c r="B165" s="29" t="s">
        <v>11</v>
      </c>
      <c r="C165" s="29">
        <v>1074</v>
      </c>
      <c r="D165" s="29" t="s">
        <v>9</v>
      </c>
      <c r="E165" s="29">
        <v>35000154</v>
      </c>
      <c r="F165" s="113">
        <v>26.12</v>
      </c>
      <c r="G165" s="113">
        <v>13.99</v>
      </c>
      <c r="H165" s="113">
        <v>6.63</v>
      </c>
      <c r="I165" s="113">
        <v>11.4</v>
      </c>
      <c r="J165" s="113">
        <v>3.63</v>
      </c>
      <c r="K165" s="113">
        <v>7.03</v>
      </c>
      <c r="L165" s="113">
        <f t="shared" si="0"/>
        <v>68.8</v>
      </c>
      <c r="M165" s="29" t="s">
        <v>543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3">
      <c r="A166" s="224">
        <v>13</v>
      </c>
      <c r="B166" s="116" t="s">
        <v>8</v>
      </c>
      <c r="C166" s="116">
        <v>1523</v>
      </c>
      <c r="D166" s="116" t="s">
        <v>9</v>
      </c>
      <c r="E166" s="116">
        <v>35000155</v>
      </c>
      <c r="F166" s="119">
        <v>39.229999999999997</v>
      </c>
      <c r="G166" s="115">
        <v>5.47</v>
      </c>
      <c r="H166" s="115">
        <v>4.24</v>
      </c>
      <c r="I166" s="115">
        <v>8.58</v>
      </c>
      <c r="J166" s="115">
        <v>3.5</v>
      </c>
      <c r="K166" s="115">
        <v>5.8</v>
      </c>
      <c r="L166" s="115">
        <f t="shared" si="0"/>
        <v>66.819999999999993</v>
      </c>
      <c r="M166" s="116" t="s">
        <v>543</v>
      </c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</row>
    <row r="167" spans="1:26" ht="14.25" customHeight="1" x14ac:dyDescent="0.3">
      <c r="A167" s="48" t="s">
        <v>250</v>
      </c>
      <c r="B167" s="228" t="s">
        <v>251</v>
      </c>
      <c r="C167" s="229"/>
      <c r="D167" s="229"/>
      <c r="E167" s="230"/>
      <c r="F167" s="175"/>
      <c r="G167" s="175"/>
      <c r="H167" s="175"/>
      <c r="I167" s="175"/>
      <c r="J167" s="175"/>
      <c r="K167" s="175"/>
      <c r="L167" s="107">
        <f t="shared" si="0"/>
        <v>0</v>
      </c>
      <c r="M167" s="4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x14ac:dyDescent="0.3">
      <c r="A168" s="224">
        <v>1</v>
      </c>
      <c r="B168" s="116" t="s">
        <v>5</v>
      </c>
      <c r="C168" s="116">
        <v>1085</v>
      </c>
      <c r="D168" s="116" t="s">
        <v>6</v>
      </c>
      <c r="E168" s="116">
        <v>35000184</v>
      </c>
      <c r="F168" s="115">
        <v>19.28</v>
      </c>
      <c r="G168" s="115">
        <v>12.21</v>
      </c>
      <c r="H168" s="115">
        <v>4.2</v>
      </c>
      <c r="I168" s="115">
        <v>8.18</v>
      </c>
      <c r="J168" s="115">
        <v>2.93</v>
      </c>
      <c r="K168" s="115">
        <v>4.84</v>
      </c>
      <c r="L168" s="115">
        <f t="shared" si="0"/>
        <v>51.64</v>
      </c>
      <c r="M168" s="116" t="s">
        <v>547</v>
      </c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</row>
    <row r="169" spans="1:26" ht="15.75" customHeight="1" x14ac:dyDescent="0.3">
      <c r="A169" s="12">
        <v>2</v>
      </c>
      <c r="B169" s="13" t="s">
        <v>7</v>
      </c>
      <c r="C169" s="13">
        <v>1807</v>
      </c>
      <c r="D169" s="13" t="s">
        <v>6</v>
      </c>
      <c r="E169" s="13">
        <v>35000185</v>
      </c>
      <c r="F169" s="107">
        <v>24.98</v>
      </c>
      <c r="G169" s="107">
        <v>12.34</v>
      </c>
      <c r="H169" s="107">
        <v>3.94</v>
      </c>
      <c r="I169" s="107">
        <v>7.46</v>
      </c>
      <c r="J169" s="107">
        <v>2.78</v>
      </c>
      <c r="K169" s="107">
        <v>3.4</v>
      </c>
      <c r="L169" s="107">
        <f t="shared" si="0"/>
        <v>54.9</v>
      </c>
      <c r="M169" s="13" t="s">
        <v>543</v>
      </c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3">
      <c r="A170" s="28">
        <v>3</v>
      </c>
      <c r="B170" s="29" t="s">
        <v>96</v>
      </c>
      <c r="C170" s="29">
        <v>1799</v>
      </c>
      <c r="D170" s="29" t="s">
        <v>97</v>
      </c>
      <c r="E170" s="29">
        <v>35000186</v>
      </c>
      <c r="F170" s="113">
        <v>16.09</v>
      </c>
      <c r="G170" s="113">
        <v>12.86</v>
      </c>
      <c r="H170" s="113">
        <v>4.68</v>
      </c>
      <c r="I170" s="113">
        <v>10.78</v>
      </c>
      <c r="J170" s="113">
        <v>3.65</v>
      </c>
      <c r="K170" s="113">
        <v>4.16</v>
      </c>
      <c r="L170" s="107">
        <f t="shared" si="0"/>
        <v>52.22</v>
      </c>
      <c r="M170" s="29" t="s">
        <v>544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3">
      <c r="A171" s="224">
        <v>4</v>
      </c>
      <c r="B171" s="116" t="s">
        <v>72</v>
      </c>
      <c r="C171" s="116">
        <v>2462</v>
      </c>
      <c r="D171" s="116" t="s">
        <v>73</v>
      </c>
      <c r="E171" s="116">
        <v>35000187</v>
      </c>
      <c r="F171" s="119">
        <v>36.450000000000003</v>
      </c>
      <c r="G171" s="115">
        <v>11.15</v>
      </c>
      <c r="H171" s="115">
        <v>3.3</v>
      </c>
      <c r="I171" s="115">
        <v>7.06</v>
      </c>
      <c r="J171" s="115">
        <v>2.2999999999999998</v>
      </c>
      <c r="K171" s="115">
        <v>4.76</v>
      </c>
      <c r="L171" s="115">
        <f t="shared" si="0"/>
        <v>65.02</v>
      </c>
      <c r="M171" s="116" t="s">
        <v>545</v>
      </c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</row>
    <row r="172" spans="1:26" ht="15.75" customHeight="1" x14ac:dyDescent="0.3">
      <c r="A172" s="96">
        <v>5</v>
      </c>
      <c r="B172" s="97" t="s">
        <v>100</v>
      </c>
      <c r="C172" s="97">
        <v>1424</v>
      </c>
      <c r="D172" s="97" t="s">
        <v>101</v>
      </c>
      <c r="E172" s="97">
        <v>35000188</v>
      </c>
      <c r="F172" s="129">
        <v>23.77</v>
      </c>
      <c r="G172" s="129">
        <v>12.38</v>
      </c>
      <c r="H172" s="129">
        <v>4.4000000000000004</v>
      </c>
      <c r="I172" s="129">
        <v>7.46</v>
      </c>
      <c r="J172" s="129">
        <v>3.73</v>
      </c>
      <c r="K172" s="129">
        <v>5.8</v>
      </c>
      <c r="L172" s="107">
        <f t="shared" si="0"/>
        <v>57.539999999999992</v>
      </c>
      <c r="M172" s="97" t="s">
        <v>543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3"/>
    <row r="174" spans="1:26" ht="15.75" customHeight="1" x14ac:dyDescent="0.3"/>
    <row r="175" spans="1:26" ht="15.75" customHeight="1" x14ac:dyDescent="0.3"/>
    <row r="176" spans="1:2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4">
    <mergeCell ref="M2:M5"/>
    <mergeCell ref="B6:E6"/>
    <mergeCell ref="B139:E139"/>
    <mergeCell ref="B153:E153"/>
    <mergeCell ref="B167:E167"/>
    <mergeCell ref="E2:E5"/>
    <mergeCell ref="F3:F4"/>
    <mergeCell ref="B42:E42"/>
    <mergeCell ref="B61:E61"/>
    <mergeCell ref="B71:E71"/>
    <mergeCell ref="B87:E87"/>
    <mergeCell ref="B125:E125"/>
    <mergeCell ref="L3:L4"/>
    <mergeCell ref="A1:E1"/>
    <mergeCell ref="A2:A5"/>
    <mergeCell ref="B2:B5"/>
    <mergeCell ref="C2:C5"/>
    <mergeCell ref="D2:D5"/>
    <mergeCell ref="F2:L2"/>
    <mergeCell ref="G3:G4"/>
    <mergeCell ref="H3:H4"/>
    <mergeCell ref="I3:I4"/>
    <mergeCell ref="J3:J4"/>
    <mergeCell ref="K3:K4"/>
  </mergeCells>
  <pageMargins left="0.70866141732283472" right="0.70866141732283472" top="0.74803149606299213" bottom="0.74803149606299213" header="0" footer="0"/>
  <pageSetup paperSize="9" orientation="portrait"/>
  <rowBreaks count="2" manualBreakCount="2">
    <brk id="152" man="1"/>
    <brk id="5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Z1000"/>
  <sheetViews>
    <sheetView workbookViewId="0"/>
  </sheetViews>
  <sheetFormatPr defaultColWidth="14.44140625" defaultRowHeight="15" customHeight="1" x14ac:dyDescent="0.3"/>
  <cols>
    <col min="1" max="1" width="5.33203125" customWidth="1"/>
    <col min="2" max="2" width="34.88671875" customWidth="1"/>
    <col min="3" max="3" width="15.44140625" customWidth="1"/>
    <col min="4" max="4" width="33.6640625" customWidth="1"/>
    <col min="5" max="11" width="14.6640625" customWidth="1"/>
    <col min="12" max="12" width="49.6640625" customWidth="1"/>
    <col min="13" max="26" width="8.6640625" customWidth="1"/>
  </cols>
  <sheetData>
    <row r="1" spans="1:26" ht="21" customHeight="1" x14ac:dyDescent="0.3">
      <c r="A1" s="234" t="s">
        <v>232</v>
      </c>
      <c r="B1" s="235"/>
      <c r="C1" s="235"/>
      <c r="D1" s="235"/>
    </row>
    <row r="2" spans="1:26" ht="14.25" customHeight="1" x14ac:dyDescent="0.3">
      <c r="A2" s="226"/>
      <c r="B2" s="6" t="s">
        <v>652</v>
      </c>
      <c r="C2" s="6" t="s">
        <v>258</v>
      </c>
      <c r="D2" s="6" t="s">
        <v>653</v>
      </c>
      <c r="E2" s="123" t="s">
        <v>528</v>
      </c>
      <c r="F2" s="123" t="s">
        <v>507</v>
      </c>
      <c r="G2" s="123" t="s">
        <v>508</v>
      </c>
      <c r="H2" s="123" t="s">
        <v>509</v>
      </c>
      <c r="I2" s="123" t="s">
        <v>510</v>
      </c>
      <c r="J2" s="123" t="s">
        <v>511</v>
      </c>
      <c r="K2" s="227" t="s">
        <v>535</v>
      </c>
      <c r="L2" s="226"/>
      <c r="M2" s="13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2">
        <v>1</v>
      </c>
      <c r="B3" s="13" t="s">
        <v>109</v>
      </c>
      <c r="C3" s="14">
        <v>148</v>
      </c>
      <c r="D3" s="13" t="s">
        <v>110</v>
      </c>
      <c r="E3" s="107">
        <v>29.82</v>
      </c>
      <c r="F3" s="107">
        <v>13.38</v>
      </c>
      <c r="G3" s="107">
        <v>6</v>
      </c>
      <c r="H3" s="107">
        <v>6.5</v>
      </c>
      <c r="I3" s="107">
        <v>3.1</v>
      </c>
      <c r="J3" s="107">
        <v>3.4</v>
      </c>
      <c r="K3" s="107">
        <f t="shared" ref="K3:K160" si="0">+SUM(E3:J3)</f>
        <v>62.2</v>
      </c>
      <c r="L3" s="13" t="s">
        <v>543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4.4" x14ac:dyDescent="0.3">
      <c r="A4" s="12">
        <v>2</v>
      </c>
      <c r="B4" s="13" t="s">
        <v>111</v>
      </c>
      <c r="C4" s="14">
        <v>156</v>
      </c>
      <c r="D4" s="13" t="s">
        <v>110</v>
      </c>
      <c r="E4" s="107">
        <v>29.92</v>
      </c>
      <c r="F4" s="107">
        <v>13.36</v>
      </c>
      <c r="G4" s="107">
        <v>6</v>
      </c>
      <c r="H4" s="107">
        <v>6.5</v>
      </c>
      <c r="I4" s="107">
        <v>3.1</v>
      </c>
      <c r="J4" s="107">
        <v>3</v>
      </c>
      <c r="K4" s="107">
        <f t="shared" si="0"/>
        <v>61.88</v>
      </c>
      <c r="L4" s="13" t="s">
        <v>543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4" x14ac:dyDescent="0.3">
      <c r="A5" s="12">
        <v>3</v>
      </c>
      <c r="B5" s="116" t="s">
        <v>112</v>
      </c>
      <c r="C5" s="117">
        <v>1212</v>
      </c>
      <c r="D5" s="116" t="s">
        <v>110</v>
      </c>
      <c r="E5" s="115">
        <v>30.26</v>
      </c>
      <c r="F5" s="115">
        <v>13.4</v>
      </c>
      <c r="G5" s="115">
        <v>6</v>
      </c>
      <c r="H5" s="115">
        <v>6.5</v>
      </c>
      <c r="I5" s="115">
        <v>2.9</v>
      </c>
      <c r="J5" s="115">
        <v>3.99</v>
      </c>
      <c r="K5" s="115">
        <f t="shared" si="0"/>
        <v>63.050000000000004</v>
      </c>
      <c r="L5" s="116" t="s">
        <v>543</v>
      </c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</row>
    <row r="6" spans="1:26" ht="14.4" x14ac:dyDescent="0.3">
      <c r="A6" s="12">
        <v>4</v>
      </c>
      <c r="B6" s="13" t="s">
        <v>113</v>
      </c>
      <c r="C6" s="14">
        <v>20</v>
      </c>
      <c r="D6" s="13" t="s">
        <v>110</v>
      </c>
      <c r="E6" s="107">
        <v>28.65</v>
      </c>
      <c r="F6" s="107">
        <v>13.53</v>
      </c>
      <c r="G6" s="107">
        <v>6</v>
      </c>
      <c r="H6" s="107">
        <v>6.5</v>
      </c>
      <c r="I6" s="107">
        <v>3.1</v>
      </c>
      <c r="J6" s="107">
        <v>3</v>
      </c>
      <c r="K6" s="107">
        <f t="shared" si="0"/>
        <v>60.78</v>
      </c>
      <c r="L6" s="13" t="s">
        <v>543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4" x14ac:dyDescent="0.3">
      <c r="A7" s="12">
        <v>5</v>
      </c>
      <c r="B7" s="13" t="s">
        <v>114</v>
      </c>
      <c r="C7" s="14">
        <v>527</v>
      </c>
      <c r="D7" s="13" t="s">
        <v>110</v>
      </c>
      <c r="E7" s="107">
        <v>19.29</v>
      </c>
      <c r="F7" s="107">
        <v>12.71</v>
      </c>
      <c r="G7" s="107">
        <v>4.5999999999999996</v>
      </c>
      <c r="H7" s="107">
        <v>10.28</v>
      </c>
      <c r="I7" s="107">
        <v>2.98</v>
      </c>
      <c r="J7" s="107">
        <v>4.2</v>
      </c>
      <c r="K7" s="107">
        <f t="shared" si="0"/>
        <v>54.06</v>
      </c>
      <c r="L7" s="13" t="s">
        <v>544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4" x14ac:dyDescent="0.3">
      <c r="A8" s="12">
        <v>6</v>
      </c>
      <c r="B8" s="13" t="s">
        <v>115</v>
      </c>
      <c r="C8" s="14">
        <v>457</v>
      </c>
      <c r="D8" s="13" t="s">
        <v>116</v>
      </c>
      <c r="E8" s="107">
        <v>23.97</v>
      </c>
      <c r="F8" s="107">
        <v>13.65</v>
      </c>
      <c r="G8" s="107">
        <v>3.9</v>
      </c>
      <c r="H8" s="107">
        <v>8.26</v>
      </c>
      <c r="I8" s="107">
        <v>3.1</v>
      </c>
      <c r="J8" s="107">
        <v>6.3</v>
      </c>
      <c r="K8" s="107">
        <f t="shared" si="0"/>
        <v>59.179999999999993</v>
      </c>
      <c r="L8" s="13" t="s">
        <v>543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4" x14ac:dyDescent="0.3">
      <c r="A9" s="12">
        <v>7</v>
      </c>
      <c r="B9" s="13" t="s">
        <v>117</v>
      </c>
      <c r="C9" s="14">
        <v>107</v>
      </c>
      <c r="D9" s="13" t="s">
        <v>110</v>
      </c>
      <c r="E9" s="107">
        <v>29.45</v>
      </c>
      <c r="F9" s="107">
        <v>13.38</v>
      </c>
      <c r="G9" s="107">
        <v>6</v>
      </c>
      <c r="H9" s="107">
        <v>6.5</v>
      </c>
      <c r="I9" s="107">
        <v>3.1</v>
      </c>
      <c r="J9" s="107">
        <v>3</v>
      </c>
      <c r="K9" s="107">
        <f t="shared" si="0"/>
        <v>61.43</v>
      </c>
      <c r="L9" s="13" t="s">
        <v>543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4.4" x14ac:dyDescent="0.3">
      <c r="A10" s="12">
        <v>8</v>
      </c>
      <c r="B10" s="13" t="s">
        <v>118</v>
      </c>
      <c r="C10" s="14">
        <v>39</v>
      </c>
      <c r="D10" s="13" t="s">
        <v>110</v>
      </c>
      <c r="E10" s="107">
        <v>28.57</v>
      </c>
      <c r="F10" s="107">
        <v>14.35</v>
      </c>
      <c r="G10" s="107">
        <v>4.5999999999999996</v>
      </c>
      <c r="H10" s="107">
        <v>7.7</v>
      </c>
      <c r="I10" s="107">
        <v>3.1</v>
      </c>
      <c r="J10" s="107">
        <v>3</v>
      </c>
      <c r="K10" s="107">
        <f t="shared" si="0"/>
        <v>61.320000000000007</v>
      </c>
      <c r="L10" s="13" t="s">
        <v>543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4" x14ac:dyDescent="0.3">
      <c r="A11" s="12">
        <v>9</v>
      </c>
      <c r="B11" s="13" t="s">
        <v>119</v>
      </c>
      <c r="C11" s="14">
        <v>282</v>
      </c>
      <c r="D11" s="13" t="s">
        <v>116</v>
      </c>
      <c r="E11" s="107">
        <v>28.48</v>
      </c>
      <c r="F11" s="107">
        <v>13.54</v>
      </c>
      <c r="G11" s="107">
        <v>3.8</v>
      </c>
      <c r="H11" s="107">
        <v>9.6999999999999993</v>
      </c>
      <c r="I11" s="107">
        <v>2.9</v>
      </c>
      <c r="J11" s="107">
        <v>3</v>
      </c>
      <c r="K11" s="107">
        <f t="shared" si="0"/>
        <v>61.419999999999995</v>
      </c>
      <c r="L11" s="13" t="s">
        <v>543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4.4" x14ac:dyDescent="0.3">
      <c r="A12" s="12">
        <v>10</v>
      </c>
      <c r="B12" s="13" t="s">
        <v>120</v>
      </c>
      <c r="C12" s="14">
        <v>726</v>
      </c>
      <c r="D12" s="13" t="s">
        <v>110</v>
      </c>
      <c r="E12" s="107">
        <v>31.96</v>
      </c>
      <c r="F12" s="107">
        <v>13.27</v>
      </c>
      <c r="G12" s="107">
        <v>5.9</v>
      </c>
      <c r="H12" s="107">
        <v>6.5</v>
      </c>
      <c r="I12" s="107">
        <v>3.1</v>
      </c>
      <c r="J12" s="107">
        <v>3</v>
      </c>
      <c r="K12" s="107">
        <f t="shared" si="0"/>
        <v>63.730000000000004</v>
      </c>
      <c r="L12" s="13" t="s">
        <v>543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4.4" x14ac:dyDescent="0.3">
      <c r="A13" s="12">
        <v>11</v>
      </c>
      <c r="B13" s="13" t="s">
        <v>121</v>
      </c>
      <c r="C13" s="14">
        <v>63</v>
      </c>
      <c r="D13" s="13" t="s">
        <v>110</v>
      </c>
      <c r="E13" s="107">
        <v>27.57</v>
      </c>
      <c r="F13" s="107">
        <v>13.46</v>
      </c>
      <c r="G13" s="107">
        <v>6</v>
      </c>
      <c r="H13" s="107">
        <v>6.5</v>
      </c>
      <c r="I13" s="107">
        <v>3.1</v>
      </c>
      <c r="J13" s="107">
        <v>3</v>
      </c>
      <c r="K13" s="107">
        <f t="shared" si="0"/>
        <v>59.63</v>
      </c>
      <c r="L13" s="13" t="s">
        <v>543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4" x14ac:dyDescent="0.3">
      <c r="A14" s="12">
        <v>12</v>
      </c>
      <c r="B14" s="13" t="s">
        <v>122</v>
      </c>
      <c r="C14" s="14">
        <v>70</v>
      </c>
      <c r="D14" s="13" t="s">
        <v>110</v>
      </c>
      <c r="E14" s="107">
        <v>28.39</v>
      </c>
      <c r="F14" s="107">
        <v>15</v>
      </c>
      <c r="G14" s="107">
        <v>5</v>
      </c>
      <c r="H14" s="107">
        <v>7.14</v>
      </c>
      <c r="I14" s="107">
        <v>3.1</v>
      </c>
      <c r="J14" s="107">
        <v>3</v>
      </c>
      <c r="K14" s="107">
        <f t="shared" si="0"/>
        <v>61.63</v>
      </c>
      <c r="L14" s="13" t="s">
        <v>543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4" x14ac:dyDescent="0.3">
      <c r="A15" s="12">
        <v>13</v>
      </c>
      <c r="B15" s="13" t="s">
        <v>123</v>
      </c>
      <c r="C15" s="14">
        <v>53</v>
      </c>
      <c r="D15" s="13" t="s">
        <v>110</v>
      </c>
      <c r="E15" s="107">
        <v>22.16</v>
      </c>
      <c r="F15" s="107">
        <v>14.81</v>
      </c>
      <c r="G15" s="107">
        <v>6.2</v>
      </c>
      <c r="H15" s="107">
        <v>9.8800000000000008</v>
      </c>
      <c r="I15" s="107">
        <v>2.7</v>
      </c>
      <c r="J15" s="107">
        <v>4.16</v>
      </c>
      <c r="K15" s="107">
        <f t="shared" si="0"/>
        <v>59.910000000000011</v>
      </c>
      <c r="L15" s="13" t="s">
        <v>545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4.4" x14ac:dyDescent="0.3">
      <c r="A16" s="12">
        <v>14</v>
      </c>
      <c r="B16" s="13" t="s">
        <v>124</v>
      </c>
      <c r="C16" s="14">
        <v>193</v>
      </c>
      <c r="D16" s="13" t="s">
        <v>110</v>
      </c>
      <c r="E16" s="107">
        <v>27.55</v>
      </c>
      <c r="F16" s="107">
        <v>11.04</v>
      </c>
      <c r="G16" s="107">
        <v>6.95</v>
      </c>
      <c r="H16" s="107">
        <v>7.86</v>
      </c>
      <c r="I16" s="107">
        <v>3.45</v>
      </c>
      <c r="J16" s="107">
        <v>0</v>
      </c>
      <c r="K16" s="107">
        <f t="shared" si="0"/>
        <v>56.850000000000009</v>
      </c>
      <c r="L16" s="13" t="s">
        <v>543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4" x14ac:dyDescent="0.3">
      <c r="A17" s="12">
        <v>15</v>
      </c>
      <c r="B17" s="13" t="s">
        <v>125</v>
      </c>
      <c r="C17" s="14">
        <v>455</v>
      </c>
      <c r="D17" s="13" t="s">
        <v>110</v>
      </c>
      <c r="E17" s="107">
        <v>27.88</v>
      </c>
      <c r="F17" s="107">
        <v>11.42</v>
      </c>
      <c r="G17" s="107">
        <v>4.24</v>
      </c>
      <c r="H17" s="107">
        <v>6.1</v>
      </c>
      <c r="I17" s="107">
        <v>3.5</v>
      </c>
      <c r="J17" s="107">
        <v>0</v>
      </c>
      <c r="K17" s="107">
        <f t="shared" si="0"/>
        <v>53.14</v>
      </c>
      <c r="L17" s="13" t="s">
        <v>543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4.4" x14ac:dyDescent="0.3">
      <c r="A18" s="12">
        <v>16</v>
      </c>
      <c r="B18" s="13" t="s">
        <v>126</v>
      </c>
      <c r="C18" s="14">
        <v>16</v>
      </c>
      <c r="D18" s="13" t="s">
        <v>110</v>
      </c>
      <c r="E18" s="107">
        <v>27.18</v>
      </c>
      <c r="F18" s="107">
        <v>13.4</v>
      </c>
      <c r="G18" s="107">
        <v>6</v>
      </c>
      <c r="H18" s="107">
        <v>6.9</v>
      </c>
      <c r="I18" s="107">
        <v>3.1</v>
      </c>
      <c r="J18" s="107">
        <v>3</v>
      </c>
      <c r="K18" s="107">
        <f t="shared" si="0"/>
        <v>59.58</v>
      </c>
      <c r="L18" s="13" t="s">
        <v>543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4.4" x14ac:dyDescent="0.3">
      <c r="A19" s="12">
        <v>17</v>
      </c>
      <c r="B19" s="13" t="s">
        <v>127</v>
      </c>
      <c r="C19" s="14">
        <v>32</v>
      </c>
      <c r="D19" s="13" t="s">
        <v>110</v>
      </c>
      <c r="E19" s="107">
        <v>22.54</v>
      </c>
      <c r="F19" s="107">
        <v>13.5</v>
      </c>
      <c r="G19" s="107">
        <v>6</v>
      </c>
      <c r="H19" s="107">
        <v>6.5</v>
      </c>
      <c r="I19" s="107">
        <v>3.1</v>
      </c>
      <c r="J19" s="107">
        <v>3</v>
      </c>
      <c r="K19" s="107">
        <f t="shared" si="0"/>
        <v>54.64</v>
      </c>
      <c r="L19" s="13" t="s">
        <v>543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4.4" x14ac:dyDescent="0.3">
      <c r="A20" s="12">
        <v>18</v>
      </c>
      <c r="B20" s="13" t="s">
        <v>128</v>
      </c>
      <c r="C20" s="14">
        <v>46</v>
      </c>
      <c r="D20" s="13" t="s">
        <v>110</v>
      </c>
      <c r="E20" s="107">
        <v>27.43</v>
      </c>
      <c r="F20" s="107">
        <v>15</v>
      </c>
      <c r="G20" s="107">
        <v>5.9</v>
      </c>
      <c r="H20" s="107">
        <v>7.3</v>
      </c>
      <c r="I20" s="107">
        <v>3.1</v>
      </c>
      <c r="J20" s="107">
        <v>3</v>
      </c>
      <c r="K20" s="107">
        <f t="shared" si="0"/>
        <v>61.73</v>
      </c>
      <c r="L20" s="13" t="s">
        <v>543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3">
      <c r="A21" s="12">
        <v>19</v>
      </c>
      <c r="B21" s="13" t="s">
        <v>129</v>
      </c>
      <c r="C21" s="14">
        <v>59</v>
      </c>
      <c r="D21" s="13" t="s">
        <v>110</v>
      </c>
      <c r="E21" s="107">
        <v>21.83</v>
      </c>
      <c r="F21" s="107">
        <v>13.21</v>
      </c>
      <c r="G21" s="107">
        <v>6</v>
      </c>
      <c r="H21" s="107">
        <v>6.5</v>
      </c>
      <c r="I21" s="107">
        <v>3.1</v>
      </c>
      <c r="J21" s="107">
        <v>3</v>
      </c>
      <c r="K21" s="107">
        <f t="shared" si="0"/>
        <v>53.64</v>
      </c>
      <c r="L21" s="13" t="s">
        <v>543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3">
      <c r="A22" s="12">
        <v>20</v>
      </c>
      <c r="B22" s="13" t="s">
        <v>130</v>
      </c>
      <c r="C22" s="14">
        <v>119</v>
      </c>
      <c r="D22" s="13" t="s">
        <v>110</v>
      </c>
      <c r="E22" s="107">
        <v>28.83</v>
      </c>
      <c r="F22" s="107">
        <v>14.56</v>
      </c>
      <c r="G22" s="107">
        <v>5.9</v>
      </c>
      <c r="H22" s="107">
        <v>6.5</v>
      </c>
      <c r="I22" s="107">
        <v>2.9</v>
      </c>
      <c r="J22" s="107">
        <v>3</v>
      </c>
      <c r="K22" s="107">
        <f t="shared" si="0"/>
        <v>61.69</v>
      </c>
      <c r="L22" s="13" t="s">
        <v>543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3">
      <c r="A23" s="12">
        <v>21</v>
      </c>
      <c r="B23" s="13" t="s">
        <v>133</v>
      </c>
      <c r="C23" s="14">
        <v>165</v>
      </c>
      <c r="D23" s="13" t="s">
        <v>134</v>
      </c>
      <c r="E23" s="107">
        <v>21.53</v>
      </c>
      <c r="F23" s="107">
        <v>13.86</v>
      </c>
      <c r="G23" s="107">
        <v>7.15</v>
      </c>
      <c r="H23" s="107">
        <v>11.1</v>
      </c>
      <c r="I23" s="107">
        <v>3.65</v>
      </c>
      <c r="J23" s="107">
        <v>7.75</v>
      </c>
      <c r="K23" s="107">
        <f t="shared" si="0"/>
        <v>65.039999999999992</v>
      </c>
      <c r="L23" s="13" t="s">
        <v>543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3">
      <c r="A24" s="12">
        <v>22</v>
      </c>
      <c r="B24" s="13" t="s">
        <v>135</v>
      </c>
      <c r="C24" s="14">
        <v>551</v>
      </c>
      <c r="D24" s="13" t="s">
        <v>132</v>
      </c>
      <c r="E24" s="107">
        <v>17.97</v>
      </c>
      <c r="F24" s="107">
        <v>12.21</v>
      </c>
      <c r="G24" s="107">
        <v>5.09</v>
      </c>
      <c r="H24" s="107">
        <v>8.9</v>
      </c>
      <c r="I24" s="107">
        <v>3.58</v>
      </c>
      <c r="J24" s="107">
        <v>5.96</v>
      </c>
      <c r="K24" s="107">
        <f t="shared" si="0"/>
        <v>53.709999999999994</v>
      </c>
      <c r="L24" s="13" t="s">
        <v>543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3">
      <c r="A25" s="12">
        <v>23</v>
      </c>
      <c r="B25" s="13" t="s">
        <v>137</v>
      </c>
      <c r="C25" s="14">
        <v>69</v>
      </c>
      <c r="D25" s="13" t="s">
        <v>138</v>
      </c>
      <c r="E25" s="107">
        <v>24.75</v>
      </c>
      <c r="F25" s="107">
        <v>14.28</v>
      </c>
      <c r="G25" s="107">
        <v>7</v>
      </c>
      <c r="H25" s="107">
        <v>10.5</v>
      </c>
      <c r="I25" s="107">
        <v>4.03</v>
      </c>
      <c r="J25" s="107">
        <v>4.26</v>
      </c>
      <c r="K25" s="107">
        <f t="shared" si="0"/>
        <v>64.820000000000007</v>
      </c>
      <c r="L25" s="13" t="s">
        <v>543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3">
      <c r="A26" s="12">
        <v>24</v>
      </c>
      <c r="B26" s="13" t="s">
        <v>139</v>
      </c>
      <c r="C26" s="14">
        <v>54</v>
      </c>
      <c r="D26" s="13" t="s">
        <v>138</v>
      </c>
      <c r="E26" s="107">
        <v>29.82</v>
      </c>
      <c r="F26" s="107">
        <v>13.51</v>
      </c>
      <c r="G26" s="107">
        <v>6</v>
      </c>
      <c r="H26" s="107">
        <v>10.5</v>
      </c>
      <c r="I26" s="107">
        <v>3.5</v>
      </c>
      <c r="J26" s="107">
        <v>7</v>
      </c>
      <c r="K26" s="107">
        <f t="shared" si="0"/>
        <v>70.33</v>
      </c>
      <c r="L26" s="13" t="s">
        <v>543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3">
      <c r="A27" s="12">
        <v>25</v>
      </c>
      <c r="B27" s="13" t="s">
        <v>140</v>
      </c>
      <c r="C27" s="14">
        <v>23</v>
      </c>
      <c r="D27" s="13" t="s">
        <v>138</v>
      </c>
      <c r="E27" s="107">
        <v>29.66</v>
      </c>
      <c r="F27" s="107">
        <v>13.53</v>
      </c>
      <c r="G27" s="107">
        <v>7</v>
      </c>
      <c r="H27" s="107">
        <v>10.5</v>
      </c>
      <c r="I27" s="107">
        <v>3.5</v>
      </c>
      <c r="J27" s="107">
        <v>7</v>
      </c>
      <c r="K27" s="107">
        <f t="shared" si="0"/>
        <v>71.19</v>
      </c>
      <c r="L27" s="13" t="s">
        <v>543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3">
      <c r="A28" s="12">
        <v>26</v>
      </c>
      <c r="B28" s="13" t="s">
        <v>141</v>
      </c>
      <c r="C28" s="14">
        <v>42</v>
      </c>
      <c r="D28" s="13" t="s">
        <v>138</v>
      </c>
      <c r="E28" s="107">
        <v>28.87</v>
      </c>
      <c r="F28" s="107">
        <v>13.15</v>
      </c>
      <c r="G28" s="107">
        <v>7</v>
      </c>
      <c r="H28" s="107">
        <v>10.5</v>
      </c>
      <c r="I28" s="107">
        <v>3.5</v>
      </c>
      <c r="J28" s="107">
        <v>7</v>
      </c>
      <c r="K28" s="107">
        <f t="shared" si="0"/>
        <v>70.02000000000001</v>
      </c>
      <c r="L28" s="13" t="s">
        <v>543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3">
      <c r="A29" s="12">
        <v>27</v>
      </c>
      <c r="B29" s="13" t="s">
        <v>142</v>
      </c>
      <c r="C29" s="14">
        <v>51</v>
      </c>
      <c r="D29" s="13" t="s">
        <v>138</v>
      </c>
      <c r="E29" s="107">
        <v>13.8</v>
      </c>
      <c r="F29" s="107">
        <v>13.22</v>
      </c>
      <c r="G29" s="107">
        <v>7</v>
      </c>
      <c r="H29" s="107">
        <v>10.5</v>
      </c>
      <c r="I29" s="107">
        <v>3.5</v>
      </c>
      <c r="J29" s="107">
        <v>7</v>
      </c>
      <c r="K29" s="107">
        <f t="shared" si="0"/>
        <v>55.02</v>
      </c>
      <c r="L29" s="13" t="s">
        <v>543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3">
      <c r="A30" s="12">
        <v>28</v>
      </c>
      <c r="B30" s="13" t="s">
        <v>143</v>
      </c>
      <c r="C30" s="14">
        <v>82</v>
      </c>
      <c r="D30" s="13" t="s">
        <v>138</v>
      </c>
      <c r="E30" s="107">
        <v>27.48</v>
      </c>
      <c r="F30" s="107">
        <v>13.52</v>
      </c>
      <c r="G30" s="107">
        <v>7</v>
      </c>
      <c r="H30" s="107">
        <v>10.5</v>
      </c>
      <c r="I30" s="107">
        <v>3.5</v>
      </c>
      <c r="J30" s="107">
        <v>7</v>
      </c>
      <c r="K30" s="107">
        <f t="shared" si="0"/>
        <v>69</v>
      </c>
      <c r="L30" s="13" t="s">
        <v>543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3">
      <c r="A31" s="12">
        <v>29</v>
      </c>
      <c r="B31" s="13" t="s">
        <v>144</v>
      </c>
      <c r="C31" s="14">
        <v>62</v>
      </c>
      <c r="D31" s="13" t="s">
        <v>138</v>
      </c>
      <c r="E31" s="107">
        <v>24.65</v>
      </c>
      <c r="F31" s="107">
        <v>13.57</v>
      </c>
      <c r="G31" s="107">
        <v>7</v>
      </c>
      <c r="H31" s="107">
        <v>10.5</v>
      </c>
      <c r="I31" s="107">
        <v>3.5</v>
      </c>
      <c r="J31" s="107">
        <v>7</v>
      </c>
      <c r="K31" s="107">
        <f t="shared" si="0"/>
        <v>66.22</v>
      </c>
      <c r="L31" s="13" t="s">
        <v>543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3">
      <c r="A32" s="12">
        <v>30</v>
      </c>
      <c r="B32" s="13" t="s">
        <v>145</v>
      </c>
      <c r="C32" s="14">
        <v>56</v>
      </c>
      <c r="D32" s="13" t="s">
        <v>138</v>
      </c>
      <c r="E32" s="107">
        <v>26.65</v>
      </c>
      <c r="F32" s="107">
        <v>13.17</v>
      </c>
      <c r="G32" s="107">
        <v>7</v>
      </c>
      <c r="H32" s="107">
        <v>10.5</v>
      </c>
      <c r="I32" s="107">
        <v>3.5</v>
      </c>
      <c r="J32" s="107">
        <v>7</v>
      </c>
      <c r="K32" s="107">
        <f t="shared" si="0"/>
        <v>67.819999999999993</v>
      </c>
      <c r="L32" s="13" t="s">
        <v>543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3">
      <c r="A33" s="12">
        <v>31</v>
      </c>
      <c r="B33" s="13" t="s">
        <v>146</v>
      </c>
      <c r="C33" s="14">
        <v>38</v>
      </c>
      <c r="D33" s="13" t="s">
        <v>138</v>
      </c>
      <c r="E33" s="107">
        <v>17.25</v>
      </c>
      <c r="F33" s="107">
        <v>13.58</v>
      </c>
      <c r="G33" s="107">
        <v>7</v>
      </c>
      <c r="H33" s="107">
        <v>10.5</v>
      </c>
      <c r="I33" s="107">
        <v>3.5</v>
      </c>
      <c r="J33" s="107">
        <v>7</v>
      </c>
      <c r="K33" s="107">
        <f t="shared" si="0"/>
        <v>58.83</v>
      </c>
      <c r="L33" s="13" t="s">
        <v>543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3">
      <c r="A34" s="12">
        <v>32</v>
      </c>
      <c r="B34" s="13" t="s">
        <v>147</v>
      </c>
      <c r="C34" s="14">
        <v>45</v>
      </c>
      <c r="D34" s="13" t="s">
        <v>138</v>
      </c>
      <c r="E34" s="118">
        <v>25.3</v>
      </c>
      <c r="F34" s="107">
        <v>11.51</v>
      </c>
      <c r="G34" s="107">
        <v>7</v>
      </c>
      <c r="H34" s="107">
        <v>10.5</v>
      </c>
      <c r="I34" s="107">
        <v>3.5</v>
      </c>
      <c r="J34" s="107">
        <v>7</v>
      </c>
      <c r="K34" s="107">
        <f t="shared" si="0"/>
        <v>64.81</v>
      </c>
      <c r="L34" s="13" t="s">
        <v>543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3">
      <c r="A35" s="12">
        <v>33</v>
      </c>
      <c r="B35" s="13" t="s">
        <v>148</v>
      </c>
      <c r="C35" s="14">
        <v>461</v>
      </c>
      <c r="D35" s="13" t="s">
        <v>149</v>
      </c>
      <c r="E35" s="107">
        <v>19.7</v>
      </c>
      <c r="F35" s="107">
        <v>12.18</v>
      </c>
      <c r="G35" s="107">
        <v>3.94</v>
      </c>
      <c r="H35" s="107">
        <v>8.9</v>
      </c>
      <c r="I35" s="107">
        <v>2.85</v>
      </c>
      <c r="J35" s="107">
        <v>5</v>
      </c>
      <c r="K35" s="107">
        <f t="shared" si="0"/>
        <v>52.57</v>
      </c>
      <c r="L35" s="13" t="s">
        <v>543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3">
      <c r="A36" s="12">
        <v>34</v>
      </c>
      <c r="B36" s="116" t="s">
        <v>12</v>
      </c>
      <c r="C36" s="117">
        <v>1763</v>
      </c>
      <c r="D36" s="116" t="s">
        <v>13</v>
      </c>
      <c r="E36" s="119">
        <v>36.72</v>
      </c>
      <c r="F36" s="115">
        <v>14.47</v>
      </c>
      <c r="G36" s="115">
        <v>3</v>
      </c>
      <c r="H36" s="115">
        <v>5.7</v>
      </c>
      <c r="I36" s="115">
        <v>3.3</v>
      </c>
      <c r="J36" s="115">
        <v>6.6</v>
      </c>
      <c r="K36" s="115">
        <f t="shared" si="0"/>
        <v>69.789999999999992</v>
      </c>
      <c r="L36" s="116" t="s">
        <v>545</v>
      </c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</row>
    <row r="37" spans="1:26" ht="15.75" customHeight="1" x14ac:dyDescent="0.3">
      <c r="A37" s="12">
        <v>35</v>
      </c>
      <c r="B37" s="13" t="s">
        <v>107</v>
      </c>
      <c r="C37" s="14">
        <v>1378</v>
      </c>
      <c r="D37" s="13" t="s">
        <v>108</v>
      </c>
      <c r="E37" s="107">
        <v>23.96</v>
      </c>
      <c r="F37" s="107">
        <v>9</v>
      </c>
      <c r="G37" s="107">
        <v>8.0500000000000007</v>
      </c>
      <c r="H37" s="107">
        <v>11.19</v>
      </c>
      <c r="I37" s="107">
        <v>3.5</v>
      </c>
      <c r="J37" s="107">
        <v>7</v>
      </c>
      <c r="K37" s="107">
        <f t="shared" si="0"/>
        <v>62.7</v>
      </c>
      <c r="L37" s="13" t="s">
        <v>543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3">
      <c r="A38" s="12">
        <v>36</v>
      </c>
      <c r="B38" s="116" t="s">
        <v>131</v>
      </c>
      <c r="C38" s="117">
        <v>1926</v>
      </c>
      <c r="D38" s="116" t="s">
        <v>132</v>
      </c>
      <c r="E38" s="115">
        <v>25.99</v>
      </c>
      <c r="F38" s="115">
        <v>11.26</v>
      </c>
      <c r="G38" s="115">
        <v>4.2</v>
      </c>
      <c r="H38" s="115">
        <v>7.62</v>
      </c>
      <c r="I38" s="115">
        <v>3.5</v>
      </c>
      <c r="J38" s="115">
        <v>4.76</v>
      </c>
      <c r="K38" s="115">
        <f t="shared" si="0"/>
        <v>57.33</v>
      </c>
      <c r="L38" s="116" t="s">
        <v>547</v>
      </c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</row>
    <row r="39" spans="1:26" ht="15.75" customHeight="1" x14ac:dyDescent="0.3">
      <c r="A39" s="12">
        <v>37</v>
      </c>
      <c r="B39" s="116" t="s">
        <v>136</v>
      </c>
      <c r="C39" s="117">
        <v>2946</v>
      </c>
      <c r="D39" s="116" t="s">
        <v>132</v>
      </c>
      <c r="E39" s="119">
        <v>38.83</v>
      </c>
      <c r="F39" s="115">
        <v>11.46</v>
      </c>
      <c r="G39" s="115">
        <v>4.34</v>
      </c>
      <c r="H39" s="115">
        <v>6.02</v>
      </c>
      <c r="I39" s="115">
        <v>2.9</v>
      </c>
      <c r="J39" s="115">
        <v>4.76</v>
      </c>
      <c r="K39" s="115">
        <f t="shared" si="0"/>
        <v>68.309999999999988</v>
      </c>
      <c r="L39" s="116" t="s">
        <v>545</v>
      </c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</row>
    <row r="40" spans="1:26" ht="15.75" customHeight="1" x14ac:dyDescent="0.3">
      <c r="A40" s="12">
        <v>38</v>
      </c>
      <c r="B40" s="13" t="s">
        <v>150</v>
      </c>
      <c r="C40" s="14">
        <v>369</v>
      </c>
      <c r="D40" s="13" t="s">
        <v>151</v>
      </c>
      <c r="E40" s="107">
        <v>22</v>
      </c>
      <c r="F40" s="107">
        <v>14.66</v>
      </c>
      <c r="G40" s="107">
        <v>7.5</v>
      </c>
      <c r="H40" s="107">
        <v>11.25</v>
      </c>
      <c r="I40" s="107">
        <v>3.8</v>
      </c>
      <c r="J40" s="107">
        <v>7</v>
      </c>
      <c r="K40" s="107">
        <f t="shared" si="0"/>
        <v>66.209999999999994</v>
      </c>
      <c r="L40" s="13" t="s">
        <v>545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3">
      <c r="A41" s="12">
        <v>39</v>
      </c>
      <c r="B41" s="13" t="s">
        <v>152</v>
      </c>
      <c r="C41" s="14">
        <v>281</v>
      </c>
      <c r="D41" s="13" t="s">
        <v>151</v>
      </c>
      <c r="E41" s="107">
        <v>13.45</v>
      </c>
      <c r="F41" s="107">
        <v>14.35</v>
      </c>
      <c r="G41" s="107">
        <v>7.59</v>
      </c>
      <c r="H41" s="107">
        <v>11.07</v>
      </c>
      <c r="I41" s="107">
        <v>3.65</v>
      </c>
      <c r="J41" s="107">
        <v>7</v>
      </c>
      <c r="K41" s="107">
        <f t="shared" si="0"/>
        <v>57.11</v>
      </c>
      <c r="L41" s="13" t="s">
        <v>545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3">
      <c r="A42" s="12">
        <v>40</v>
      </c>
      <c r="B42" s="13" t="s">
        <v>153</v>
      </c>
      <c r="C42" s="14">
        <v>332</v>
      </c>
      <c r="D42" s="13" t="s">
        <v>151</v>
      </c>
      <c r="E42" s="107">
        <v>23.79</v>
      </c>
      <c r="F42" s="107">
        <v>11.57</v>
      </c>
      <c r="G42" s="107">
        <v>8.4600000000000009</v>
      </c>
      <c r="H42" s="107">
        <v>12.72</v>
      </c>
      <c r="I42" s="107">
        <v>4.03</v>
      </c>
      <c r="J42" s="107">
        <v>7.9</v>
      </c>
      <c r="K42" s="107">
        <f t="shared" si="0"/>
        <v>68.47</v>
      </c>
      <c r="L42" s="13" t="s">
        <v>543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3">
      <c r="A43" s="12">
        <v>41</v>
      </c>
      <c r="B43" s="13" t="s">
        <v>154</v>
      </c>
      <c r="C43" s="14">
        <v>108</v>
      </c>
      <c r="D43" s="13" t="s">
        <v>151</v>
      </c>
      <c r="E43" s="107">
        <v>28.53</v>
      </c>
      <c r="F43" s="107">
        <v>10.52</v>
      </c>
      <c r="G43" s="107">
        <v>7.37</v>
      </c>
      <c r="H43" s="107">
        <v>11.15</v>
      </c>
      <c r="I43" s="107">
        <v>3.8</v>
      </c>
      <c r="J43" s="107">
        <v>7</v>
      </c>
      <c r="K43" s="107">
        <f t="shared" si="0"/>
        <v>68.36999999999999</v>
      </c>
      <c r="L43" s="13" t="s">
        <v>545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3">
      <c r="A44" s="12">
        <v>42</v>
      </c>
      <c r="B44" s="13" t="s">
        <v>155</v>
      </c>
      <c r="C44" s="14">
        <v>98</v>
      </c>
      <c r="D44" s="13" t="s">
        <v>151</v>
      </c>
      <c r="E44" s="107">
        <v>24.05</v>
      </c>
      <c r="F44" s="107">
        <v>13.96</v>
      </c>
      <c r="G44" s="107">
        <v>7.62</v>
      </c>
      <c r="H44" s="107">
        <v>11.06</v>
      </c>
      <c r="I44" s="107">
        <v>3.8</v>
      </c>
      <c r="J44" s="107">
        <v>7</v>
      </c>
      <c r="K44" s="107">
        <f t="shared" si="0"/>
        <v>67.490000000000009</v>
      </c>
      <c r="L44" s="13" t="s">
        <v>545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3">
      <c r="A45" s="12">
        <v>43</v>
      </c>
      <c r="B45" s="13" t="s">
        <v>156</v>
      </c>
      <c r="C45" s="14">
        <v>245</v>
      </c>
      <c r="D45" s="13" t="s">
        <v>151</v>
      </c>
      <c r="E45" s="107">
        <v>20.81</v>
      </c>
      <c r="F45" s="107">
        <v>14.04</v>
      </c>
      <c r="G45" s="107">
        <v>7.44</v>
      </c>
      <c r="H45" s="107">
        <v>11.1</v>
      </c>
      <c r="I45" s="107">
        <v>3.88</v>
      </c>
      <c r="J45" s="107">
        <v>7</v>
      </c>
      <c r="K45" s="107">
        <f t="shared" si="0"/>
        <v>64.27</v>
      </c>
      <c r="L45" s="13" t="s">
        <v>545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3">
      <c r="A46" s="12">
        <v>44</v>
      </c>
      <c r="B46" s="13" t="s">
        <v>157</v>
      </c>
      <c r="C46" s="14">
        <v>113</v>
      </c>
      <c r="D46" s="13" t="s">
        <v>151</v>
      </c>
      <c r="E46" s="107">
        <v>13.38</v>
      </c>
      <c r="F46" s="107">
        <v>14.63</v>
      </c>
      <c r="G46" s="107">
        <v>7.77</v>
      </c>
      <c r="H46" s="107">
        <v>10.76</v>
      </c>
      <c r="I46" s="107">
        <v>3.73</v>
      </c>
      <c r="J46" s="107">
        <v>7</v>
      </c>
      <c r="K46" s="107">
        <f t="shared" si="0"/>
        <v>57.269999999999996</v>
      </c>
      <c r="L46" s="13" t="s">
        <v>545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3">
      <c r="A47" s="12">
        <v>45</v>
      </c>
      <c r="B47" s="13" t="s">
        <v>158</v>
      </c>
      <c r="C47" s="14">
        <v>69</v>
      </c>
      <c r="D47" s="13" t="s">
        <v>151</v>
      </c>
      <c r="E47" s="107">
        <v>23.57</v>
      </c>
      <c r="F47" s="107">
        <v>13.47</v>
      </c>
      <c r="G47" s="107">
        <v>7.59</v>
      </c>
      <c r="H47" s="107">
        <v>11.34</v>
      </c>
      <c r="I47" s="107">
        <v>3.8</v>
      </c>
      <c r="J47" s="107">
        <v>7.45</v>
      </c>
      <c r="K47" s="107">
        <f t="shared" si="0"/>
        <v>67.22</v>
      </c>
      <c r="L47" s="13" t="s">
        <v>545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3">
      <c r="A48" s="12">
        <v>46</v>
      </c>
      <c r="B48" s="13" t="s">
        <v>159</v>
      </c>
      <c r="C48" s="14">
        <v>38</v>
      </c>
      <c r="D48" s="13" t="s">
        <v>151</v>
      </c>
      <c r="E48" s="107">
        <v>24.48</v>
      </c>
      <c r="F48" s="107">
        <v>13.36</v>
      </c>
      <c r="G48" s="107">
        <v>7.54</v>
      </c>
      <c r="H48" s="107">
        <v>11.4</v>
      </c>
      <c r="I48" s="107">
        <v>3.88</v>
      </c>
      <c r="J48" s="107">
        <v>7.6</v>
      </c>
      <c r="K48" s="107">
        <f t="shared" si="0"/>
        <v>68.260000000000005</v>
      </c>
      <c r="L48" s="13" t="s">
        <v>545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3">
      <c r="A49" s="12">
        <v>47</v>
      </c>
      <c r="B49" s="13" t="s">
        <v>48</v>
      </c>
      <c r="C49" s="14">
        <v>1637</v>
      </c>
      <c r="D49" s="13" t="s">
        <v>49</v>
      </c>
      <c r="E49" s="107">
        <v>32</v>
      </c>
      <c r="F49" s="107">
        <v>12.5</v>
      </c>
      <c r="G49" s="107">
        <v>7.29</v>
      </c>
      <c r="H49" s="107">
        <v>11.49</v>
      </c>
      <c r="I49" s="107">
        <v>4.03</v>
      </c>
      <c r="J49" s="107">
        <v>7.68</v>
      </c>
      <c r="K49" s="107">
        <f t="shared" si="0"/>
        <v>74.990000000000009</v>
      </c>
      <c r="L49" s="13" t="s">
        <v>545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3">
      <c r="A50" s="12">
        <v>48</v>
      </c>
      <c r="B50" s="116" t="s">
        <v>50</v>
      </c>
      <c r="C50" s="117">
        <v>1086</v>
      </c>
      <c r="D50" s="116" t="s">
        <v>49</v>
      </c>
      <c r="E50" s="115">
        <v>29.28</v>
      </c>
      <c r="F50" s="115">
        <v>13.42</v>
      </c>
      <c r="G50" s="115">
        <v>7.71</v>
      </c>
      <c r="H50" s="115">
        <v>11.42</v>
      </c>
      <c r="I50" s="115">
        <v>3.88</v>
      </c>
      <c r="J50" s="115">
        <v>7.39</v>
      </c>
      <c r="K50" s="115">
        <f t="shared" si="0"/>
        <v>73.100000000000009</v>
      </c>
      <c r="L50" s="116" t="s">
        <v>545</v>
      </c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</row>
    <row r="51" spans="1:26" ht="15.75" customHeight="1" x14ac:dyDescent="0.3">
      <c r="A51" s="12">
        <v>49</v>
      </c>
      <c r="B51" s="13" t="s">
        <v>59</v>
      </c>
      <c r="C51" s="14">
        <v>1211</v>
      </c>
      <c r="D51" s="13" t="s">
        <v>60</v>
      </c>
      <c r="E51" s="107">
        <v>23.37</v>
      </c>
      <c r="F51" s="107">
        <v>11.91</v>
      </c>
      <c r="G51" s="107">
        <v>4.4000000000000004</v>
      </c>
      <c r="H51" s="107">
        <v>8.9</v>
      </c>
      <c r="I51" s="107">
        <v>3.18</v>
      </c>
      <c r="J51" s="107">
        <v>5.2</v>
      </c>
      <c r="K51" s="107">
        <f t="shared" si="0"/>
        <v>56.96</v>
      </c>
      <c r="L51" s="13" t="s">
        <v>543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3">
      <c r="A52" s="12">
        <v>50</v>
      </c>
      <c r="B52" s="116" t="s">
        <v>61</v>
      </c>
      <c r="C52" s="117">
        <v>1470</v>
      </c>
      <c r="D52" s="116" t="s">
        <v>60</v>
      </c>
      <c r="E52" s="115">
        <v>25.32</v>
      </c>
      <c r="F52" s="115">
        <v>11.24</v>
      </c>
      <c r="G52" s="115">
        <v>4.34</v>
      </c>
      <c r="H52" s="115">
        <v>8.58</v>
      </c>
      <c r="I52" s="115">
        <v>2.9</v>
      </c>
      <c r="J52" s="115">
        <v>3.84</v>
      </c>
      <c r="K52" s="115">
        <f t="shared" si="0"/>
        <v>56.22</v>
      </c>
      <c r="L52" s="116" t="s">
        <v>547</v>
      </c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</row>
    <row r="53" spans="1:26" ht="15.75" customHeight="1" x14ac:dyDescent="0.3">
      <c r="A53" s="12">
        <v>51</v>
      </c>
      <c r="B53" s="13" t="s">
        <v>34</v>
      </c>
      <c r="C53" s="14">
        <v>1812</v>
      </c>
      <c r="D53" s="13" t="s">
        <v>35</v>
      </c>
      <c r="E53" s="107">
        <v>30.8</v>
      </c>
      <c r="F53" s="107">
        <v>14.34</v>
      </c>
      <c r="G53" s="107">
        <v>7.3</v>
      </c>
      <c r="H53" s="107">
        <v>11.16</v>
      </c>
      <c r="I53" s="107">
        <v>4.03</v>
      </c>
      <c r="J53" s="107">
        <v>7.59</v>
      </c>
      <c r="K53" s="107">
        <f t="shared" si="0"/>
        <v>75.22</v>
      </c>
      <c r="L53" s="13" t="s">
        <v>545</v>
      </c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3">
      <c r="A54" s="12">
        <v>52</v>
      </c>
      <c r="B54" s="13" t="s">
        <v>36</v>
      </c>
      <c r="C54" s="14">
        <v>1182</v>
      </c>
      <c r="D54" s="13" t="s">
        <v>35</v>
      </c>
      <c r="E54" s="107">
        <v>27.41</v>
      </c>
      <c r="F54" s="107">
        <v>13.17</v>
      </c>
      <c r="G54" s="107">
        <v>7.74</v>
      </c>
      <c r="H54" s="107">
        <v>11.45</v>
      </c>
      <c r="I54" s="107">
        <v>3.8</v>
      </c>
      <c r="J54" s="107">
        <v>7.84</v>
      </c>
      <c r="K54" s="107">
        <f t="shared" si="0"/>
        <v>71.41</v>
      </c>
      <c r="L54" s="13" t="s">
        <v>545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3">
      <c r="A55" s="12">
        <v>53</v>
      </c>
      <c r="B55" s="13" t="s">
        <v>160</v>
      </c>
      <c r="C55" s="14">
        <v>445</v>
      </c>
      <c r="D55" s="13" t="s">
        <v>161</v>
      </c>
      <c r="E55" s="107">
        <v>25.55</v>
      </c>
      <c r="F55" s="107">
        <v>13.22</v>
      </c>
      <c r="G55" s="107">
        <v>7.81</v>
      </c>
      <c r="H55" s="107">
        <v>11.64</v>
      </c>
      <c r="I55" s="107">
        <v>3.8</v>
      </c>
      <c r="J55" s="107">
        <v>7</v>
      </c>
      <c r="K55" s="107">
        <f t="shared" si="0"/>
        <v>69.02000000000001</v>
      </c>
      <c r="L55" s="13" t="s">
        <v>545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3">
      <c r="A56" s="12">
        <v>54</v>
      </c>
      <c r="B56" s="13" t="s">
        <v>162</v>
      </c>
      <c r="C56" s="14">
        <v>62</v>
      </c>
      <c r="D56" s="13" t="s">
        <v>163</v>
      </c>
      <c r="E56" s="107">
        <v>21.06</v>
      </c>
      <c r="F56" s="107">
        <v>12.8</v>
      </c>
      <c r="G56" s="107">
        <v>7.65</v>
      </c>
      <c r="H56" s="107">
        <v>11.4</v>
      </c>
      <c r="I56" s="107">
        <v>3.88</v>
      </c>
      <c r="J56" s="107">
        <v>7.68</v>
      </c>
      <c r="K56" s="107">
        <f t="shared" si="0"/>
        <v>64.47</v>
      </c>
      <c r="L56" s="13" t="s">
        <v>545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3">
      <c r="A57" s="12">
        <v>55</v>
      </c>
      <c r="B57" s="13" t="s">
        <v>164</v>
      </c>
      <c r="C57" s="14">
        <v>288</v>
      </c>
      <c r="D57" s="13" t="s">
        <v>163</v>
      </c>
      <c r="E57" s="107">
        <v>21.67</v>
      </c>
      <c r="F57" s="107">
        <v>11.75</v>
      </c>
      <c r="G57" s="107">
        <v>7.71</v>
      </c>
      <c r="H57" s="107">
        <v>11.64</v>
      </c>
      <c r="I57" s="107">
        <v>3.95</v>
      </c>
      <c r="J57" s="107">
        <v>7.24</v>
      </c>
      <c r="K57" s="107">
        <f t="shared" si="0"/>
        <v>63.960000000000008</v>
      </c>
      <c r="L57" s="13" t="s">
        <v>545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3">
      <c r="A58" s="12">
        <v>56</v>
      </c>
      <c r="B58" s="13" t="s">
        <v>165</v>
      </c>
      <c r="C58" s="14">
        <v>69</v>
      </c>
      <c r="D58" s="13" t="s">
        <v>163</v>
      </c>
      <c r="E58" s="107">
        <v>21.16</v>
      </c>
      <c r="F58" s="107">
        <v>13.72</v>
      </c>
      <c r="G58" s="107">
        <v>7.48</v>
      </c>
      <c r="H58" s="107">
        <v>11.22</v>
      </c>
      <c r="I58" s="107">
        <v>3.8</v>
      </c>
      <c r="J58" s="107">
        <v>7.23</v>
      </c>
      <c r="K58" s="107">
        <f t="shared" si="0"/>
        <v>64.61</v>
      </c>
      <c r="L58" s="13" t="s">
        <v>545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3">
      <c r="A59" s="12">
        <v>57</v>
      </c>
      <c r="B59" s="116" t="s">
        <v>166</v>
      </c>
      <c r="C59" s="117">
        <v>661</v>
      </c>
      <c r="D59" s="116" t="s">
        <v>167</v>
      </c>
      <c r="E59" s="115">
        <v>26.4</v>
      </c>
      <c r="F59" s="115">
        <v>10.27</v>
      </c>
      <c r="G59" s="115">
        <v>7.75</v>
      </c>
      <c r="H59" s="115">
        <v>11.27</v>
      </c>
      <c r="I59" s="115">
        <v>3.73</v>
      </c>
      <c r="J59" s="115">
        <v>7.53</v>
      </c>
      <c r="K59" s="115">
        <f t="shared" si="0"/>
        <v>66.949999999999989</v>
      </c>
      <c r="L59" s="116" t="s">
        <v>545</v>
      </c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</row>
    <row r="60" spans="1:26" ht="15.75" customHeight="1" x14ac:dyDescent="0.3">
      <c r="A60" s="12">
        <v>58</v>
      </c>
      <c r="B60" s="116" t="s">
        <v>168</v>
      </c>
      <c r="C60" s="117">
        <v>515</v>
      </c>
      <c r="D60" s="116" t="s">
        <v>169</v>
      </c>
      <c r="E60" s="115">
        <v>25.04</v>
      </c>
      <c r="F60" s="115">
        <v>11.81</v>
      </c>
      <c r="G60" s="115">
        <v>4.34</v>
      </c>
      <c r="H60" s="115">
        <v>7.54</v>
      </c>
      <c r="I60" s="115">
        <v>2.9</v>
      </c>
      <c r="J60" s="115">
        <v>4.24</v>
      </c>
      <c r="K60" s="115">
        <f t="shared" si="0"/>
        <v>55.87</v>
      </c>
      <c r="L60" s="116" t="s">
        <v>547</v>
      </c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</row>
    <row r="61" spans="1:26" ht="15.75" customHeight="1" x14ac:dyDescent="0.3">
      <c r="A61" s="12">
        <v>59</v>
      </c>
      <c r="B61" s="116" t="s">
        <v>170</v>
      </c>
      <c r="C61" s="117">
        <v>293</v>
      </c>
      <c r="D61" s="116" t="s">
        <v>169</v>
      </c>
      <c r="E61" s="119">
        <v>29.97</v>
      </c>
      <c r="F61" s="115">
        <v>12.03</v>
      </c>
      <c r="G61" s="115">
        <v>4.24</v>
      </c>
      <c r="H61" s="115">
        <v>6.54</v>
      </c>
      <c r="I61" s="115">
        <v>3.5</v>
      </c>
      <c r="J61" s="115">
        <v>4.76</v>
      </c>
      <c r="K61" s="115">
        <f t="shared" si="0"/>
        <v>61.04</v>
      </c>
      <c r="L61" s="116" t="s">
        <v>547</v>
      </c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</row>
    <row r="62" spans="1:26" ht="15.75" customHeight="1" x14ac:dyDescent="0.3">
      <c r="A62" s="12">
        <v>60</v>
      </c>
      <c r="B62" s="116" t="s">
        <v>171</v>
      </c>
      <c r="C62" s="117">
        <v>971</v>
      </c>
      <c r="D62" s="116" t="s">
        <v>169</v>
      </c>
      <c r="E62" s="115">
        <v>24.68</v>
      </c>
      <c r="F62" s="115">
        <v>11.79</v>
      </c>
      <c r="G62" s="115">
        <v>3.44</v>
      </c>
      <c r="H62" s="115">
        <v>6.74</v>
      </c>
      <c r="I62" s="115">
        <v>2.7</v>
      </c>
      <c r="J62" s="115">
        <v>3.8</v>
      </c>
      <c r="K62" s="115">
        <f t="shared" si="0"/>
        <v>53.15</v>
      </c>
      <c r="L62" s="116" t="s">
        <v>547</v>
      </c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</row>
    <row r="63" spans="1:26" ht="15.75" customHeight="1" x14ac:dyDescent="0.3">
      <c r="A63" s="12">
        <v>61</v>
      </c>
      <c r="B63" s="116" t="s">
        <v>173</v>
      </c>
      <c r="C63" s="117">
        <v>1911</v>
      </c>
      <c r="D63" s="116" t="s">
        <v>169</v>
      </c>
      <c r="E63" s="115">
        <v>22.58</v>
      </c>
      <c r="F63" s="115">
        <v>11.29</v>
      </c>
      <c r="G63" s="115">
        <v>4.74</v>
      </c>
      <c r="H63" s="115">
        <v>8.1</v>
      </c>
      <c r="I63" s="115">
        <v>3.5</v>
      </c>
      <c r="J63" s="115">
        <v>4.4400000000000004</v>
      </c>
      <c r="K63" s="115">
        <f t="shared" si="0"/>
        <v>54.65</v>
      </c>
      <c r="L63" s="116" t="s">
        <v>547</v>
      </c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</row>
    <row r="64" spans="1:26" ht="15.75" customHeight="1" x14ac:dyDescent="0.3">
      <c r="A64" s="12">
        <v>62</v>
      </c>
      <c r="B64" s="29" t="s">
        <v>57</v>
      </c>
      <c r="C64" s="30">
        <v>1055</v>
      </c>
      <c r="D64" s="29" t="s">
        <v>58</v>
      </c>
      <c r="E64" s="113">
        <v>17.739999999999998</v>
      </c>
      <c r="F64" s="113">
        <v>13.38</v>
      </c>
      <c r="G64" s="113">
        <v>4.8</v>
      </c>
      <c r="H64" s="113">
        <v>8.92</v>
      </c>
      <c r="I64" s="113">
        <v>2.98</v>
      </c>
      <c r="J64" s="113">
        <v>4.3600000000000003</v>
      </c>
      <c r="K64" s="107">
        <f t="shared" si="0"/>
        <v>52.179999999999993</v>
      </c>
      <c r="L64" s="29" t="s">
        <v>544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3">
      <c r="A65" s="12">
        <v>63</v>
      </c>
      <c r="B65" s="13" t="s">
        <v>199</v>
      </c>
      <c r="C65" s="14">
        <v>2143</v>
      </c>
      <c r="D65" s="13" t="s">
        <v>200</v>
      </c>
      <c r="E65" s="107">
        <v>20.46</v>
      </c>
      <c r="F65" s="107">
        <v>7.39</v>
      </c>
      <c r="G65" s="107">
        <v>7</v>
      </c>
      <c r="H65" s="107">
        <v>11.27</v>
      </c>
      <c r="I65" s="107">
        <v>3.5</v>
      </c>
      <c r="J65" s="107">
        <v>7.54</v>
      </c>
      <c r="K65" s="107">
        <f t="shared" si="0"/>
        <v>57.160000000000004</v>
      </c>
      <c r="L65" s="13" t="s">
        <v>548</v>
      </c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3">
      <c r="A66" s="12">
        <v>64</v>
      </c>
      <c r="B66" s="116" t="s">
        <v>201</v>
      </c>
      <c r="C66" s="117">
        <v>2721</v>
      </c>
      <c r="D66" s="116" t="s">
        <v>202</v>
      </c>
      <c r="E66" s="115">
        <v>23.24</v>
      </c>
      <c r="F66" s="115">
        <v>13.42</v>
      </c>
      <c r="G66" s="115">
        <v>7.6</v>
      </c>
      <c r="H66" s="115">
        <v>11.57</v>
      </c>
      <c r="I66" s="115">
        <v>3.95</v>
      </c>
      <c r="J66" s="115">
        <v>6.8</v>
      </c>
      <c r="K66" s="115">
        <f t="shared" si="0"/>
        <v>66.58</v>
      </c>
      <c r="L66" s="116" t="s">
        <v>548</v>
      </c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</row>
    <row r="67" spans="1:26" ht="15.75" customHeight="1" x14ac:dyDescent="0.3">
      <c r="A67" s="12">
        <v>65</v>
      </c>
      <c r="B67" s="13" t="s">
        <v>203</v>
      </c>
      <c r="C67" s="14">
        <v>1146</v>
      </c>
      <c r="D67" s="13" t="s">
        <v>202</v>
      </c>
      <c r="E67" s="107">
        <v>23.24</v>
      </c>
      <c r="F67" s="107">
        <v>13.67</v>
      </c>
      <c r="G67" s="107">
        <v>7</v>
      </c>
      <c r="H67" s="107">
        <v>10.5</v>
      </c>
      <c r="I67" s="107">
        <v>3.5</v>
      </c>
      <c r="J67" s="107">
        <v>7</v>
      </c>
      <c r="K67" s="107">
        <f t="shared" si="0"/>
        <v>64.91</v>
      </c>
      <c r="L67" s="13" t="s">
        <v>548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3">
      <c r="A68" s="12">
        <v>66</v>
      </c>
      <c r="B68" s="13" t="s">
        <v>17</v>
      </c>
      <c r="C68" s="14">
        <v>1144</v>
      </c>
      <c r="D68" s="13" t="s">
        <v>15</v>
      </c>
      <c r="E68" s="107">
        <v>21.75</v>
      </c>
      <c r="F68" s="107">
        <v>11.16</v>
      </c>
      <c r="G68" s="107">
        <v>7</v>
      </c>
      <c r="H68" s="107">
        <v>12.66</v>
      </c>
      <c r="I68" s="107">
        <v>3.8</v>
      </c>
      <c r="J68" s="107">
        <v>7</v>
      </c>
      <c r="K68" s="107">
        <f t="shared" si="0"/>
        <v>63.36999999999999</v>
      </c>
      <c r="L68" s="13" t="s">
        <v>548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3">
      <c r="A69" s="12">
        <v>67</v>
      </c>
      <c r="B69" s="13" t="s">
        <v>16</v>
      </c>
      <c r="C69" s="14">
        <v>1347</v>
      </c>
      <c r="D69" s="13" t="s">
        <v>15</v>
      </c>
      <c r="E69" s="107">
        <v>26.6</v>
      </c>
      <c r="F69" s="107">
        <v>11.74</v>
      </c>
      <c r="G69" s="107">
        <v>7.21</v>
      </c>
      <c r="H69" s="107">
        <v>12.63</v>
      </c>
      <c r="I69" s="107">
        <v>3.5</v>
      </c>
      <c r="J69" s="107">
        <v>7</v>
      </c>
      <c r="K69" s="107">
        <f t="shared" si="0"/>
        <v>68.680000000000007</v>
      </c>
      <c r="L69" s="13" t="s">
        <v>549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3">
      <c r="A70" s="12">
        <v>68</v>
      </c>
      <c r="B70" s="13" t="s">
        <v>14</v>
      </c>
      <c r="C70" s="14">
        <v>1733</v>
      </c>
      <c r="D70" s="13" t="s">
        <v>15</v>
      </c>
      <c r="E70" s="107">
        <v>22.83</v>
      </c>
      <c r="F70" s="107">
        <v>13.37</v>
      </c>
      <c r="G70" s="107">
        <v>7.21</v>
      </c>
      <c r="H70" s="107">
        <v>12.51</v>
      </c>
      <c r="I70" s="107">
        <v>3.5</v>
      </c>
      <c r="J70" s="107">
        <v>7</v>
      </c>
      <c r="K70" s="107">
        <f t="shared" si="0"/>
        <v>66.419999999999987</v>
      </c>
      <c r="L70" s="13" t="s">
        <v>548</v>
      </c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3">
      <c r="A71" s="12">
        <v>69</v>
      </c>
      <c r="B71" s="116" t="s">
        <v>104</v>
      </c>
      <c r="C71" s="117">
        <v>1229</v>
      </c>
      <c r="D71" s="116" t="s">
        <v>103</v>
      </c>
      <c r="E71" s="115">
        <v>24.5</v>
      </c>
      <c r="F71" s="115">
        <v>8.98</v>
      </c>
      <c r="G71" s="115">
        <v>7.21</v>
      </c>
      <c r="H71" s="115">
        <v>12.63</v>
      </c>
      <c r="I71" s="115">
        <v>3.5</v>
      </c>
      <c r="J71" s="115">
        <v>4.43</v>
      </c>
      <c r="K71" s="115">
        <f t="shared" si="0"/>
        <v>61.250000000000007</v>
      </c>
      <c r="L71" s="116" t="s">
        <v>545</v>
      </c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</row>
    <row r="72" spans="1:26" ht="15.75" customHeight="1" x14ac:dyDescent="0.3">
      <c r="A72" s="12">
        <v>70</v>
      </c>
      <c r="B72" s="13" t="s">
        <v>106</v>
      </c>
      <c r="C72" s="14">
        <v>1292</v>
      </c>
      <c r="D72" s="13" t="s">
        <v>103</v>
      </c>
      <c r="E72" s="107">
        <v>27.87</v>
      </c>
      <c r="F72" s="107">
        <v>13.87</v>
      </c>
      <c r="G72" s="107">
        <v>5.18</v>
      </c>
      <c r="H72" s="107">
        <v>11.01</v>
      </c>
      <c r="I72" s="107">
        <v>0</v>
      </c>
      <c r="J72" s="107">
        <v>6.11</v>
      </c>
      <c r="K72" s="107">
        <f t="shared" si="0"/>
        <v>64.040000000000006</v>
      </c>
      <c r="L72" s="13" t="s">
        <v>545</v>
      </c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3">
      <c r="A73" s="12">
        <v>71</v>
      </c>
      <c r="B73" s="13" t="s">
        <v>105</v>
      </c>
      <c r="C73" s="14">
        <v>1475</v>
      </c>
      <c r="D73" s="13" t="s">
        <v>103</v>
      </c>
      <c r="E73" s="107">
        <v>11.3</v>
      </c>
      <c r="F73" s="107">
        <v>12.23</v>
      </c>
      <c r="G73" s="107">
        <v>7.21</v>
      </c>
      <c r="H73" s="107">
        <v>12.63</v>
      </c>
      <c r="I73" s="107">
        <v>3.5</v>
      </c>
      <c r="J73" s="107">
        <v>7.76</v>
      </c>
      <c r="K73" s="107">
        <f t="shared" si="0"/>
        <v>54.63</v>
      </c>
      <c r="L73" s="13" t="s">
        <v>548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3">
      <c r="A74" s="12">
        <v>72</v>
      </c>
      <c r="B74" s="116" t="s">
        <v>102</v>
      </c>
      <c r="C74" s="117">
        <v>2522</v>
      </c>
      <c r="D74" s="116" t="s">
        <v>103</v>
      </c>
      <c r="E74" s="119">
        <v>37.57</v>
      </c>
      <c r="F74" s="115">
        <v>14.44</v>
      </c>
      <c r="G74" s="115">
        <v>7.21</v>
      </c>
      <c r="H74" s="115">
        <v>11.78</v>
      </c>
      <c r="I74" s="115">
        <v>3.5</v>
      </c>
      <c r="J74" s="115">
        <v>7</v>
      </c>
      <c r="K74" s="115">
        <f t="shared" si="0"/>
        <v>81.5</v>
      </c>
      <c r="L74" s="116" t="s">
        <v>548</v>
      </c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</row>
    <row r="75" spans="1:26" ht="15.75" customHeight="1" x14ac:dyDescent="0.3">
      <c r="A75" s="12">
        <v>73</v>
      </c>
      <c r="B75" s="13" t="s">
        <v>41</v>
      </c>
      <c r="C75" s="14">
        <v>1044</v>
      </c>
      <c r="D75" s="13" t="s">
        <v>38</v>
      </c>
      <c r="E75" s="107">
        <v>20.72</v>
      </c>
      <c r="F75" s="107">
        <v>10.77</v>
      </c>
      <c r="G75" s="107">
        <v>8.5</v>
      </c>
      <c r="H75" s="107">
        <v>12.31</v>
      </c>
      <c r="I75" s="107">
        <v>4.25</v>
      </c>
      <c r="J75" s="107">
        <v>7.4</v>
      </c>
      <c r="K75" s="107">
        <f t="shared" si="0"/>
        <v>63.949999999999996</v>
      </c>
      <c r="L75" s="13" t="s">
        <v>548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3">
      <c r="A76" s="12">
        <v>74</v>
      </c>
      <c r="B76" s="29" t="s">
        <v>231</v>
      </c>
      <c r="C76" s="30">
        <v>1120</v>
      </c>
      <c r="D76" s="29" t="s">
        <v>38</v>
      </c>
      <c r="E76" s="113">
        <v>12.44</v>
      </c>
      <c r="F76" s="113">
        <v>14.29</v>
      </c>
      <c r="G76" s="113">
        <v>4.21</v>
      </c>
      <c r="H76" s="113">
        <v>10.474</v>
      </c>
      <c r="I76" s="113">
        <v>2.1800000000000002</v>
      </c>
      <c r="J76" s="113">
        <v>4.4000000000000004</v>
      </c>
      <c r="K76" s="113">
        <f t="shared" si="0"/>
        <v>47.994</v>
      </c>
      <c r="L76" s="29" t="s">
        <v>544</v>
      </c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3">
      <c r="A77" s="12">
        <v>75</v>
      </c>
      <c r="B77" s="13" t="s">
        <v>37</v>
      </c>
      <c r="C77" s="14">
        <v>1274</v>
      </c>
      <c r="D77" s="13" t="s">
        <v>38</v>
      </c>
      <c r="E77" s="107">
        <v>19.809999999999999</v>
      </c>
      <c r="F77" s="107">
        <v>9.1199999999999992</v>
      </c>
      <c r="G77" s="107">
        <v>7</v>
      </c>
      <c r="H77" s="107">
        <v>10.5</v>
      </c>
      <c r="I77" s="107">
        <v>3.5</v>
      </c>
      <c r="J77" s="107">
        <v>7.23</v>
      </c>
      <c r="K77" s="107">
        <f t="shared" si="0"/>
        <v>57.16</v>
      </c>
      <c r="L77" s="13" t="s">
        <v>543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3">
      <c r="A78" s="12">
        <v>76</v>
      </c>
      <c r="B78" s="13" t="s">
        <v>40</v>
      </c>
      <c r="C78" s="14">
        <v>1661</v>
      </c>
      <c r="D78" s="13" t="s">
        <v>38</v>
      </c>
      <c r="E78" s="107">
        <v>19.23</v>
      </c>
      <c r="F78" s="107">
        <v>10.44</v>
      </c>
      <c r="G78" s="107">
        <v>7</v>
      </c>
      <c r="H78" s="107">
        <v>10.5</v>
      </c>
      <c r="I78" s="107">
        <v>3.5</v>
      </c>
      <c r="J78" s="107">
        <v>6.4</v>
      </c>
      <c r="K78" s="107">
        <f t="shared" si="0"/>
        <v>57.07</v>
      </c>
      <c r="L78" s="13" t="s">
        <v>543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3">
      <c r="A79" s="12">
        <v>77</v>
      </c>
      <c r="B79" s="13" t="s">
        <v>39</v>
      </c>
      <c r="C79" s="14">
        <v>1779</v>
      </c>
      <c r="D79" s="13" t="s">
        <v>38</v>
      </c>
      <c r="E79" s="107">
        <v>14.54</v>
      </c>
      <c r="F79" s="107">
        <v>9.64</v>
      </c>
      <c r="G79" s="107">
        <v>7</v>
      </c>
      <c r="H79" s="107">
        <v>11.31</v>
      </c>
      <c r="I79" s="107">
        <v>3.5</v>
      </c>
      <c r="J79" s="107">
        <v>7.23</v>
      </c>
      <c r="K79" s="107">
        <f t="shared" si="0"/>
        <v>53.22</v>
      </c>
      <c r="L79" s="13" t="s">
        <v>548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3">
      <c r="A80" s="12">
        <v>78</v>
      </c>
      <c r="B80" s="13" t="s">
        <v>174</v>
      </c>
      <c r="C80" s="13">
        <v>1232</v>
      </c>
      <c r="D80" s="13" t="s">
        <v>175</v>
      </c>
      <c r="E80" s="107">
        <v>27.63</v>
      </c>
      <c r="F80" s="107">
        <v>11.6</v>
      </c>
      <c r="G80" s="107">
        <v>3</v>
      </c>
      <c r="H80" s="107">
        <v>4.5</v>
      </c>
      <c r="I80" s="107">
        <v>1.9</v>
      </c>
      <c r="J80" s="107">
        <v>3</v>
      </c>
      <c r="K80" s="107">
        <f t="shared" si="0"/>
        <v>51.629999999999995</v>
      </c>
      <c r="L80" s="13" t="s">
        <v>549</v>
      </c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3">
      <c r="A81" s="12">
        <v>79</v>
      </c>
      <c r="B81" s="13" t="s">
        <v>177</v>
      </c>
      <c r="C81" s="13">
        <v>1155</v>
      </c>
      <c r="D81" s="13" t="s">
        <v>175</v>
      </c>
      <c r="E81" s="107">
        <v>20.7</v>
      </c>
      <c r="F81" s="107">
        <v>11.44</v>
      </c>
      <c r="G81" s="107">
        <v>5.2</v>
      </c>
      <c r="H81" s="107">
        <v>9.8000000000000007</v>
      </c>
      <c r="I81" s="107">
        <v>3.58</v>
      </c>
      <c r="J81" s="107">
        <v>5.56</v>
      </c>
      <c r="K81" s="107">
        <f t="shared" si="0"/>
        <v>56.28</v>
      </c>
      <c r="L81" s="13" t="s">
        <v>544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3">
      <c r="A82" s="12">
        <v>80</v>
      </c>
      <c r="B82" s="13" t="s">
        <v>178</v>
      </c>
      <c r="C82" s="13">
        <v>422</v>
      </c>
      <c r="D82" s="13" t="s">
        <v>175</v>
      </c>
      <c r="E82" s="107">
        <v>19.88</v>
      </c>
      <c r="F82" s="107">
        <v>12.15</v>
      </c>
      <c r="G82" s="107">
        <v>7.5</v>
      </c>
      <c r="H82" s="107">
        <v>11.52</v>
      </c>
      <c r="I82" s="107">
        <v>3.8</v>
      </c>
      <c r="J82" s="107">
        <v>6.22</v>
      </c>
      <c r="K82" s="107">
        <f t="shared" si="0"/>
        <v>61.069999999999993</v>
      </c>
      <c r="L82" s="13" t="s">
        <v>548</v>
      </c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3">
      <c r="A83" s="12">
        <v>81</v>
      </c>
      <c r="B83" s="13" t="s">
        <v>179</v>
      </c>
      <c r="C83" s="13">
        <v>194</v>
      </c>
      <c r="D83" s="13" t="s">
        <v>175</v>
      </c>
      <c r="E83" s="107">
        <v>17.02</v>
      </c>
      <c r="F83" s="107">
        <v>10.26</v>
      </c>
      <c r="G83" s="107">
        <v>5.6</v>
      </c>
      <c r="H83" s="107">
        <v>9.2200000000000006</v>
      </c>
      <c r="I83" s="107">
        <v>3.5</v>
      </c>
      <c r="J83" s="107">
        <v>5.8</v>
      </c>
      <c r="K83" s="107">
        <f t="shared" si="0"/>
        <v>51.4</v>
      </c>
      <c r="L83" s="13" t="s">
        <v>545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3">
      <c r="A84" s="12">
        <v>82</v>
      </c>
      <c r="B84" s="13" t="s">
        <v>180</v>
      </c>
      <c r="C84" s="13">
        <v>684</v>
      </c>
      <c r="D84" s="13" t="s">
        <v>175</v>
      </c>
      <c r="E84" s="107">
        <v>22.09</v>
      </c>
      <c r="F84" s="107">
        <v>12.16</v>
      </c>
      <c r="G84" s="107">
        <v>5.14</v>
      </c>
      <c r="H84" s="107">
        <v>7.1</v>
      </c>
      <c r="I84" s="107">
        <v>3.2</v>
      </c>
      <c r="J84" s="107">
        <v>6.64</v>
      </c>
      <c r="K84" s="107">
        <f t="shared" si="0"/>
        <v>56.330000000000005</v>
      </c>
      <c r="L84" s="13" t="s">
        <v>543</v>
      </c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3">
      <c r="A85" s="12">
        <v>83</v>
      </c>
      <c r="B85" s="13" t="s">
        <v>181</v>
      </c>
      <c r="C85" s="13">
        <v>461</v>
      </c>
      <c r="D85" s="13" t="s">
        <v>175</v>
      </c>
      <c r="E85" s="107">
        <v>29.73</v>
      </c>
      <c r="F85" s="107">
        <v>10.18</v>
      </c>
      <c r="G85" s="107">
        <v>7.71</v>
      </c>
      <c r="H85" s="107">
        <v>10.25</v>
      </c>
      <c r="I85" s="107">
        <v>3.5</v>
      </c>
      <c r="J85" s="107">
        <v>7.15</v>
      </c>
      <c r="K85" s="107">
        <f t="shared" si="0"/>
        <v>68.52</v>
      </c>
      <c r="L85" s="13" t="s">
        <v>548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3">
      <c r="A86" s="12">
        <v>84</v>
      </c>
      <c r="B86" s="13" t="s">
        <v>176</v>
      </c>
      <c r="C86" s="13">
        <v>50</v>
      </c>
      <c r="D86" s="13" t="s">
        <v>175</v>
      </c>
      <c r="E86" s="107">
        <v>12.03</v>
      </c>
      <c r="F86" s="107">
        <v>9.94</v>
      </c>
      <c r="G86" s="107">
        <v>6.8</v>
      </c>
      <c r="H86" s="107">
        <v>11.39</v>
      </c>
      <c r="I86" s="107">
        <v>3.4</v>
      </c>
      <c r="J86" s="107">
        <v>4.97</v>
      </c>
      <c r="K86" s="107">
        <f t="shared" si="0"/>
        <v>48.529999999999994</v>
      </c>
      <c r="L86" s="13" t="s">
        <v>548</v>
      </c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3">
      <c r="A87" s="12">
        <v>85</v>
      </c>
      <c r="B87" s="13" t="s">
        <v>182</v>
      </c>
      <c r="C87" s="13">
        <v>1554</v>
      </c>
      <c r="D87" s="13" t="s">
        <v>183</v>
      </c>
      <c r="E87" s="107">
        <v>27.01</v>
      </c>
      <c r="F87" s="107">
        <v>10.130000000000001</v>
      </c>
      <c r="G87" s="107">
        <v>7.69</v>
      </c>
      <c r="H87" s="107">
        <v>11.18</v>
      </c>
      <c r="I87" s="107">
        <v>3.5</v>
      </c>
      <c r="J87" s="107">
        <v>8.2799999999999994</v>
      </c>
      <c r="K87" s="107">
        <f t="shared" si="0"/>
        <v>67.789999999999992</v>
      </c>
      <c r="L87" s="13" t="s">
        <v>548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3">
      <c r="A88" s="12">
        <v>86</v>
      </c>
      <c r="B88" s="13" t="s">
        <v>184</v>
      </c>
      <c r="C88" s="13">
        <v>745</v>
      </c>
      <c r="D88" s="13" t="s">
        <v>185</v>
      </c>
      <c r="E88" s="107">
        <v>28.63</v>
      </c>
      <c r="F88" s="107">
        <v>10.16</v>
      </c>
      <c r="G88" s="107">
        <v>5.34</v>
      </c>
      <c r="H88" s="107">
        <v>11.53</v>
      </c>
      <c r="I88" s="107">
        <v>4.0999999999999996</v>
      </c>
      <c r="J88" s="107">
        <v>7</v>
      </c>
      <c r="K88" s="107">
        <f t="shared" si="0"/>
        <v>66.759999999999991</v>
      </c>
      <c r="L88" s="13" t="s">
        <v>543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3">
      <c r="A89" s="12">
        <v>87</v>
      </c>
      <c r="B89" s="13" t="s">
        <v>186</v>
      </c>
      <c r="C89" s="13">
        <v>230</v>
      </c>
      <c r="D89" s="13" t="s">
        <v>187</v>
      </c>
      <c r="E89" s="107">
        <v>26.37</v>
      </c>
      <c r="F89" s="107">
        <v>13.38</v>
      </c>
      <c r="G89" s="107">
        <v>4.25</v>
      </c>
      <c r="H89" s="107">
        <v>12.11</v>
      </c>
      <c r="I89" s="107">
        <v>4.25</v>
      </c>
      <c r="J89" s="107">
        <v>7.38</v>
      </c>
      <c r="K89" s="107">
        <f t="shared" si="0"/>
        <v>67.739999999999995</v>
      </c>
      <c r="L89" s="13" t="s">
        <v>543</v>
      </c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3">
      <c r="A90" s="12">
        <v>88</v>
      </c>
      <c r="B90" s="13" t="s">
        <v>130</v>
      </c>
      <c r="C90" s="13">
        <v>367</v>
      </c>
      <c r="D90" s="13" t="s">
        <v>188</v>
      </c>
      <c r="E90" s="107">
        <v>20.94</v>
      </c>
      <c r="F90" s="107">
        <v>11.4</v>
      </c>
      <c r="G90" s="107">
        <v>7</v>
      </c>
      <c r="H90" s="107">
        <v>12.63</v>
      </c>
      <c r="I90" s="107">
        <v>3.5</v>
      </c>
      <c r="J90" s="107">
        <v>3</v>
      </c>
      <c r="K90" s="107">
        <f t="shared" si="0"/>
        <v>58.470000000000006</v>
      </c>
      <c r="L90" s="13" t="s">
        <v>548</v>
      </c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3">
      <c r="A91" s="12">
        <v>89</v>
      </c>
      <c r="B91" s="13" t="s">
        <v>189</v>
      </c>
      <c r="C91" s="13">
        <v>215</v>
      </c>
      <c r="D91" s="13" t="s">
        <v>188</v>
      </c>
      <c r="E91" s="107">
        <v>25.35</v>
      </c>
      <c r="F91" s="107">
        <v>5.77</v>
      </c>
      <c r="G91" s="107">
        <v>7</v>
      </c>
      <c r="H91" s="107">
        <v>12.27</v>
      </c>
      <c r="I91" s="107">
        <v>3.5</v>
      </c>
      <c r="J91" s="107">
        <v>7</v>
      </c>
      <c r="K91" s="107">
        <f t="shared" si="0"/>
        <v>60.89</v>
      </c>
      <c r="L91" s="13" t="s">
        <v>548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3">
      <c r="A92" s="12">
        <v>90</v>
      </c>
      <c r="B92" s="13" t="s">
        <v>190</v>
      </c>
      <c r="C92" s="13">
        <v>165</v>
      </c>
      <c r="D92" s="13" t="s">
        <v>188</v>
      </c>
      <c r="E92" s="107">
        <v>20.22</v>
      </c>
      <c r="F92" s="107">
        <v>11.76</v>
      </c>
      <c r="G92" s="107">
        <v>7</v>
      </c>
      <c r="H92" s="107">
        <v>12.63</v>
      </c>
      <c r="I92" s="107">
        <v>3.5</v>
      </c>
      <c r="J92" s="107">
        <v>7</v>
      </c>
      <c r="K92" s="107">
        <f t="shared" si="0"/>
        <v>62.11</v>
      </c>
      <c r="L92" s="13" t="s">
        <v>547</v>
      </c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3">
      <c r="A93" s="12">
        <v>91</v>
      </c>
      <c r="B93" s="13" t="s">
        <v>191</v>
      </c>
      <c r="C93" s="13">
        <v>629</v>
      </c>
      <c r="D93" s="13" t="s">
        <v>188</v>
      </c>
      <c r="E93" s="107">
        <v>19.66</v>
      </c>
      <c r="F93" s="107">
        <v>7.1</v>
      </c>
      <c r="G93" s="107">
        <v>5.75</v>
      </c>
      <c r="H93" s="107">
        <v>10.050000000000001</v>
      </c>
      <c r="I93" s="107">
        <v>4.03</v>
      </c>
      <c r="J93" s="107">
        <v>7</v>
      </c>
      <c r="K93" s="107">
        <f t="shared" si="0"/>
        <v>53.59</v>
      </c>
      <c r="L93" s="13" t="s">
        <v>543</v>
      </c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3">
      <c r="A94" s="12">
        <v>92</v>
      </c>
      <c r="B94" s="13" t="s">
        <v>192</v>
      </c>
      <c r="C94" s="13">
        <v>2340</v>
      </c>
      <c r="D94" s="13" t="s">
        <v>188</v>
      </c>
      <c r="E94" s="107">
        <v>19.25</v>
      </c>
      <c r="F94" s="107">
        <v>11.26</v>
      </c>
      <c r="G94" s="107">
        <v>4</v>
      </c>
      <c r="H94" s="107">
        <v>7.3</v>
      </c>
      <c r="I94" s="107">
        <v>3.58</v>
      </c>
      <c r="J94" s="107">
        <v>5.8</v>
      </c>
      <c r="K94" s="107">
        <f t="shared" si="0"/>
        <v>51.189999999999991</v>
      </c>
      <c r="L94" s="13" t="s">
        <v>543</v>
      </c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3">
      <c r="A95" s="12">
        <v>93</v>
      </c>
      <c r="B95" s="13" t="s">
        <v>193</v>
      </c>
      <c r="C95" s="13">
        <v>789</v>
      </c>
      <c r="D95" s="13" t="s">
        <v>188</v>
      </c>
      <c r="E95" s="107">
        <v>23.87</v>
      </c>
      <c r="F95" s="107">
        <v>10.99</v>
      </c>
      <c r="G95" s="107">
        <v>6.82</v>
      </c>
      <c r="H95" s="107">
        <v>12.51</v>
      </c>
      <c r="I95" s="107">
        <v>4.25</v>
      </c>
      <c r="J95" s="107">
        <v>7</v>
      </c>
      <c r="K95" s="107">
        <f t="shared" si="0"/>
        <v>65.44</v>
      </c>
      <c r="L95" s="13" t="s">
        <v>548</v>
      </c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3">
      <c r="A96" s="12">
        <v>94</v>
      </c>
      <c r="B96" s="13" t="s">
        <v>194</v>
      </c>
      <c r="C96" s="13">
        <v>209</v>
      </c>
      <c r="D96" s="13" t="s">
        <v>188</v>
      </c>
      <c r="E96" s="107">
        <v>15.05</v>
      </c>
      <c r="F96" s="107">
        <v>11</v>
      </c>
      <c r="G96" s="107">
        <v>7</v>
      </c>
      <c r="H96" s="107">
        <v>12.63</v>
      </c>
      <c r="I96" s="107">
        <v>3.5</v>
      </c>
      <c r="J96" s="107">
        <v>3</v>
      </c>
      <c r="K96" s="107">
        <f t="shared" si="0"/>
        <v>52.18</v>
      </c>
      <c r="L96" s="13" t="s">
        <v>548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3">
      <c r="A97" s="12">
        <v>95</v>
      </c>
      <c r="B97" s="13" t="s">
        <v>195</v>
      </c>
      <c r="C97" s="13">
        <v>13</v>
      </c>
      <c r="D97" s="13" t="s">
        <v>196</v>
      </c>
      <c r="E97" s="107">
        <v>13.9</v>
      </c>
      <c r="F97" s="107">
        <v>14.25</v>
      </c>
      <c r="G97" s="107">
        <v>7.08</v>
      </c>
      <c r="H97" s="107">
        <v>12.63</v>
      </c>
      <c r="I97" s="107">
        <v>3.5</v>
      </c>
      <c r="J97" s="107">
        <v>7</v>
      </c>
      <c r="K97" s="107">
        <f t="shared" si="0"/>
        <v>58.36</v>
      </c>
      <c r="L97" s="13" t="s">
        <v>548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3">
      <c r="A98" s="12">
        <v>96</v>
      </c>
      <c r="B98" s="13" t="s">
        <v>198</v>
      </c>
      <c r="C98" s="13">
        <v>54</v>
      </c>
      <c r="D98" s="13" t="s">
        <v>187</v>
      </c>
      <c r="E98" s="107">
        <v>24.64</v>
      </c>
      <c r="F98" s="107">
        <v>13.4</v>
      </c>
      <c r="G98" s="107">
        <v>4.28</v>
      </c>
      <c r="H98" s="107">
        <v>10.3</v>
      </c>
      <c r="I98" s="107">
        <v>4.25</v>
      </c>
      <c r="J98" s="107">
        <v>7</v>
      </c>
      <c r="K98" s="107">
        <f t="shared" si="0"/>
        <v>63.870000000000005</v>
      </c>
      <c r="L98" s="13" t="s">
        <v>543</v>
      </c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3">
      <c r="A99" s="12">
        <v>97</v>
      </c>
      <c r="B99" s="13" t="s">
        <v>55</v>
      </c>
      <c r="C99" s="13">
        <v>1332</v>
      </c>
      <c r="D99" s="13" t="s">
        <v>52</v>
      </c>
      <c r="E99" s="107">
        <v>25.98</v>
      </c>
      <c r="F99" s="107">
        <v>13.94</v>
      </c>
      <c r="G99" s="107">
        <v>5.7</v>
      </c>
      <c r="H99" s="107">
        <v>8.8800000000000008</v>
      </c>
      <c r="I99" s="107">
        <v>1.5</v>
      </c>
      <c r="J99" s="107">
        <v>5.08</v>
      </c>
      <c r="K99" s="107">
        <f t="shared" si="0"/>
        <v>61.080000000000005</v>
      </c>
      <c r="L99" s="13" t="s">
        <v>548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3">
      <c r="A100" s="12">
        <v>98</v>
      </c>
      <c r="B100" s="13" t="s">
        <v>51</v>
      </c>
      <c r="C100" s="13">
        <v>1058</v>
      </c>
      <c r="D100" s="13" t="s">
        <v>52</v>
      </c>
      <c r="E100" s="107">
        <v>27.41</v>
      </c>
      <c r="F100" s="107">
        <v>14.34</v>
      </c>
      <c r="G100" s="107">
        <v>6.48</v>
      </c>
      <c r="H100" s="107">
        <v>10.51</v>
      </c>
      <c r="I100" s="107">
        <v>3.73</v>
      </c>
      <c r="J100" s="107">
        <v>6.2</v>
      </c>
      <c r="K100" s="107">
        <f t="shared" si="0"/>
        <v>68.67</v>
      </c>
      <c r="L100" s="13" t="s">
        <v>543</v>
      </c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3">
      <c r="A101" s="12">
        <v>99</v>
      </c>
      <c r="B101" s="13" t="s">
        <v>56</v>
      </c>
      <c r="C101" s="13">
        <v>1045</v>
      </c>
      <c r="D101" s="13" t="s">
        <v>52</v>
      </c>
      <c r="E101" s="107">
        <v>27.22</v>
      </c>
      <c r="F101" s="107">
        <v>13.31</v>
      </c>
      <c r="G101" s="107">
        <v>6</v>
      </c>
      <c r="H101" s="107">
        <v>8.68</v>
      </c>
      <c r="I101" s="107">
        <v>4.03</v>
      </c>
      <c r="J101" s="107">
        <v>7.08</v>
      </c>
      <c r="K101" s="107">
        <f t="shared" si="0"/>
        <v>66.320000000000007</v>
      </c>
      <c r="L101" s="13" t="s">
        <v>543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3">
      <c r="A102" s="12">
        <v>100</v>
      </c>
      <c r="B102" s="13" t="s">
        <v>54</v>
      </c>
      <c r="C102" s="13">
        <v>1273</v>
      </c>
      <c r="D102" s="13" t="s">
        <v>52</v>
      </c>
      <c r="E102" s="107">
        <v>27.01</v>
      </c>
      <c r="F102" s="107">
        <v>11.2</v>
      </c>
      <c r="G102" s="107">
        <v>7.71</v>
      </c>
      <c r="H102" s="107">
        <v>11.75</v>
      </c>
      <c r="I102" s="107">
        <v>3.8</v>
      </c>
      <c r="J102" s="107">
        <v>7.24</v>
      </c>
      <c r="K102" s="107">
        <f t="shared" si="0"/>
        <v>68.709999999999994</v>
      </c>
      <c r="L102" s="13" t="s">
        <v>548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3">
      <c r="A103" s="12">
        <v>101</v>
      </c>
      <c r="B103" s="13" t="s">
        <v>53</v>
      </c>
      <c r="C103" s="13">
        <v>2433</v>
      </c>
      <c r="D103" s="13" t="s">
        <v>52</v>
      </c>
      <c r="E103" s="107">
        <v>21.97</v>
      </c>
      <c r="F103" s="107">
        <v>11.91</v>
      </c>
      <c r="G103" s="107">
        <v>4.46</v>
      </c>
      <c r="H103" s="107">
        <v>8.02</v>
      </c>
      <c r="I103" s="107">
        <v>3.65</v>
      </c>
      <c r="J103" s="107">
        <v>5.56</v>
      </c>
      <c r="K103" s="107">
        <f t="shared" si="0"/>
        <v>55.57</v>
      </c>
      <c r="L103" s="13" t="s">
        <v>543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3">
      <c r="A104" s="12">
        <v>102</v>
      </c>
      <c r="B104" s="13" t="s">
        <v>85</v>
      </c>
      <c r="C104" s="13">
        <v>1403</v>
      </c>
      <c r="D104" s="13" t="s">
        <v>84</v>
      </c>
      <c r="E104" s="107">
        <v>21.53</v>
      </c>
      <c r="F104" s="107">
        <v>14.91</v>
      </c>
      <c r="G104" s="107">
        <v>8.5</v>
      </c>
      <c r="H104" s="107">
        <v>11.1</v>
      </c>
      <c r="I104" s="107">
        <v>4.25</v>
      </c>
      <c r="J104" s="107">
        <v>6.55</v>
      </c>
      <c r="K104" s="107">
        <f t="shared" si="0"/>
        <v>66.84</v>
      </c>
      <c r="L104" s="13" t="s">
        <v>543</v>
      </c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3">
      <c r="A105" s="12">
        <v>103</v>
      </c>
      <c r="B105" s="116" t="s">
        <v>83</v>
      </c>
      <c r="C105" s="116">
        <v>1000</v>
      </c>
      <c r="D105" s="116" t="s">
        <v>84</v>
      </c>
      <c r="E105" s="115">
        <v>27.13</v>
      </c>
      <c r="F105" s="115">
        <v>9.6300000000000008</v>
      </c>
      <c r="G105" s="115">
        <v>7.23</v>
      </c>
      <c r="H105" s="115">
        <v>11.72</v>
      </c>
      <c r="I105" s="115">
        <v>4.18</v>
      </c>
      <c r="J105" s="115">
        <v>7</v>
      </c>
      <c r="K105" s="115">
        <f t="shared" si="0"/>
        <v>66.889999999999986</v>
      </c>
      <c r="L105" s="116" t="s">
        <v>543</v>
      </c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</row>
    <row r="106" spans="1:26" ht="15.75" customHeight="1" x14ac:dyDescent="0.3">
      <c r="A106" s="12">
        <v>104</v>
      </c>
      <c r="B106" s="13" t="s">
        <v>88</v>
      </c>
      <c r="C106" s="13">
        <v>1096</v>
      </c>
      <c r="D106" s="13" t="s">
        <v>84</v>
      </c>
      <c r="E106" s="107">
        <v>25.69</v>
      </c>
      <c r="F106" s="107">
        <v>13</v>
      </c>
      <c r="G106" s="107">
        <v>6.15</v>
      </c>
      <c r="H106" s="107">
        <v>9.64</v>
      </c>
      <c r="I106" s="107">
        <v>3.8</v>
      </c>
      <c r="J106" s="107">
        <v>7</v>
      </c>
      <c r="K106" s="107">
        <f t="shared" si="0"/>
        <v>65.28</v>
      </c>
      <c r="L106" s="13" t="s">
        <v>545</v>
      </c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3">
      <c r="A107" s="12">
        <v>105</v>
      </c>
      <c r="B107" s="13" t="s">
        <v>87</v>
      </c>
      <c r="C107" s="13">
        <v>1787</v>
      </c>
      <c r="D107" s="13" t="s">
        <v>84</v>
      </c>
      <c r="E107" s="107">
        <v>27.97</v>
      </c>
      <c r="F107" s="118">
        <v>13</v>
      </c>
      <c r="G107" s="118">
        <v>6.15</v>
      </c>
      <c r="H107" s="118">
        <v>9.64</v>
      </c>
      <c r="I107" s="118">
        <v>3.8</v>
      </c>
      <c r="J107" s="118">
        <v>7</v>
      </c>
      <c r="K107" s="107">
        <f t="shared" si="0"/>
        <v>67.56</v>
      </c>
      <c r="L107" s="13" t="s">
        <v>576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3">
      <c r="A108" s="12">
        <v>106</v>
      </c>
      <c r="B108" s="13" t="s">
        <v>86</v>
      </c>
      <c r="C108" s="13">
        <v>1370</v>
      </c>
      <c r="D108" s="13" t="s">
        <v>84</v>
      </c>
      <c r="E108" s="107">
        <v>30.94</v>
      </c>
      <c r="F108" s="107">
        <v>15</v>
      </c>
      <c r="G108" s="107">
        <v>7.23</v>
      </c>
      <c r="H108" s="107">
        <v>11.72</v>
      </c>
      <c r="I108" s="107">
        <v>4.18</v>
      </c>
      <c r="J108" s="107">
        <v>7.75</v>
      </c>
      <c r="K108" s="107">
        <f t="shared" si="0"/>
        <v>76.819999999999993</v>
      </c>
      <c r="L108" s="13" t="s">
        <v>543</v>
      </c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3">
      <c r="A109" s="12">
        <v>107</v>
      </c>
      <c r="B109" s="13" t="s">
        <v>67</v>
      </c>
      <c r="C109" s="13">
        <v>1341</v>
      </c>
      <c r="D109" s="13" t="s">
        <v>64</v>
      </c>
      <c r="E109" s="107">
        <v>20.32</v>
      </c>
      <c r="F109" s="107">
        <v>11.61</v>
      </c>
      <c r="G109" s="107">
        <v>7</v>
      </c>
      <c r="H109" s="107">
        <v>12.63</v>
      </c>
      <c r="I109" s="107">
        <v>3.5</v>
      </c>
      <c r="J109" s="107">
        <v>7.17</v>
      </c>
      <c r="K109" s="107">
        <f t="shared" si="0"/>
        <v>62.230000000000004</v>
      </c>
      <c r="L109" s="13" t="s">
        <v>548</v>
      </c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3">
      <c r="A110" s="12">
        <v>108</v>
      </c>
      <c r="B110" s="116" t="s">
        <v>69</v>
      </c>
      <c r="C110" s="116">
        <v>1046</v>
      </c>
      <c r="D110" s="116" t="s">
        <v>64</v>
      </c>
      <c r="E110" s="115">
        <v>23.73</v>
      </c>
      <c r="F110" s="115">
        <v>9.64</v>
      </c>
      <c r="G110" s="115">
        <v>7</v>
      </c>
      <c r="H110" s="115">
        <v>12.63</v>
      </c>
      <c r="I110" s="115">
        <v>3.5</v>
      </c>
      <c r="J110" s="115">
        <v>7</v>
      </c>
      <c r="K110" s="115">
        <f t="shared" si="0"/>
        <v>63.500000000000007</v>
      </c>
      <c r="L110" s="116" t="s">
        <v>548</v>
      </c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</row>
    <row r="111" spans="1:26" ht="15.75" customHeight="1" x14ac:dyDescent="0.3">
      <c r="A111" s="12">
        <v>109</v>
      </c>
      <c r="B111" s="13" t="s">
        <v>65</v>
      </c>
      <c r="C111" s="13">
        <v>1593</v>
      </c>
      <c r="D111" s="13" t="s">
        <v>64</v>
      </c>
      <c r="E111" s="107">
        <v>19.649999999999999</v>
      </c>
      <c r="F111" s="107">
        <v>9.86</v>
      </c>
      <c r="G111" s="107">
        <v>6.8</v>
      </c>
      <c r="H111" s="107">
        <v>12.63</v>
      </c>
      <c r="I111" s="107">
        <v>3.5</v>
      </c>
      <c r="J111" s="107">
        <v>6.16</v>
      </c>
      <c r="K111" s="107">
        <f t="shared" si="0"/>
        <v>58.599999999999994</v>
      </c>
      <c r="L111" s="13" t="s">
        <v>548</v>
      </c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3">
      <c r="A112" s="12">
        <v>110</v>
      </c>
      <c r="B112" s="13" t="s">
        <v>63</v>
      </c>
      <c r="C112" s="13">
        <v>1921</v>
      </c>
      <c r="D112" s="13" t="s">
        <v>64</v>
      </c>
      <c r="E112" s="107">
        <v>22.88</v>
      </c>
      <c r="F112" s="107">
        <v>13.76</v>
      </c>
      <c r="G112" s="107">
        <v>7</v>
      </c>
      <c r="H112" s="107">
        <v>12.63</v>
      </c>
      <c r="I112" s="107">
        <v>3.5</v>
      </c>
      <c r="J112" s="107">
        <v>7</v>
      </c>
      <c r="K112" s="107">
        <f t="shared" si="0"/>
        <v>66.77000000000001</v>
      </c>
      <c r="L112" s="13" t="s">
        <v>548</v>
      </c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3">
      <c r="A113" s="12">
        <v>111</v>
      </c>
      <c r="B113" s="13" t="s">
        <v>68</v>
      </c>
      <c r="C113" s="13">
        <v>1884</v>
      </c>
      <c r="D113" s="13" t="s">
        <v>64</v>
      </c>
      <c r="E113" s="107">
        <v>26.42</v>
      </c>
      <c r="F113" s="107">
        <v>11.41</v>
      </c>
      <c r="G113" s="107">
        <v>7</v>
      </c>
      <c r="H113" s="107">
        <v>12.63</v>
      </c>
      <c r="I113" s="107">
        <v>3.5</v>
      </c>
      <c r="J113" s="107">
        <v>7</v>
      </c>
      <c r="K113" s="107">
        <f t="shared" si="0"/>
        <v>67.960000000000008</v>
      </c>
      <c r="L113" s="13" t="s">
        <v>548</v>
      </c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3">
      <c r="A114" s="12">
        <v>112</v>
      </c>
      <c r="B114" s="13" t="s">
        <v>70</v>
      </c>
      <c r="C114" s="13">
        <v>1337</v>
      </c>
      <c r="D114" s="13" t="s">
        <v>64</v>
      </c>
      <c r="E114" s="107">
        <v>26.07</v>
      </c>
      <c r="F114" s="107">
        <v>7.49</v>
      </c>
      <c r="G114" s="107">
        <v>6.78</v>
      </c>
      <c r="H114" s="107">
        <v>11.57</v>
      </c>
      <c r="I114" s="107">
        <v>4.18</v>
      </c>
      <c r="J114" s="107">
        <v>7.15</v>
      </c>
      <c r="K114" s="107">
        <f t="shared" si="0"/>
        <v>63.24</v>
      </c>
      <c r="L114" s="13" t="s">
        <v>543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3">
      <c r="A115" s="12">
        <v>113</v>
      </c>
      <c r="B115" s="13" t="s">
        <v>66</v>
      </c>
      <c r="C115" s="13">
        <v>1246</v>
      </c>
      <c r="D115" s="13" t="s">
        <v>64</v>
      </c>
      <c r="E115" s="107">
        <v>23.26</v>
      </c>
      <c r="F115" s="107">
        <v>13.16</v>
      </c>
      <c r="G115" s="107">
        <v>5.28</v>
      </c>
      <c r="H115" s="107">
        <v>10.6</v>
      </c>
      <c r="I115" s="107">
        <v>3.58</v>
      </c>
      <c r="J115" s="107">
        <v>5.76</v>
      </c>
      <c r="K115" s="107">
        <f t="shared" si="0"/>
        <v>61.64</v>
      </c>
      <c r="L115" s="13" t="s">
        <v>544</v>
      </c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3">
      <c r="A116" s="12">
        <v>114</v>
      </c>
      <c r="B116" s="13" t="s">
        <v>71</v>
      </c>
      <c r="C116" s="13">
        <v>1372</v>
      </c>
      <c r="D116" s="13" t="s">
        <v>64</v>
      </c>
      <c r="E116" s="107">
        <v>21.51</v>
      </c>
      <c r="F116" s="107">
        <v>8.18</v>
      </c>
      <c r="G116" s="107">
        <v>7</v>
      </c>
      <c r="H116" s="107">
        <v>12.63</v>
      </c>
      <c r="I116" s="107">
        <v>3.5</v>
      </c>
      <c r="J116" s="107">
        <v>7</v>
      </c>
      <c r="K116" s="107">
        <f t="shared" si="0"/>
        <v>59.82</v>
      </c>
      <c r="L116" s="13" t="s">
        <v>548</v>
      </c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3">
      <c r="A117" s="12">
        <v>115</v>
      </c>
      <c r="B117" s="13" t="s">
        <v>222</v>
      </c>
      <c r="C117" s="13">
        <v>695</v>
      </c>
      <c r="D117" s="13" t="s">
        <v>223</v>
      </c>
      <c r="E117" s="107">
        <v>22.73</v>
      </c>
      <c r="F117" s="107">
        <v>14.96</v>
      </c>
      <c r="G117" s="107">
        <v>6.88</v>
      </c>
      <c r="H117" s="107">
        <v>9.68</v>
      </c>
      <c r="I117" s="107">
        <v>2.9</v>
      </c>
      <c r="J117" s="107">
        <v>6.1</v>
      </c>
      <c r="K117" s="107">
        <f t="shared" si="0"/>
        <v>63.25</v>
      </c>
      <c r="L117" s="13" t="s">
        <v>548</v>
      </c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3">
      <c r="A118" s="12">
        <v>116</v>
      </c>
      <c r="B118" s="13" t="s">
        <v>224</v>
      </c>
      <c r="C118" s="13">
        <v>463</v>
      </c>
      <c r="D118" s="13" t="s">
        <v>223</v>
      </c>
      <c r="E118" s="107">
        <v>23.63</v>
      </c>
      <c r="F118" s="118">
        <v>14.96</v>
      </c>
      <c r="G118" s="118">
        <v>6.88</v>
      </c>
      <c r="H118" s="118">
        <v>9.68</v>
      </c>
      <c r="I118" s="118">
        <v>2.9</v>
      </c>
      <c r="J118" s="118">
        <v>6.1</v>
      </c>
      <c r="K118" s="107">
        <f t="shared" si="0"/>
        <v>64.150000000000006</v>
      </c>
      <c r="L118" s="13" t="s">
        <v>576</v>
      </c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3">
      <c r="A119" s="12">
        <v>117</v>
      </c>
      <c r="B119" s="13" t="s">
        <v>225</v>
      </c>
      <c r="C119" s="13">
        <v>296</v>
      </c>
      <c r="D119" s="13" t="s">
        <v>223</v>
      </c>
      <c r="E119" s="107">
        <v>30.77</v>
      </c>
      <c r="F119" s="107">
        <v>7.71</v>
      </c>
      <c r="G119" s="107">
        <v>4.33</v>
      </c>
      <c r="H119" s="107">
        <v>8.84</v>
      </c>
      <c r="I119" s="107">
        <v>3.93</v>
      </c>
      <c r="J119" s="107">
        <v>3.2</v>
      </c>
      <c r="K119" s="107">
        <f t="shared" si="0"/>
        <v>58.779999999999994</v>
      </c>
      <c r="L119" s="13" t="s">
        <v>548</v>
      </c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3">
      <c r="A120" s="12">
        <v>118</v>
      </c>
      <c r="B120" s="116" t="s">
        <v>226</v>
      </c>
      <c r="C120" s="116">
        <v>2581</v>
      </c>
      <c r="D120" s="116" t="s">
        <v>223</v>
      </c>
      <c r="E120" s="119">
        <v>35.97</v>
      </c>
      <c r="F120" s="115">
        <v>11.45</v>
      </c>
      <c r="G120" s="115">
        <v>4</v>
      </c>
      <c r="H120" s="115">
        <v>7.54</v>
      </c>
      <c r="I120" s="115">
        <v>2.7</v>
      </c>
      <c r="J120" s="115">
        <v>4.3600000000000003</v>
      </c>
      <c r="K120" s="115">
        <f t="shared" si="0"/>
        <v>66.02000000000001</v>
      </c>
      <c r="L120" s="116" t="s">
        <v>545</v>
      </c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</row>
    <row r="121" spans="1:26" ht="15.75" customHeight="1" x14ac:dyDescent="0.3">
      <c r="A121" s="12">
        <v>119</v>
      </c>
      <c r="B121" s="13" t="s">
        <v>93</v>
      </c>
      <c r="C121" s="13">
        <v>1126</v>
      </c>
      <c r="D121" s="13" t="s">
        <v>91</v>
      </c>
      <c r="E121" s="107">
        <v>23.01</v>
      </c>
      <c r="F121" s="107">
        <v>13.71</v>
      </c>
      <c r="G121" s="107">
        <v>5.08</v>
      </c>
      <c r="H121" s="107">
        <v>10.6</v>
      </c>
      <c r="I121" s="107">
        <v>3.18</v>
      </c>
      <c r="J121" s="107">
        <v>5.31</v>
      </c>
      <c r="K121" s="107">
        <f t="shared" si="0"/>
        <v>60.89</v>
      </c>
      <c r="L121" s="13" t="s">
        <v>544</v>
      </c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3">
      <c r="A122" s="12">
        <v>120</v>
      </c>
      <c r="B122" s="116" t="s">
        <v>90</v>
      </c>
      <c r="C122" s="116">
        <v>1523</v>
      </c>
      <c r="D122" s="116" t="s">
        <v>91</v>
      </c>
      <c r="E122" s="115">
        <v>31.88</v>
      </c>
      <c r="F122" s="115">
        <v>9.61</v>
      </c>
      <c r="G122" s="115">
        <v>5.58</v>
      </c>
      <c r="H122" s="115">
        <v>9.9499999999999993</v>
      </c>
      <c r="I122" s="115">
        <v>3.8</v>
      </c>
      <c r="J122" s="115">
        <v>6.41</v>
      </c>
      <c r="K122" s="115">
        <f t="shared" si="0"/>
        <v>67.22999999999999</v>
      </c>
      <c r="L122" s="116" t="s">
        <v>596</v>
      </c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</row>
    <row r="123" spans="1:26" ht="15.75" customHeight="1" x14ac:dyDescent="0.3">
      <c r="A123" s="12">
        <v>121</v>
      </c>
      <c r="B123" s="13" t="s">
        <v>92</v>
      </c>
      <c r="C123" s="13">
        <v>1744</v>
      </c>
      <c r="D123" s="13" t="s">
        <v>91</v>
      </c>
      <c r="E123" s="107">
        <v>25.02</v>
      </c>
      <c r="F123" s="107">
        <v>11.87</v>
      </c>
      <c r="G123" s="107">
        <v>4.54</v>
      </c>
      <c r="H123" s="107">
        <v>7.66</v>
      </c>
      <c r="I123" s="107">
        <v>2.2999999999999998</v>
      </c>
      <c r="J123" s="107">
        <v>5.16</v>
      </c>
      <c r="K123" s="107">
        <f t="shared" si="0"/>
        <v>56.55</v>
      </c>
      <c r="L123" s="13" t="s">
        <v>543</v>
      </c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3">
      <c r="A124" s="12">
        <v>122</v>
      </c>
      <c r="B124" s="116" t="s">
        <v>94</v>
      </c>
      <c r="C124" s="116">
        <v>1909</v>
      </c>
      <c r="D124" s="116" t="s">
        <v>91</v>
      </c>
      <c r="E124" s="115">
        <v>28.37</v>
      </c>
      <c r="F124" s="115">
        <v>11.03</v>
      </c>
      <c r="G124" s="115">
        <v>4.3600000000000003</v>
      </c>
      <c r="H124" s="115">
        <v>8.58</v>
      </c>
      <c r="I124" s="115">
        <v>3.1</v>
      </c>
      <c r="J124" s="115">
        <v>4.04</v>
      </c>
      <c r="K124" s="115">
        <f t="shared" si="0"/>
        <v>59.48</v>
      </c>
      <c r="L124" s="116" t="s">
        <v>599</v>
      </c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</row>
    <row r="125" spans="1:26" ht="15.75" customHeight="1" x14ac:dyDescent="0.3">
      <c r="A125" s="12">
        <v>123</v>
      </c>
      <c r="B125" s="13" t="s">
        <v>78</v>
      </c>
      <c r="C125" s="13">
        <v>1008</v>
      </c>
      <c r="D125" s="13" t="s">
        <v>75</v>
      </c>
      <c r="E125" s="107">
        <v>18.850000000000001</v>
      </c>
      <c r="F125" s="107">
        <v>11.9</v>
      </c>
      <c r="G125" s="107">
        <v>4.5999999999999996</v>
      </c>
      <c r="H125" s="107">
        <v>7.54</v>
      </c>
      <c r="I125" s="107">
        <v>3.18</v>
      </c>
      <c r="J125" s="107">
        <v>5</v>
      </c>
      <c r="K125" s="107">
        <f t="shared" si="0"/>
        <v>51.07</v>
      </c>
      <c r="L125" s="13" t="s">
        <v>543</v>
      </c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3">
      <c r="A126" s="12">
        <v>124</v>
      </c>
      <c r="B126" s="13" t="s">
        <v>81</v>
      </c>
      <c r="C126" s="13">
        <v>1090</v>
      </c>
      <c r="D126" s="13" t="s">
        <v>75</v>
      </c>
      <c r="E126" s="107">
        <v>23.44</v>
      </c>
      <c r="F126" s="107">
        <v>12.51</v>
      </c>
      <c r="G126" s="107">
        <v>3.94</v>
      </c>
      <c r="H126" s="107">
        <v>7.3</v>
      </c>
      <c r="I126" s="107">
        <v>3.18</v>
      </c>
      <c r="J126" s="107">
        <v>5</v>
      </c>
      <c r="K126" s="107">
        <f t="shared" si="0"/>
        <v>55.37</v>
      </c>
      <c r="L126" s="13" t="s">
        <v>543</v>
      </c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3">
      <c r="A127" s="12">
        <v>125</v>
      </c>
      <c r="B127" s="116" t="s">
        <v>79</v>
      </c>
      <c r="C127" s="116">
        <v>1449</v>
      </c>
      <c r="D127" s="116" t="s">
        <v>75</v>
      </c>
      <c r="E127" s="119">
        <v>37.79</v>
      </c>
      <c r="F127" s="115">
        <v>12.75</v>
      </c>
      <c r="G127" s="115">
        <v>4.8</v>
      </c>
      <c r="H127" s="115">
        <v>8.1</v>
      </c>
      <c r="I127" s="115">
        <v>3.5</v>
      </c>
      <c r="J127" s="115">
        <v>5.8</v>
      </c>
      <c r="K127" s="115">
        <f t="shared" si="0"/>
        <v>72.739999999999995</v>
      </c>
      <c r="L127" s="116" t="s">
        <v>545</v>
      </c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</row>
    <row r="128" spans="1:26" ht="15.75" customHeight="1" x14ac:dyDescent="0.3">
      <c r="A128" s="12">
        <v>126</v>
      </c>
      <c r="B128" s="116" t="s">
        <v>74</v>
      </c>
      <c r="C128" s="116">
        <v>1843</v>
      </c>
      <c r="D128" s="116" t="s">
        <v>75</v>
      </c>
      <c r="E128" s="115">
        <v>27.72</v>
      </c>
      <c r="F128" s="115">
        <v>12.03</v>
      </c>
      <c r="G128" s="115">
        <v>4.5999999999999996</v>
      </c>
      <c r="H128" s="115">
        <v>8.18</v>
      </c>
      <c r="I128" s="115">
        <v>3.5</v>
      </c>
      <c r="J128" s="115">
        <v>5.64</v>
      </c>
      <c r="K128" s="115">
        <f t="shared" si="0"/>
        <v>61.67</v>
      </c>
      <c r="L128" s="116" t="s">
        <v>599</v>
      </c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</row>
    <row r="129" spans="1:26" ht="15.75" customHeight="1" x14ac:dyDescent="0.3">
      <c r="A129" s="12">
        <v>127</v>
      </c>
      <c r="B129" s="116" t="s">
        <v>77</v>
      </c>
      <c r="C129" s="116">
        <v>1057</v>
      </c>
      <c r="D129" s="116" t="s">
        <v>75</v>
      </c>
      <c r="E129" s="115">
        <v>31.79</v>
      </c>
      <c r="F129" s="115">
        <v>13.64</v>
      </c>
      <c r="G129" s="115">
        <v>6.48</v>
      </c>
      <c r="H129" s="115">
        <v>8.5299999999999994</v>
      </c>
      <c r="I129" s="115">
        <v>4.25</v>
      </c>
      <c r="J129" s="115">
        <v>7.9</v>
      </c>
      <c r="K129" s="115">
        <f t="shared" si="0"/>
        <v>72.59</v>
      </c>
      <c r="L129" s="116" t="s">
        <v>543</v>
      </c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</row>
    <row r="130" spans="1:26" ht="15.75" customHeight="1" x14ac:dyDescent="0.3">
      <c r="A130" s="12">
        <v>128</v>
      </c>
      <c r="B130" s="116" t="s">
        <v>33</v>
      </c>
      <c r="C130" s="116">
        <v>1393</v>
      </c>
      <c r="D130" s="116" t="s">
        <v>26</v>
      </c>
      <c r="E130" s="119">
        <v>38.119999999999997</v>
      </c>
      <c r="F130" s="115">
        <v>14.2</v>
      </c>
      <c r="G130" s="115">
        <v>8.15</v>
      </c>
      <c r="H130" s="115">
        <v>11.51</v>
      </c>
      <c r="I130" s="115">
        <v>3.88</v>
      </c>
      <c r="J130" s="115">
        <v>7.23</v>
      </c>
      <c r="K130" s="115">
        <f t="shared" si="0"/>
        <v>83.089999999999989</v>
      </c>
      <c r="L130" s="116" t="s">
        <v>607</v>
      </c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</row>
    <row r="131" spans="1:26" ht="15.75" customHeight="1" x14ac:dyDescent="0.3">
      <c r="A131" s="12">
        <v>129</v>
      </c>
      <c r="B131" s="13" t="s">
        <v>29</v>
      </c>
      <c r="C131" s="13">
        <v>1447</v>
      </c>
      <c r="D131" s="13" t="s">
        <v>26</v>
      </c>
      <c r="E131" s="107">
        <v>28.1</v>
      </c>
      <c r="F131" s="107">
        <v>11.53</v>
      </c>
      <c r="G131" s="107">
        <v>7.56</v>
      </c>
      <c r="H131" s="107">
        <v>11.25</v>
      </c>
      <c r="I131" s="107">
        <v>3.73</v>
      </c>
      <c r="J131" s="107">
        <v>7.53</v>
      </c>
      <c r="K131" s="107">
        <f t="shared" si="0"/>
        <v>69.7</v>
      </c>
      <c r="L131" s="13" t="s">
        <v>545</v>
      </c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3">
      <c r="A132" s="12">
        <v>130</v>
      </c>
      <c r="B132" s="116" t="s">
        <v>27</v>
      </c>
      <c r="C132" s="116">
        <v>1239</v>
      </c>
      <c r="D132" s="116" t="s">
        <v>26</v>
      </c>
      <c r="E132" s="115">
        <v>24.92</v>
      </c>
      <c r="F132" s="115">
        <v>14.53</v>
      </c>
      <c r="G132" s="115">
        <v>8.0299999999999994</v>
      </c>
      <c r="H132" s="115">
        <v>11.9</v>
      </c>
      <c r="I132" s="115">
        <v>3.88</v>
      </c>
      <c r="J132" s="115">
        <v>7.06</v>
      </c>
      <c r="K132" s="115">
        <f t="shared" si="0"/>
        <v>70.320000000000007</v>
      </c>
      <c r="L132" s="116" t="s">
        <v>607</v>
      </c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</row>
    <row r="133" spans="1:26" ht="15.75" customHeight="1" x14ac:dyDescent="0.3">
      <c r="A133" s="12">
        <v>131</v>
      </c>
      <c r="B133" s="116" t="s">
        <v>32</v>
      </c>
      <c r="C133" s="116">
        <v>1244</v>
      </c>
      <c r="D133" s="116" t="s">
        <v>26</v>
      </c>
      <c r="E133" s="119">
        <v>36.950000000000003</v>
      </c>
      <c r="F133" s="115">
        <v>14.66</v>
      </c>
      <c r="G133" s="115">
        <v>7.88</v>
      </c>
      <c r="H133" s="115">
        <v>11.58</v>
      </c>
      <c r="I133" s="115">
        <v>4.0599999999999996</v>
      </c>
      <c r="J133" s="115">
        <v>7.53</v>
      </c>
      <c r="K133" s="115">
        <f t="shared" si="0"/>
        <v>82.660000000000011</v>
      </c>
      <c r="L133" s="116" t="s">
        <v>545</v>
      </c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</row>
    <row r="134" spans="1:26" ht="15.75" customHeight="1" x14ac:dyDescent="0.3">
      <c r="A134" s="12">
        <v>132</v>
      </c>
      <c r="B134" s="13" t="s">
        <v>31</v>
      </c>
      <c r="C134" s="13">
        <v>1879</v>
      </c>
      <c r="D134" s="13" t="s">
        <v>26</v>
      </c>
      <c r="E134" s="107">
        <v>21.97</v>
      </c>
      <c r="F134" s="107">
        <v>11.42</v>
      </c>
      <c r="G134" s="107">
        <v>7</v>
      </c>
      <c r="H134" s="107">
        <v>10.5</v>
      </c>
      <c r="I134" s="107">
        <v>3.5</v>
      </c>
      <c r="J134" s="107">
        <v>3</v>
      </c>
      <c r="K134" s="107">
        <f t="shared" si="0"/>
        <v>57.39</v>
      </c>
      <c r="L134" s="13" t="s">
        <v>543</v>
      </c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3">
      <c r="A135" s="12">
        <v>133</v>
      </c>
      <c r="B135" s="116" t="s">
        <v>25</v>
      </c>
      <c r="C135" s="116">
        <v>2188</v>
      </c>
      <c r="D135" s="116" t="s">
        <v>26</v>
      </c>
      <c r="E135" s="115">
        <v>30.37</v>
      </c>
      <c r="F135" s="115">
        <v>13.02</v>
      </c>
      <c r="G135" s="115">
        <v>7.77</v>
      </c>
      <c r="H135" s="115">
        <v>11.61</v>
      </c>
      <c r="I135" s="115">
        <v>3.95</v>
      </c>
      <c r="J135" s="115">
        <v>7</v>
      </c>
      <c r="K135" s="115">
        <f t="shared" si="0"/>
        <v>73.72</v>
      </c>
      <c r="L135" s="116" t="s">
        <v>545</v>
      </c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</row>
    <row r="136" spans="1:26" ht="15.75" customHeight="1" x14ac:dyDescent="0.3">
      <c r="A136" s="12">
        <v>134</v>
      </c>
      <c r="B136" s="116" t="s">
        <v>30</v>
      </c>
      <c r="C136" s="116">
        <v>2056</v>
      </c>
      <c r="D136" s="116" t="s">
        <v>26</v>
      </c>
      <c r="E136" s="115">
        <v>28.8</v>
      </c>
      <c r="F136" s="115">
        <v>10.56</v>
      </c>
      <c r="G136" s="115">
        <v>7.8</v>
      </c>
      <c r="H136" s="115">
        <v>11.61</v>
      </c>
      <c r="I136" s="115">
        <v>3.8</v>
      </c>
      <c r="J136" s="115">
        <v>7</v>
      </c>
      <c r="K136" s="115">
        <f t="shared" si="0"/>
        <v>69.569999999999993</v>
      </c>
      <c r="L136" s="116" t="s">
        <v>545</v>
      </c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</row>
    <row r="137" spans="1:26" ht="15.75" customHeight="1" x14ac:dyDescent="0.3">
      <c r="A137" s="12">
        <v>135</v>
      </c>
      <c r="B137" s="13" t="s">
        <v>28</v>
      </c>
      <c r="C137" s="13">
        <v>2323</v>
      </c>
      <c r="D137" s="13" t="s">
        <v>26</v>
      </c>
      <c r="E137" s="107">
        <v>20.18</v>
      </c>
      <c r="F137" s="107">
        <v>12.05</v>
      </c>
      <c r="G137" s="107">
        <v>7.56</v>
      </c>
      <c r="H137" s="107">
        <v>11.37</v>
      </c>
      <c r="I137" s="107">
        <v>3.65</v>
      </c>
      <c r="J137" s="107">
        <v>8.0500000000000007</v>
      </c>
      <c r="K137" s="107">
        <f t="shared" si="0"/>
        <v>62.86</v>
      </c>
      <c r="L137" s="13" t="s">
        <v>545</v>
      </c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3">
      <c r="A138" s="12">
        <v>136</v>
      </c>
      <c r="B138" s="13" t="s">
        <v>46</v>
      </c>
      <c r="C138" s="13">
        <v>1920</v>
      </c>
      <c r="D138" s="13" t="s">
        <v>43</v>
      </c>
      <c r="E138" s="107">
        <v>22.26</v>
      </c>
      <c r="F138" s="107">
        <v>13</v>
      </c>
      <c r="G138" s="107">
        <v>7.86</v>
      </c>
      <c r="H138" s="107">
        <v>11.36</v>
      </c>
      <c r="I138" s="107">
        <v>3.95</v>
      </c>
      <c r="J138" s="107">
        <v>7</v>
      </c>
      <c r="K138" s="107">
        <f t="shared" si="0"/>
        <v>65.430000000000007</v>
      </c>
      <c r="L138" s="13" t="s">
        <v>613</v>
      </c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3">
      <c r="A139" s="12">
        <v>137</v>
      </c>
      <c r="B139" s="13" t="s">
        <v>44</v>
      </c>
      <c r="C139" s="13">
        <v>1867</v>
      </c>
      <c r="D139" s="13" t="s">
        <v>43</v>
      </c>
      <c r="E139" s="107">
        <v>25.75</v>
      </c>
      <c r="F139" s="107">
        <v>12.23</v>
      </c>
      <c r="G139" s="107">
        <v>7.83</v>
      </c>
      <c r="H139" s="107">
        <v>11.25</v>
      </c>
      <c r="I139" s="107">
        <v>3.8</v>
      </c>
      <c r="J139" s="107">
        <v>7</v>
      </c>
      <c r="K139" s="107">
        <f t="shared" si="0"/>
        <v>67.86</v>
      </c>
      <c r="L139" s="13" t="s">
        <v>543</v>
      </c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3">
      <c r="A140" s="12">
        <v>138</v>
      </c>
      <c r="B140" s="13" t="s">
        <v>47</v>
      </c>
      <c r="C140" s="13">
        <v>1262</v>
      </c>
      <c r="D140" s="13" t="s">
        <v>43</v>
      </c>
      <c r="E140" s="107">
        <v>23.34</v>
      </c>
      <c r="F140" s="107">
        <v>13.36</v>
      </c>
      <c r="G140" s="107">
        <v>7.88</v>
      </c>
      <c r="H140" s="107">
        <v>12.03</v>
      </c>
      <c r="I140" s="107">
        <v>4.03</v>
      </c>
      <c r="J140" s="107">
        <v>7.62</v>
      </c>
      <c r="K140" s="107">
        <f t="shared" si="0"/>
        <v>68.260000000000005</v>
      </c>
      <c r="L140" s="13" t="s">
        <v>547</v>
      </c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3">
      <c r="A141" s="12">
        <v>139</v>
      </c>
      <c r="B141" s="13" t="s">
        <v>42</v>
      </c>
      <c r="C141" s="13">
        <v>1094</v>
      </c>
      <c r="D141" s="13" t="s">
        <v>43</v>
      </c>
      <c r="E141" s="107">
        <v>19.23</v>
      </c>
      <c r="F141" s="107">
        <v>10.34</v>
      </c>
      <c r="G141" s="107">
        <v>7</v>
      </c>
      <c r="H141" s="107">
        <v>10.5</v>
      </c>
      <c r="I141" s="107">
        <v>3.5</v>
      </c>
      <c r="J141" s="107">
        <v>7</v>
      </c>
      <c r="K141" s="107">
        <f t="shared" si="0"/>
        <v>57.57</v>
      </c>
      <c r="L141" s="13" t="s">
        <v>543</v>
      </c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3">
      <c r="A142" s="12">
        <v>140</v>
      </c>
      <c r="B142" s="13" t="s">
        <v>45</v>
      </c>
      <c r="C142" s="13">
        <v>1088</v>
      </c>
      <c r="D142" s="13" t="s">
        <v>43</v>
      </c>
      <c r="E142" s="107">
        <v>28.09</v>
      </c>
      <c r="F142" s="107">
        <v>14.86</v>
      </c>
      <c r="G142" s="107">
        <v>7.98</v>
      </c>
      <c r="H142" s="107">
        <v>11.5</v>
      </c>
      <c r="I142" s="107">
        <v>3.18</v>
      </c>
      <c r="J142" s="107">
        <v>7.6</v>
      </c>
      <c r="K142" s="107">
        <f t="shared" si="0"/>
        <v>73.210000000000008</v>
      </c>
      <c r="L142" s="13" t="s">
        <v>547</v>
      </c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3">
      <c r="A143" s="12">
        <v>141</v>
      </c>
      <c r="B143" s="13" t="s">
        <v>204</v>
      </c>
      <c r="C143" s="13">
        <v>1151</v>
      </c>
      <c r="D143" s="13" t="s">
        <v>205</v>
      </c>
      <c r="E143" s="107">
        <v>21.41</v>
      </c>
      <c r="F143" s="107">
        <v>13.55</v>
      </c>
      <c r="G143" s="107">
        <v>3.76</v>
      </c>
      <c r="H143" s="107">
        <v>9.6999999999999993</v>
      </c>
      <c r="I143" s="107">
        <v>3.5</v>
      </c>
      <c r="J143" s="107">
        <v>5.56</v>
      </c>
      <c r="K143" s="107">
        <f t="shared" si="0"/>
        <v>57.480000000000004</v>
      </c>
      <c r="L143" s="13" t="s">
        <v>544</v>
      </c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3">
      <c r="A144" s="12">
        <v>142</v>
      </c>
      <c r="B144" s="116" t="s">
        <v>206</v>
      </c>
      <c r="C144" s="116">
        <v>319</v>
      </c>
      <c r="D144" s="116" t="s">
        <v>205</v>
      </c>
      <c r="E144" s="115">
        <v>22.33</v>
      </c>
      <c r="F144" s="115">
        <v>11.96</v>
      </c>
      <c r="G144" s="115">
        <v>5.0599999999999996</v>
      </c>
      <c r="H144" s="115">
        <v>10.71</v>
      </c>
      <c r="I144" s="115">
        <v>3.5</v>
      </c>
      <c r="J144" s="115">
        <v>7.95</v>
      </c>
      <c r="K144" s="115">
        <f t="shared" si="0"/>
        <v>61.510000000000005</v>
      </c>
      <c r="L144" s="116" t="s">
        <v>543</v>
      </c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</row>
    <row r="145" spans="1:26" ht="15.75" customHeight="1" x14ac:dyDescent="0.3">
      <c r="A145" s="12">
        <v>143</v>
      </c>
      <c r="B145" s="13" t="s">
        <v>207</v>
      </c>
      <c r="C145" s="13">
        <v>309</v>
      </c>
      <c r="D145" s="13" t="s">
        <v>208</v>
      </c>
      <c r="E145" s="107">
        <v>26.08</v>
      </c>
      <c r="F145" s="107">
        <v>14.97</v>
      </c>
      <c r="G145" s="107">
        <v>6.31</v>
      </c>
      <c r="H145" s="107">
        <v>13.15</v>
      </c>
      <c r="I145" s="107">
        <v>4.25</v>
      </c>
      <c r="J145" s="107">
        <v>7.46</v>
      </c>
      <c r="K145" s="107">
        <f t="shared" si="0"/>
        <v>72.219999999999985</v>
      </c>
      <c r="L145" s="13" t="s">
        <v>543</v>
      </c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3">
      <c r="A146" s="12">
        <v>144</v>
      </c>
      <c r="B146" s="13" t="s">
        <v>209</v>
      </c>
      <c r="C146" s="13">
        <v>350</v>
      </c>
      <c r="D146" s="13" t="s">
        <v>208</v>
      </c>
      <c r="E146" s="107">
        <v>19.32</v>
      </c>
      <c r="F146" s="107">
        <v>4.95</v>
      </c>
      <c r="G146" s="107">
        <v>7.66</v>
      </c>
      <c r="H146" s="107">
        <v>12.75</v>
      </c>
      <c r="I146" s="107">
        <v>4.25</v>
      </c>
      <c r="J146" s="107">
        <v>8.41</v>
      </c>
      <c r="K146" s="107">
        <f t="shared" si="0"/>
        <v>57.34</v>
      </c>
      <c r="L146" s="13" t="s">
        <v>543</v>
      </c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3">
      <c r="A147" s="12">
        <v>145</v>
      </c>
      <c r="B147" s="13" t="s">
        <v>210</v>
      </c>
      <c r="C147" s="13">
        <v>63</v>
      </c>
      <c r="D147" s="13" t="s">
        <v>208</v>
      </c>
      <c r="E147" s="107">
        <v>24.78</v>
      </c>
      <c r="F147" s="107">
        <v>14.94</v>
      </c>
      <c r="G147" s="107">
        <v>8.6999999999999993</v>
      </c>
      <c r="H147" s="107">
        <v>12.75</v>
      </c>
      <c r="I147" s="107">
        <v>4.75</v>
      </c>
      <c r="J147" s="107">
        <v>7.7</v>
      </c>
      <c r="K147" s="107">
        <f t="shared" si="0"/>
        <v>73.62</v>
      </c>
      <c r="L147" s="13" t="s">
        <v>543</v>
      </c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3">
      <c r="A148" s="12">
        <v>146</v>
      </c>
      <c r="B148" s="29" t="s">
        <v>211</v>
      </c>
      <c r="C148" s="29">
        <v>777</v>
      </c>
      <c r="D148" s="29" t="s">
        <v>212</v>
      </c>
      <c r="E148" s="113">
        <v>26.2</v>
      </c>
      <c r="F148" s="128">
        <v>14.64</v>
      </c>
      <c r="G148" s="113">
        <v>5.75</v>
      </c>
      <c r="H148" s="113">
        <v>12.75</v>
      </c>
      <c r="I148" s="113">
        <v>4.25</v>
      </c>
      <c r="J148" s="113">
        <v>7.74</v>
      </c>
      <c r="K148" s="113">
        <f t="shared" si="0"/>
        <v>71.33</v>
      </c>
      <c r="L148" s="29" t="s">
        <v>543</v>
      </c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3">
      <c r="A149" s="12">
        <v>147</v>
      </c>
      <c r="B149" s="13" t="s">
        <v>213</v>
      </c>
      <c r="C149" s="13">
        <v>80</v>
      </c>
      <c r="D149" s="13" t="s">
        <v>208</v>
      </c>
      <c r="E149" s="118">
        <v>24.52</v>
      </c>
      <c r="F149" s="118">
        <v>11.29</v>
      </c>
      <c r="G149" s="107">
        <v>3.8</v>
      </c>
      <c r="H149" s="107">
        <v>12.75</v>
      </c>
      <c r="I149" s="107">
        <v>4.25</v>
      </c>
      <c r="J149" s="107">
        <v>6.7</v>
      </c>
      <c r="K149" s="107">
        <f t="shared" si="0"/>
        <v>63.31</v>
      </c>
      <c r="L149" s="13" t="s">
        <v>543</v>
      </c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3">
      <c r="A150" s="12">
        <v>148</v>
      </c>
      <c r="B150" s="13" t="s">
        <v>18</v>
      </c>
      <c r="C150" s="13">
        <v>1074</v>
      </c>
      <c r="D150" s="13" t="s">
        <v>19</v>
      </c>
      <c r="E150" s="107">
        <v>23.65</v>
      </c>
      <c r="F150" s="107">
        <v>10.16</v>
      </c>
      <c r="G150" s="107">
        <v>5</v>
      </c>
      <c r="H150" s="107">
        <v>9.8000000000000007</v>
      </c>
      <c r="I150" s="107">
        <v>3.38</v>
      </c>
      <c r="J150" s="107">
        <v>5.16</v>
      </c>
      <c r="K150" s="107">
        <f t="shared" si="0"/>
        <v>57.150000000000006</v>
      </c>
      <c r="L150" s="13" t="s">
        <v>544</v>
      </c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3">
      <c r="A151" s="12">
        <v>149</v>
      </c>
      <c r="B151" s="13" t="s">
        <v>20</v>
      </c>
      <c r="C151" s="13">
        <v>1499</v>
      </c>
      <c r="D151" s="13" t="s">
        <v>19</v>
      </c>
      <c r="E151" s="107">
        <v>27.53</v>
      </c>
      <c r="F151" s="107">
        <v>15</v>
      </c>
      <c r="G151" s="107">
        <v>7.14</v>
      </c>
      <c r="H151" s="107">
        <v>11.57</v>
      </c>
      <c r="I151" s="107">
        <v>4.25</v>
      </c>
      <c r="J151" s="107">
        <v>8.11</v>
      </c>
      <c r="K151" s="107">
        <f t="shared" si="0"/>
        <v>73.600000000000009</v>
      </c>
      <c r="L151" s="13" t="s">
        <v>543</v>
      </c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3">
      <c r="A152" s="12">
        <v>150</v>
      </c>
      <c r="B152" s="116" t="s">
        <v>98</v>
      </c>
      <c r="C152" s="116">
        <v>2184</v>
      </c>
      <c r="D152" s="116" t="s">
        <v>99</v>
      </c>
      <c r="E152" s="115">
        <v>27.6</v>
      </c>
      <c r="F152" s="115">
        <v>12.67</v>
      </c>
      <c r="G152" s="115">
        <v>4.4000000000000004</v>
      </c>
      <c r="H152" s="115">
        <v>7.62</v>
      </c>
      <c r="I152" s="115">
        <v>3.1</v>
      </c>
      <c r="J152" s="115">
        <v>5.56</v>
      </c>
      <c r="K152" s="115">
        <f t="shared" si="0"/>
        <v>60.95</v>
      </c>
      <c r="L152" s="116" t="s">
        <v>543</v>
      </c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</row>
    <row r="153" spans="1:26" ht="15.75" customHeight="1" x14ac:dyDescent="0.3">
      <c r="A153" s="12">
        <v>151</v>
      </c>
      <c r="B153" s="116" t="s">
        <v>10</v>
      </c>
      <c r="C153" s="116">
        <v>1736</v>
      </c>
      <c r="D153" s="116" t="s">
        <v>9</v>
      </c>
      <c r="E153" s="115">
        <v>24.43</v>
      </c>
      <c r="F153" s="115">
        <v>11.81</v>
      </c>
      <c r="G153" s="115">
        <v>4.2</v>
      </c>
      <c r="H153" s="115">
        <v>7.3</v>
      </c>
      <c r="I153" s="115">
        <v>3.58</v>
      </c>
      <c r="J153" s="115">
        <v>4.16</v>
      </c>
      <c r="K153" s="115">
        <f t="shared" si="0"/>
        <v>55.480000000000004</v>
      </c>
      <c r="L153" s="116" t="s">
        <v>543</v>
      </c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</row>
    <row r="154" spans="1:26" ht="15.75" customHeight="1" x14ac:dyDescent="0.3">
      <c r="A154" s="12">
        <v>152</v>
      </c>
      <c r="B154" s="29" t="s">
        <v>11</v>
      </c>
      <c r="C154" s="29">
        <v>1074</v>
      </c>
      <c r="D154" s="29" t="s">
        <v>9</v>
      </c>
      <c r="E154" s="113">
        <v>26.12</v>
      </c>
      <c r="F154" s="113">
        <v>13.99</v>
      </c>
      <c r="G154" s="113">
        <v>6.63</v>
      </c>
      <c r="H154" s="113">
        <v>11.4</v>
      </c>
      <c r="I154" s="113">
        <v>3.63</v>
      </c>
      <c r="J154" s="113">
        <v>7.03</v>
      </c>
      <c r="K154" s="113">
        <f t="shared" si="0"/>
        <v>68.8</v>
      </c>
      <c r="L154" s="29" t="s">
        <v>543</v>
      </c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3">
      <c r="A155" s="12">
        <v>153</v>
      </c>
      <c r="B155" s="116" t="s">
        <v>8</v>
      </c>
      <c r="C155" s="116">
        <v>1523</v>
      </c>
      <c r="D155" s="116" t="s">
        <v>9</v>
      </c>
      <c r="E155" s="119">
        <v>39.229999999999997</v>
      </c>
      <c r="F155" s="115">
        <v>5.47</v>
      </c>
      <c r="G155" s="115">
        <v>4.24</v>
      </c>
      <c r="H155" s="115">
        <v>8.58</v>
      </c>
      <c r="I155" s="115">
        <v>3.5</v>
      </c>
      <c r="J155" s="115">
        <v>5.8</v>
      </c>
      <c r="K155" s="115">
        <f t="shared" si="0"/>
        <v>66.819999999999993</v>
      </c>
      <c r="L155" s="116" t="s">
        <v>543</v>
      </c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</row>
    <row r="156" spans="1:26" ht="15" customHeight="1" x14ac:dyDescent="0.3">
      <c r="A156" s="12">
        <v>154</v>
      </c>
      <c r="B156" s="116" t="s">
        <v>5</v>
      </c>
      <c r="C156" s="116">
        <v>1085</v>
      </c>
      <c r="D156" s="116" t="s">
        <v>6</v>
      </c>
      <c r="E156" s="115">
        <v>19.28</v>
      </c>
      <c r="F156" s="115">
        <v>12.21</v>
      </c>
      <c r="G156" s="115">
        <v>4.2</v>
      </c>
      <c r="H156" s="115">
        <v>8.18</v>
      </c>
      <c r="I156" s="115">
        <v>2.93</v>
      </c>
      <c r="J156" s="115">
        <v>4.84</v>
      </c>
      <c r="K156" s="115">
        <f t="shared" si="0"/>
        <v>51.64</v>
      </c>
      <c r="L156" s="116" t="s">
        <v>547</v>
      </c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</row>
    <row r="157" spans="1:26" ht="15.75" customHeight="1" x14ac:dyDescent="0.3">
      <c r="A157" s="12">
        <v>155</v>
      </c>
      <c r="B157" s="13" t="s">
        <v>7</v>
      </c>
      <c r="C157" s="13">
        <v>1807</v>
      </c>
      <c r="D157" s="13" t="s">
        <v>6</v>
      </c>
      <c r="E157" s="107">
        <v>24.98</v>
      </c>
      <c r="F157" s="107">
        <v>12.34</v>
      </c>
      <c r="G157" s="107">
        <v>3.94</v>
      </c>
      <c r="H157" s="107">
        <v>7.46</v>
      </c>
      <c r="I157" s="107">
        <v>2.78</v>
      </c>
      <c r="J157" s="107">
        <v>3.4</v>
      </c>
      <c r="K157" s="107">
        <f t="shared" si="0"/>
        <v>54.9</v>
      </c>
      <c r="L157" s="13" t="s">
        <v>543</v>
      </c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3">
      <c r="A158" s="12">
        <v>156</v>
      </c>
      <c r="B158" s="29" t="s">
        <v>96</v>
      </c>
      <c r="C158" s="29">
        <v>1799</v>
      </c>
      <c r="D158" s="29" t="s">
        <v>97</v>
      </c>
      <c r="E158" s="113">
        <v>16.09</v>
      </c>
      <c r="F158" s="113">
        <v>12.86</v>
      </c>
      <c r="G158" s="113">
        <v>4.68</v>
      </c>
      <c r="H158" s="113">
        <v>10.78</v>
      </c>
      <c r="I158" s="113">
        <v>3.65</v>
      </c>
      <c r="J158" s="113">
        <v>4.16</v>
      </c>
      <c r="K158" s="107">
        <f t="shared" si="0"/>
        <v>52.22</v>
      </c>
      <c r="L158" s="29" t="s">
        <v>544</v>
      </c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3">
      <c r="A159" s="12">
        <v>157</v>
      </c>
      <c r="B159" s="116" t="s">
        <v>72</v>
      </c>
      <c r="C159" s="116">
        <v>2462</v>
      </c>
      <c r="D159" s="116" t="s">
        <v>73</v>
      </c>
      <c r="E159" s="119">
        <v>36.450000000000003</v>
      </c>
      <c r="F159" s="115">
        <v>11.15</v>
      </c>
      <c r="G159" s="115">
        <v>3.3</v>
      </c>
      <c r="H159" s="115">
        <v>7.06</v>
      </c>
      <c r="I159" s="115">
        <v>2.2999999999999998</v>
      </c>
      <c r="J159" s="115">
        <v>4.76</v>
      </c>
      <c r="K159" s="115">
        <f t="shared" si="0"/>
        <v>65.02</v>
      </c>
      <c r="L159" s="116" t="s">
        <v>545</v>
      </c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</row>
    <row r="160" spans="1:26" ht="15.75" customHeight="1" x14ac:dyDescent="0.3">
      <c r="A160" s="12">
        <v>158</v>
      </c>
      <c r="B160" s="97" t="s">
        <v>100</v>
      </c>
      <c r="C160" s="97">
        <v>1424</v>
      </c>
      <c r="D160" s="97" t="s">
        <v>101</v>
      </c>
      <c r="E160" s="129">
        <v>23.77</v>
      </c>
      <c r="F160" s="129">
        <v>12.38</v>
      </c>
      <c r="G160" s="129">
        <v>4.4000000000000004</v>
      </c>
      <c r="H160" s="129">
        <v>7.46</v>
      </c>
      <c r="I160" s="129">
        <v>3.73</v>
      </c>
      <c r="J160" s="129">
        <v>5.8</v>
      </c>
      <c r="K160" s="107">
        <f t="shared" si="0"/>
        <v>57.539999999999992</v>
      </c>
      <c r="L160" s="97" t="s">
        <v>543</v>
      </c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3:11" ht="15.75" customHeight="1" x14ac:dyDescent="0.3">
      <c r="C161" s="100">
        <f>SUM(C3:C160)</f>
        <v>149988</v>
      </c>
    </row>
    <row r="162" spans="3:11" ht="15.75" customHeight="1" x14ac:dyDescent="0.3">
      <c r="E162" s="109">
        <f t="shared" ref="E162:K162" si="1">+AVERAGE(E3:E160)</f>
        <v>24.82487341772152</v>
      </c>
      <c r="F162" s="109">
        <f t="shared" si="1"/>
        <v>12.310696202531652</v>
      </c>
      <c r="G162" s="109">
        <f t="shared" si="1"/>
        <v>6.2031012658227844</v>
      </c>
      <c r="H162" s="109">
        <f t="shared" si="1"/>
        <v>10.049202531645566</v>
      </c>
      <c r="I162" s="109">
        <f t="shared" si="1"/>
        <v>3.4903797468354423</v>
      </c>
      <c r="J162" s="109">
        <f t="shared" si="1"/>
        <v>5.9534810126582238</v>
      </c>
      <c r="K162" s="109">
        <f t="shared" si="1"/>
        <v>62.831734177215147</v>
      </c>
    </row>
    <row r="163" spans="3:11" ht="15.75" customHeight="1" x14ac:dyDescent="0.3">
      <c r="K163" s="109"/>
    </row>
    <row r="164" spans="3:11" ht="15.75" customHeight="1" x14ac:dyDescent="0.3"/>
    <row r="165" spans="3:11" ht="15.75" customHeight="1" x14ac:dyDescent="0.3"/>
    <row r="166" spans="3:11" ht="15.75" customHeight="1" x14ac:dyDescent="0.3"/>
    <row r="167" spans="3:11" ht="15.75" customHeight="1" x14ac:dyDescent="0.3"/>
    <row r="168" spans="3:11" ht="15.75" customHeight="1" x14ac:dyDescent="0.3"/>
    <row r="169" spans="3:11" ht="15.75" customHeight="1" x14ac:dyDescent="0.3"/>
    <row r="170" spans="3:11" ht="15.75" customHeight="1" x14ac:dyDescent="0.3"/>
    <row r="171" spans="3:11" ht="15.75" customHeight="1" x14ac:dyDescent="0.3"/>
    <row r="172" spans="3:11" ht="15.75" customHeight="1" x14ac:dyDescent="0.3"/>
    <row r="173" spans="3:11" ht="15.75" customHeight="1" x14ac:dyDescent="0.3"/>
    <row r="174" spans="3:11" ht="15.75" customHeight="1" x14ac:dyDescent="0.3"/>
    <row r="175" spans="3:11" ht="15.75" customHeight="1" x14ac:dyDescent="0.3"/>
    <row r="176" spans="3:11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D1"/>
  </mergeCells>
  <pageMargins left="0.70866141732283472" right="0.70866141732283472" top="0.74803149606299213" bottom="0.74803149606299213" header="0" footer="0"/>
  <pageSetup paperSize="9" orientation="portrait"/>
  <rowBreaks count="1" manualBreakCount="1">
    <brk id="5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V1000"/>
  <sheetViews>
    <sheetView workbookViewId="0"/>
  </sheetViews>
  <sheetFormatPr defaultColWidth="14.44140625" defaultRowHeight="15" customHeight="1" x14ac:dyDescent="0.3"/>
  <cols>
    <col min="1" max="1" width="8.6640625" customWidth="1"/>
    <col min="2" max="4" width="13.44140625" customWidth="1"/>
    <col min="5" max="5" width="8.6640625" customWidth="1"/>
    <col min="6" max="7" width="10.88671875" customWidth="1"/>
    <col min="8" max="14" width="8.6640625" customWidth="1"/>
    <col min="15" max="16" width="18.88671875" customWidth="1"/>
    <col min="17" max="17" width="9.44140625" customWidth="1"/>
    <col min="18" max="19" width="8.6640625" customWidth="1"/>
    <col min="20" max="21" width="18.88671875" customWidth="1"/>
    <col min="22" max="26" width="8.6640625" customWidth="1"/>
  </cols>
  <sheetData>
    <row r="2" spans="2:22" ht="14.25" customHeight="1" x14ac:dyDescent="0.3">
      <c r="B2" s="126" t="s">
        <v>528</v>
      </c>
      <c r="C2" s="126" t="s">
        <v>528</v>
      </c>
      <c r="D2" s="215" t="s">
        <v>633</v>
      </c>
      <c r="E2" s="130" t="s">
        <v>518</v>
      </c>
      <c r="F2" s="102" t="s">
        <v>634</v>
      </c>
      <c r="G2" s="1" t="s">
        <v>258</v>
      </c>
      <c r="O2" s="102" t="s">
        <v>635</v>
      </c>
      <c r="P2" s="4" t="s">
        <v>513</v>
      </c>
      <c r="Q2" s="4" t="s">
        <v>513</v>
      </c>
      <c r="T2" s="102" t="s">
        <v>635</v>
      </c>
      <c r="U2" s="4" t="s">
        <v>514</v>
      </c>
      <c r="V2" s="4" t="s">
        <v>514</v>
      </c>
    </row>
    <row r="3" spans="2:22" ht="14.25" customHeight="1" x14ac:dyDescent="0.3">
      <c r="B3" s="114">
        <v>29.82</v>
      </c>
      <c r="C3" s="114">
        <f t="shared" ref="C3:C160" si="0">+B3/45*100</f>
        <v>66.266666666666666</v>
      </c>
      <c r="D3" s="107">
        <f t="shared" ref="D3:D160" si="1">100-C3</f>
        <v>33.733333333333334</v>
      </c>
      <c r="E3" s="107">
        <v>62.2</v>
      </c>
      <c r="F3" s="216" t="s">
        <v>638</v>
      </c>
      <c r="G3" s="14">
        <v>148</v>
      </c>
      <c r="H3" s="217" t="str">
        <f t="shared" ref="H3:H160" si="2">IF(AND($B3&lt;27,$E3&lt;55),"Rehab J.I",IF(AND($B3&lt;=36,$E3&lt;=69),"Perbaikan",IF(AND($B3&lt;=40.5,$E3&gt;=55),"Perawatan","Rutin")))</f>
        <v>Perbaikan</v>
      </c>
      <c r="J3" s="109"/>
      <c r="L3" s="216" t="s">
        <v>638</v>
      </c>
      <c r="M3" s="14">
        <v>148</v>
      </c>
      <c r="O3" s="4" t="s">
        <v>640</v>
      </c>
      <c r="P3" s="101">
        <f t="shared" ref="P3:P5" si="3">+Q3/$Q$6</f>
        <v>0.620253164556962</v>
      </c>
      <c r="Q3" s="4">
        <v>98</v>
      </c>
      <c r="T3" s="4" t="s">
        <v>640</v>
      </c>
      <c r="U3" s="101">
        <f t="shared" ref="U3:U5" si="4">+V3/$V$6</f>
        <v>0.59897458463343733</v>
      </c>
      <c r="V3" s="100">
        <f>+SUM(M63:M160)</f>
        <v>89839</v>
      </c>
    </row>
    <row r="4" spans="2:22" ht="14.25" customHeight="1" x14ac:dyDescent="0.3">
      <c r="B4" s="114">
        <v>29.92</v>
      </c>
      <c r="C4" s="114">
        <f t="shared" si="0"/>
        <v>66.488888888888894</v>
      </c>
      <c r="D4" s="107">
        <f t="shared" si="1"/>
        <v>33.511111111111106</v>
      </c>
      <c r="E4" s="107">
        <v>61.88</v>
      </c>
      <c r="F4" s="216" t="s">
        <v>638</v>
      </c>
      <c r="G4" s="14">
        <v>156</v>
      </c>
      <c r="H4" s="217" t="str">
        <f t="shared" si="2"/>
        <v>Perbaikan</v>
      </c>
      <c r="L4" s="216" t="s">
        <v>638</v>
      </c>
      <c r="M4" s="14">
        <v>156</v>
      </c>
      <c r="O4" s="4" t="s">
        <v>649</v>
      </c>
      <c r="P4" s="101">
        <f t="shared" si="3"/>
        <v>0.32911392405063289</v>
      </c>
      <c r="Q4" s="4">
        <v>52</v>
      </c>
      <c r="T4" s="4" t="s">
        <v>649</v>
      </c>
      <c r="U4" s="101">
        <f t="shared" si="4"/>
        <v>0.2990039203136251</v>
      </c>
      <c r="V4" s="100">
        <f>+SUM(M3:M54)</f>
        <v>44847</v>
      </c>
    </row>
    <row r="5" spans="2:22" ht="14.25" customHeight="1" x14ac:dyDescent="0.3">
      <c r="B5" s="114">
        <v>30.26</v>
      </c>
      <c r="C5" s="114">
        <f t="shared" si="0"/>
        <v>67.244444444444454</v>
      </c>
      <c r="D5" s="107">
        <f t="shared" si="1"/>
        <v>32.755555555555546</v>
      </c>
      <c r="E5" s="115">
        <v>63.050000000000004</v>
      </c>
      <c r="F5" s="216" t="s">
        <v>638</v>
      </c>
      <c r="G5" s="117">
        <v>1212</v>
      </c>
      <c r="H5" s="217" t="str">
        <f t="shared" si="2"/>
        <v>Perbaikan</v>
      </c>
      <c r="L5" s="216" t="s">
        <v>638</v>
      </c>
      <c r="M5" s="117">
        <v>1212</v>
      </c>
      <c r="O5" s="4" t="s">
        <v>650</v>
      </c>
      <c r="P5" s="101">
        <f t="shared" si="3"/>
        <v>5.0632911392405063E-2</v>
      </c>
      <c r="Q5" s="4">
        <v>8</v>
      </c>
      <c r="T5" s="4" t="s">
        <v>650</v>
      </c>
      <c r="U5" s="101">
        <f t="shared" si="4"/>
        <v>0.10202149505293757</v>
      </c>
      <c r="V5" s="100">
        <f>+SUM(M55:M62)</f>
        <v>15302</v>
      </c>
    </row>
    <row r="6" spans="2:22" ht="14.25" customHeight="1" x14ac:dyDescent="0.3">
      <c r="B6" s="114">
        <v>28.65</v>
      </c>
      <c r="C6" s="114">
        <f t="shared" si="0"/>
        <v>63.666666666666657</v>
      </c>
      <c r="D6" s="107">
        <f t="shared" si="1"/>
        <v>36.333333333333343</v>
      </c>
      <c r="E6" s="107">
        <v>60.78</v>
      </c>
      <c r="F6" s="216" t="s">
        <v>638</v>
      </c>
      <c r="G6" s="14">
        <v>20</v>
      </c>
      <c r="H6" s="217" t="str">
        <f t="shared" si="2"/>
        <v>Perbaikan</v>
      </c>
      <c r="L6" s="216" t="s">
        <v>638</v>
      </c>
      <c r="M6" s="14">
        <v>20</v>
      </c>
      <c r="Q6" s="4">
        <f>SUM(Q3:Q5)</f>
        <v>158</v>
      </c>
      <c r="V6" s="100">
        <f>SUM(V3:V5)</f>
        <v>149988</v>
      </c>
    </row>
    <row r="7" spans="2:22" ht="14.25" customHeight="1" x14ac:dyDescent="0.3">
      <c r="B7" s="114">
        <v>19.29</v>
      </c>
      <c r="C7" s="114">
        <f t="shared" si="0"/>
        <v>42.866666666666667</v>
      </c>
      <c r="D7" s="107">
        <f t="shared" si="1"/>
        <v>57.133333333333333</v>
      </c>
      <c r="E7" s="107">
        <v>54.06</v>
      </c>
      <c r="F7" s="218" t="s">
        <v>645</v>
      </c>
      <c r="G7" s="14">
        <v>527</v>
      </c>
      <c r="H7" s="217" t="str">
        <f t="shared" si="2"/>
        <v>Rehab J.I</v>
      </c>
      <c r="L7" s="218" t="s">
        <v>638</v>
      </c>
      <c r="M7" s="14">
        <v>107</v>
      </c>
    </row>
    <row r="8" spans="2:22" ht="14.25" customHeight="1" x14ac:dyDescent="0.3">
      <c r="B8" s="114">
        <v>23.97</v>
      </c>
      <c r="C8" s="114">
        <f t="shared" si="0"/>
        <v>53.266666666666666</v>
      </c>
      <c r="D8" s="107">
        <f t="shared" si="1"/>
        <v>46.733333333333334</v>
      </c>
      <c r="E8" s="107">
        <v>59.179999999999993</v>
      </c>
      <c r="F8" s="218" t="s">
        <v>645</v>
      </c>
      <c r="G8" s="14">
        <v>457</v>
      </c>
      <c r="H8" s="217" t="str">
        <f t="shared" si="2"/>
        <v>Perbaikan</v>
      </c>
      <c r="L8" s="218" t="s">
        <v>638</v>
      </c>
      <c r="M8" s="14">
        <v>39</v>
      </c>
    </row>
    <row r="9" spans="2:22" ht="14.25" customHeight="1" x14ac:dyDescent="0.3">
      <c r="B9" s="114">
        <v>29.45</v>
      </c>
      <c r="C9" s="114">
        <f t="shared" si="0"/>
        <v>65.444444444444443</v>
      </c>
      <c r="D9" s="107">
        <f t="shared" si="1"/>
        <v>34.555555555555557</v>
      </c>
      <c r="E9" s="107">
        <v>61.43</v>
      </c>
      <c r="F9" s="218" t="s">
        <v>638</v>
      </c>
      <c r="G9" s="14">
        <v>107</v>
      </c>
      <c r="H9" s="217" t="str">
        <f t="shared" si="2"/>
        <v>Perbaikan</v>
      </c>
      <c r="L9" s="218" t="s">
        <v>638</v>
      </c>
      <c r="M9" s="14">
        <v>282</v>
      </c>
    </row>
    <row r="10" spans="2:22" ht="14.25" customHeight="1" x14ac:dyDescent="0.3">
      <c r="B10" s="114">
        <v>28.57</v>
      </c>
      <c r="C10" s="114">
        <f t="shared" si="0"/>
        <v>63.488888888888894</v>
      </c>
      <c r="D10" s="107">
        <f t="shared" si="1"/>
        <v>36.511111111111106</v>
      </c>
      <c r="E10" s="107">
        <v>61.320000000000007</v>
      </c>
      <c r="F10" s="218" t="s">
        <v>638</v>
      </c>
      <c r="G10" s="14">
        <v>39</v>
      </c>
      <c r="H10" s="217" t="str">
        <f t="shared" si="2"/>
        <v>Perbaikan</v>
      </c>
      <c r="L10" s="218" t="s">
        <v>638</v>
      </c>
      <c r="M10" s="14">
        <v>726</v>
      </c>
    </row>
    <row r="11" spans="2:22" ht="14.25" customHeight="1" x14ac:dyDescent="0.3">
      <c r="B11" s="114">
        <v>28.48</v>
      </c>
      <c r="C11" s="114">
        <f t="shared" si="0"/>
        <v>63.288888888888891</v>
      </c>
      <c r="D11" s="107">
        <f t="shared" si="1"/>
        <v>36.711111111111109</v>
      </c>
      <c r="E11" s="107">
        <v>61.419999999999995</v>
      </c>
      <c r="F11" s="218" t="s">
        <v>638</v>
      </c>
      <c r="G11" s="14">
        <v>282</v>
      </c>
      <c r="H11" s="217" t="str">
        <f t="shared" si="2"/>
        <v>Perbaikan</v>
      </c>
      <c r="L11" s="218" t="s">
        <v>638</v>
      </c>
      <c r="M11" s="14">
        <v>63</v>
      </c>
    </row>
    <row r="12" spans="2:22" ht="14.25" customHeight="1" x14ac:dyDescent="0.3">
      <c r="B12" s="114">
        <v>31.96</v>
      </c>
      <c r="C12" s="114">
        <f t="shared" si="0"/>
        <v>71.022222222222226</v>
      </c>
      <c r="D12" s="107">
        <f t="shared" si="1"/>
        <v>28.977777777777774</v>
      </c>
      <c r="E12" s="107">
        <v>63.730000000000004</v>
      </c>
      <c r="F12" s="218" t="s">
        <v>638</v>
      </c>
      <c r="G12" s="14">
        <v>726</v>
      </c>
      <c r="H12" s="217" t="str">
        <f t="shared" si="2"/>
        <v>Perbaikan</v>
      </c>
      <c r="L12" s="218" t="s">
        <v>638</v>
      </c>
      <c r="M12" s="14">
        <v>70</v>
      </c>
    </row>
    <row r="13" spans="2:22" ht="14.25" customHeight="1" x14ac:dyDescent="0.3">
      <c r="B13" s="114">
        <v>27.57</v>
      </c>
      <c r="C13" s="114">
        <f t="shared" si="0"/>
        <v>61.266666666666666</v>
      </c>
      <c r="D13" s="107">
        <f t="shared" si="1"/>
        <v>38.733333333333334</v>
      </c>
      <c r="E13" s="107">
        <v>59.63</v>
      </c>
      <c r="F13" s="218" t="s">
        <v>638</v>
      </c>
      <c r="G13" s="14">
        <v>63</v>
      </c>
      <c r="H13" s="217" t="str">
        <f t="shared" si="2"/>
        <v>Perbaikan</v>
      </c>
      <c r="L13" s="218" t="s">
        <v>638</v>
      </c>
      <c r="M13" s="14">
        <v>193</v>
      </c>
    </row>
    <row r="14" spans="2:22" ht="14.25" customHeight="1" x14ac:dyDescent="0.3">
      <c r="B14" s="114">
        <v>28.39</v>
      </c>
      <c r="C14" s="114">
        <f t="shared" si="0"/>
        <v>63.088888888888896</v>
      </c>
      <c r="D14" s="107">
        <f t="shared" si="1"/>
        <v>36.911111111111104</v>
      </c>
      <c r="E14" s="107">
        <v>61.63</v>
      </c>
      <c r="F14" s="218" t="s">
        <v>638</v>
      </c>
      <c r="G14" s="14">
        <v>70</v>
      </c>
      <c r="H14" s="217" t="str">
        <f t="shared" si="2"/>
        <v>Perbaikan</v>
      </c>
      <c r="L14" s="218" t="s">
        <v>638</v>
      </c>
      <c r="M14" s="14">
        <v>455</v>
      </c>
    </row>
    <row r="15" spans="2:22" ht="14.25" customHeight="1" x14ac:dyDescent="0.3">
      <c r="B15" s="114">
        <v>22.16</v>
      </c>
      <c r="C15" s="114">
        <f t="shared" si="0"/>
        <v>49.244444444444447</v>
      </c>
      <c r="D15" s="107">
        <f t="shared" si="1"/>
        <v>50.755555555555553</v>
      </c>
      <c r="E15" s="107">
        <v>59.910000000000011</v>
      </c>
      <c r="F15" s="218" t="s">
        <v>645</v>
      </c>
      <c r="G15" s="14">
        <v>53</v>
      </c>
      <c r="H15" s="217" t="str">
        <f t="shared" si="2"/>
        <v>Perbaikan</v>
      </c>
      <c r="L15" s="218" t="s">
        <v>638</v>
      </c>
      <c r="M15" s="14">
        <v>16</v>
      </c>
    </row>
    <row r="16" spans="2:22" ht="14.25" customHeight="1" x14ac:dyDescent="0.3">
      <c r="B16" s="114">
        <v>27.55</v>
      </c>
      <c r="C16" s="114">
        <f t="shared" si="0"/>
        <v>61.222222222222221</v>
      </c>
      <c r="D16" s="107">
        <f t="shared" si="1"/>
        <v>38.777777777777779</v>
      </c>
      <c r="E16" s="107">
        <v>56.850000000000009</v>
      </c>
      <c r="F16" s="218" t="s">
        <v>638</v>
      </c>
      <c r="G16" s="14">
        <v>193</v>
      </c>
      <c r="H16" s="217" t="str">
        <f t="shared" si="2"/>
        <v>Perbaikan</v>
      </c>
      <c r="L16" s="218" t="s">
        <v>638</v>
      </c>
      <c r="M16" s="14">
        <v>46</v>
      </c>
    </row>
    <row r="17" spans="2:13" ht="14.4" x14ac:dyDescent="0.3">
      <c r="B17" s="114">
        <v>27.88</v>
      </c>
      <c r="C17" s="114">
        <f t="shared" si="0"/>
        <v>61.955555555555556</v>
      </c>
      <c r="D17" s="107">
        <f t="shared" si="1"/>
        <v>38.044444444444444</v>
      </c>
      <c r="E17" s="107">
        <v>53.14</v>
      </c>
      <c r="F17" s="218" t="s">
        <v>638</v>
      </c>
      <c r="G17" s="14">
        <v>455</v>
      </c>
      <c r="H17" s="217" t="str">
        <f t="shared" si="2"/>
        <v>Perbaikan</v>
      </c>
      <c r="L17" s="218" t="s">
        <v>638</v>
      </c>
      <c r="M17" s="14">
        <v>119</v>
      </c>
    </row>
    <row r="18" spans="2:13" ht="14.4" x14ac:dyDescent="0.3">
      <c r="B18" s="114">
        <v>27.18</v>
      </c>
      <c r="C18" s="114">
        <f t="shared" si="0"/>
        <v>60.4</v>
      </c>
      <c r="D18" s="107">
        <f t="shared" si="1"/>
        <v>39.6</v>
      </c>
      <c r="E18" s="107">
        <v>59.58</v>
      </c>
      <c r="F18" s="218" t="s">
        <v>638</v>
      </c>
      <c r="G18" s="14">
        <v>16</v>
      </c>
      <c r="H18" s="217" t="str">
        <f t="shared" si="2"/>
        <v>Perbaikan</v>
      </c>
      <c r="L18" s="218" t="s">
        <v>638</v>
      </c>
      <c r="M18" s="14">
        <v>54</v>
      </c>
    </row>
    <row r="19" spans="2:13" ht="14.4" x14ac:dyDescent="0.3">
      <c r="B19" s="114">
        <v>22.54</v>
      </c>
      <c r="C19" s="114">
        <f t="shared" si="0"/>
        <v>50.088888888888881</v>
      </c>
      <c r="D19" s="107">
        <f t="shared" si="1"/>
        <v>49.911111111111119</v>
      </c>
      <c r="E19" s="107">
        <v>54.64</v>
      </c>
      <c r="F19" s="218" t="s">
        <v>645</v>
      </c>
      <c r="G19" s="14">
        <v>32</v>
      </c>
      <c r="H19" s="217" t="str">
        <f t="shared" si="2"/>
        <v>Rehab J.I</v>
      </c>
      <c r="L19" s="218" t="s">
        <v>638</v>
      </c>
      <c r="M19" s="14">
        <v>23</v>
      </c>
    </row>
    <row r="20" spans="2:13" ht="14.4" x14ac:dyDescent="0.3">
      <c r="B20" s="114">
        <v>27.43</v>
      </c>
      <c r="C20" s="114">
        <f t="shared" si="0"/>
        <v>60.955555555555549</v>
      </c>
      <c r="D20" s="107">
        <f t="shared" si="1"/>
        <v>39.044444444444451</v>
      </c>
      <c r="E20" s="107">
        <v>61.73</v>
      </c>
      <c r="F20" s="218" t="s">
        <v>638</v>
      </c>
      <c r="G20" s="14">
        <v>46</v>
      </c>
      <c r="H20" s="217" t="str">
        <f t="shared" si="2"/>
        <v>Perbaikan</v>
      </c>
      <c r="L20" s="218" t="s">
        <v>638</v>
      </c>
      <c r="M20" s="14">
        <v>42</v>
      </c>
    </row>
    <row r="21" spans="2:13" ht="15.75" customHeight="1" x14ac:dyDescent="0.3">
      <c r="B21" s="114">
        <v>21.83</v>
      </c>
      <c r="C21" s="114">
        <f t="shared" si="0"/>
        <v>48.511111111111106</v>
      </c>
      <c r="D21" s="107">
        <f t="shared" si="1"/>
        <v>51.488888888888894</v>
      </c>
      <c r="E21" s="107">
        <v>53.64</v>
      </c>
      <c r="F21" s="218" t="s">
        <v>645</v>
      </c>
      <c r="G21" s="14">
        <v>59</v>
      </c>
      <c r="H21" s="217" t="str">
        <f t="shared" si="2"/>
        <v>Rehab J.I</v>
      </c>
      <c r="L21" s="218" t="s">
        <v>638</v>
      </c>
      <c r="M21" s="14">
        <v>82</v>
      </c>
    </row>
    <row r="22" spans="2:13" ht="15.75" customHeight="1" x14ac:dyDescent="0.3">
      <c r="B22" s="114">
        <v>28.83</v>
      </c>
      <c r="C22" s="114">
        <f t="shared" si="0"/>
        <v>64.066666666666663</v>
      </c>
      <c r="D22" s="107">
        <f t="shared" si="1"/>
        <v>35.933333333333337</v>
      </c>
      <c r="E22" s="107">
        <v>61.69</v>
      </c>
      <c r="F22" s="218" t="s">
        <v>638</v>
      </c>
      <c r="G22" s="14">
        <v>119</v>
      </c>
      <c r="H22" s="217" t="str">
        <f t="shared" si="2"/>
        <v>Perbaikan</v>
      </c>
      <c r="L22" s="218" t="s">
        <v>638</v>
      </c>
      <c r="M22" s="14">
        <v>108</v>
      </c>
    </row>
    <row r="23" spans="2:13" ht="15.75" customHeight="1" x14ac:dyDescent="0.3">
      <c r="B23" s="114">
        <v>21.53</v>
      </c>
      <c r="C23" s="114">
        <f t="shared" si="0"/>
        <v>47.844444444444449</v>
      </c>
      <c r="D23" s="107">
        <f t="shared" si="1"/>
        <v>52.155555555555551</v>
      </c>
      <c r="E23" s="107">
        <v>65.039999999999992</v>
      </c>
      <c r="F23" s="218" t="s">
        <v>645</v>
      </c>
      <c r="G23" s="14">
        <v>165</v>
      </c>
      <c r="H23" s="217" t="str">
        <f t="shared" si="2"/>
        <v>Perbaikan</v>
      </c>
      <c r="L23" s="218" t="s">
        <v>638</v>
      </c>
      <c r="M23" s="14">
        <v>1637</v>
      </c>
    </row>
    <row r="24" spans="2:13" ht="15.75" customHeight="1" x14ac:dyDescent="0.3">
      <c r="B24" s="114">
        <v>17.97</v>
      </c>
      <c r="C24" s="114">
        <f t="shared" si="0"/>
        <v>39.93333333333333</v>
      </c>
      <c r="D24" s="107">
        <f t="shared" si="1"/>
        <v>60.06666666666667</v>
      </c>
      <c r="E24" s="107">
        <v>53.709999999999994</v>
      </c>
      <c r="F24" s="218" t="s">
        <v>645</v>
      </c>
      <c r="G24" s="14">
        <v>551</v>
      </c>
      <c r="H24" s="217" t="str">
        <f t="shared" si="2"/>
        <v>Rehab J.I</v>
      </c>
      <c r="L24" s="218" t="s">
        <v>638</v>
      </c>
      <c r="M24" s="117">
        <v>1086</v>
      </c>
    </row>
    <row r="25" spans="2:13" ht="15.75" customHeight="1" x14ac:dyDescent="0.3">
      <c r="B25" s="114">
        <v>24.75</v>
      </c>
      <c r="C25" s="114">
        <f t="shared" si="0"/>
        <v>55.000000000000007</v>
      </c>
      <c r="D25" s="107">
        <f t="shared" si="1"/>
        <v>44.999999999999993</v>
      </c>
      <c r="E25" s="107">
        <v>64.820000000000007</v>
      </c>
      <c r="F25" s="218" t="s">
        <v>645</v>
      </c>
      <c r="G25" s="14">
        <v>69</v>
      </c>
      <c r="H25" s="217" t="str">
        <f t="shared" si="2"/>
        <v>Perbaikan</v>
      </c>
      <c r="L25" s="218" t="s">
        <v>638</v>
      </c>
      <c r="M25" s="14">
        <v>1812</v>
      </c>
    </row>
    <row r="26" spans="2:13" ht="15.75" customHeight="1" x14ac:dyDescent="0.3">
      <c r="B26" s="114">
        <v>29.82</v>
      </c>
      <c r="C26" s="114">
        <f t="shared" si="0"/>
        <v>66.266666666666666</v>
      </c>
      <c r="D26" s="107">
        <f t="shared" si="1"/>
        <v>33.733333333333334</v>
      </c>
      <c r="E26" s="107">
        <v>70.33</v>
      </c>
      <c r="F26" s="218" t="s">
        <v>638</v>
      </c>
      <c r="G26" s="14">
        <v>54</v>
      </c>
      <c r="H26" s="217" t="str">
        <f t="shared" si="2"/>
        <v>Perawatan</v>
      </c>
      <c r="L26" s="218" t="s">
        <v>638</v>
      </c>
      <c r="M26" s="14">
        <v>1182</v>
      </c>
    </row>
    <row r="27" spans="2:13" ht="15.75" customHeight="1" x14ac:dyDescent="0.3">
      <c r="B27" s="114">
        <v>29.66</v>
      </c>
      <c r="C27" s="114">
        <f t="shared" si="0"/>
        <v>65.911111111111111</v>
      </c>
      <c r="D27" s="107">
        <f t="shared" si="1"/>
        <v>34.088888888888889</v>
      </c>
      <c r="E27" s="107">
        <v>71.19</v>
      </c>
      <c r="F27" s="218" t="s">
        <v>638</v>
      </c>
      <c r="G27" s="14">
        <v>23</v>
      </c>
      <c r="H27" s="217" t="str">
        <f t="shared" si="2"/>
        <v>Perawatan</v>
      </c>
      <c r="L27" s="218" t="s">
        <v>638</v>
      </c>
      <c r="M27" s="117">
        <v>293</v>
      </c>
    </row>
    <row r="28" spans="2:13" ht="15.75" customHeight="1" x14ac:dyDescent="0.3">
      <c r="B28" s="114">
        <v>28.87</v>
      </c>
      <c r="C28" s="114">
        <f t="shared" si="0"/>
        <v>64.155555555555551</v>
      </c>
      <c r="D28" s="107">
        <f t="shared" si="1"/>
        <v>35.844444444444449</v>
      </c>
      <c r="E28" s="107">
        <v>70.02000000000001</v>
      </c>
      <c r="F28" s="218" t="s">
        <v>638</v>
      </c>
      <c r="G28" s="14">
        <v>42</v>
      </c>
      <c r="H28" s="217" t="str">
        <f t="shared" si="2"/>
        <v>Perawatan</v>
      </c>
      <c r="L28" s="218" t="s">
        <v>638</v>
      </c>
      <c r="M28" s="14">
        <v>1292</v>
      </c>
    </row>
    <row r="29" spans="2:13" ht="15.75" customHeight="1" x14ac:dyDescent="0.3">
      <c r="B29" s="114">
        <v>13.8</v>
      </c>
      <c r="C29" s="114">
        <f t="shared" si="0"/>
        <v>30.666666666666671</v>
      </c>
      <c r="D29" s="107">
        <f t="shared" si="1"/>
        <v>69.333333333333329</v>
      </c>
      <c r="E29" s="107">
        <v>55.02</v>
      </c>
      <c r="F29" s="218" t="s">
        <v>645</v>
      </c>
      <c r="G29" s="14">
        <v>51</v>
      </c>
      <c r="H29" s="217" t="str">
        <f t="shared" si="2"/>
        <v>Perbaikan</v>
      </c>
      <c r="L29" s="218" t="s">
        <v>638</v>
      </c>
      <c r="M29" s="13">
        <v>1232</v>
      </c>
    </row>
    <row r="30" spans="2:13" ht="15.75" customHeight="1" x14ac:dyDescent="0.3">
      <c r="B30" s="114">
        <v>27.48</v>
      </c>
      <c r="C30" s="114">
        <f t="shared" si="0"/>
        <v>61.06666666666667</v>
      </c>
      <c r="D30" s="107">
        <f t="shared" si="1"/>
        <v>38.93333333333333</v>
      </c>
      <c r="E30" s="107">
        <v>69</v>
      </c>
      <c r="F30" s="218" t="s">
        <v>638</v>
      </c>
      <c r="G30" s="14">
        <v>82</v>
      </c>
      <c r="H30" s="217" t="str">
        <f t="shared" si="2"/>
        <v>Perbaikan</v>
      </c>
      <c r="L30" s="218" t="s">
        <v>638</v>
      </c>
      <c r="M30" s="13">
        <v>461</v>
      </c>
    </row>
    <row r="31" spans="2:13" ht="15.75" customHeight="1" x14ac:dyDescent="0.3">
      <c r="B31" s="114">
        <v>24.65</v>
      </c>
      <c r="C31" s="114">
        <f t="shared" si="0"/>
        <v>54.777777777777771</v>
      </c>
      <c r="D31" s="107">
        <f t="shared" si="1"/>
        <v>45.222222222222229</v>
      </c>
      <c r="E31" s="107">
        <v>66.22</v>
      </c>
      <c r="F31" s="218" t="s">
        <v>645</v>
      </c>
      <c r="G31" s="14">
        <v>62</v>
      </c>
      <c r="H31" s="217" t="str">
        <f t="shared" si="2"/>
        <v>Perbaikan</v>
      </c>
      <c r="L31" s="218" t="s">
        <v>638</v>
      </c>
      <c r="M31" s="13">
        <v>1554</v>
      </c>
    </row>
    <row r="32" spans="2:13" ht="15.75" customHeight="1" x14ac:dyDescent="0.3">
      <c r="B32" s="114">
        <v>26.65</v>
      </c>
      <c r="C32" s="114">
        <f t="shared" si="0"/>
        <v>59.222222222222221</v>
      </c>
      <c r="D32" s="107">
        <f t="shared" si="1"/>
        <v>40.777777777777779</v>
      </c>
      <c r="E32" s="107">
        <v>67.819999999999993</v>
      </c>
      <c r="F32" s="218" t="s">
        <v>645</v>
      </c>
      <c r="G32" s="14">
        <v>56</v>
      </c>
      <c r="H32" s="217" t="str">
        <f t="shared" si="2"/>
        <v>Perbaikan</v>
      </c>
      <c r="L32" s="218" t="s">
        <v>638</v>
      </c>
      <c r="M32" s="13">
        <v>745</v>
      </c>
    </row>
    <row r="33" spans="2:13" ht="15.75" customHeight="1" x14ac:dyDescent="0.3">
      <c r="B33" s="114">
        <v>17.25</v>
      </c>
      <c r="C33" s="114">
        <f t="shared" si="0"/>
        <v>38.333333333333336</v>
      </c>
      <c r="D33" s="107">
        <f t="shared" si="1"/>
        <v>61.666666666666664</v>
      </c>
      <c r="E33" s="107">
        <v>58.83</v>
      </c>
      <c r="F33" s="218" t="s">
        <v>645</v>
      </c>
      <c r="G33" s="14">
        <v>38</v>
      </c>
      <c r="H33" s="217" t="str">
        <f t="shared" si="2"/>
        <v>Perbaikan</v>
      </c>
      <c r="L33" s="218" t="s">
        <v>638</v>
      </c>
      <c r="M33" s="13">
        <v>1058</v>
      </c>
    </row>
    <row r="34" spans="2:13" ht="15.75" customHeight="1" x14ac:dyDescent="0.3">
      <c r="B34" s="105">
        <v>25.3</v>
      </c>
      <c r="C34" s="114">
        <f t="shared" si="0"/>
        <v>56.222222222222229</v>
      </c>
      <c r="D34" s="107">
        <f t="shared" si="1"/>
        <v>43.777777777777771</v>
      </c>
      <c r="E34" s="107">
        <v>64.81</v>
      </c>
      <c r="F34" s="218" t="s">
        <v>645</v>
      </c>
      <c r="G34" s="14">
        <v>45</v>
      </c>
      <c r="H34" s="217" t="str">
        <f t="shared" si="2"/>
        <v>Perbaikan</v>
      </c>
      <c r="L34" s="218" t="s">
        <v>638</v>
      </c>
      <c r="M34" s="13">
        <v>1045</v>
      </c>
    </row>
    <row r="35" spans="2:13" ht="15.75" customHeight="1" x14ac:dyDescent="0.3">
      <c r="B35" s="114">
        <v>19.7</v>
      </c>
      <c r="C35" s="114">
        <f t="shared" si="0"/>
        <v>43.777777777777779</v>
      </c>
      <c r="D35" s="107">
        <f t="shared" si="1"/>
        <v>56.222222222222221</v>
      </c>
      <c r="E35" s="107">
        <v>52.57</v>
      </c>
      <c r="F35" s="218" t="s">
        <v>645</v>
      </c>
      <c r="G35" s="14">
        <v>461</v>
      </c>
      <c r="H35" s="217" t="str">
        <f t="shared" si="2"/>
        <v>Rehab J.I</v>
      </c>
      <c r="L35" s="218" t="s">
        <v>638</v>
      </c>
      <c r="M35" s="13">
        <v>1273</v>
      </c>
    </row>
    <row r="36" spans="2:13" ht="15.75" customHeight="1" x14ac:dyDescent="0.3">
      <c r="B36" s="105">
        <v>36.72</v>
      </c>
      <c r="C36" s="114">
        <f t="shared" si="0"/>
        <v>81.599999999999994</v>
      </c>
      <c r="D36" s="107">
        <f t="shared" si="1"/>
        <v>18.400000000000006</v>
      </c>
      <c r="E36" s="115">
        <v>69.789999999999992</v>
      </c>
      <c r="F36" s="218" t="s">
        <v>647</v>
      </c>
      <c r="G36" s="117">
        <v>1763</v>
      </c>
      <c r="H36" s="217" t="str">
        <f t="shared" si="2"/>
        <v>Perawatan</v>
      </c>
      <c r="L36" s="218" t="s">
        <v>638</v>
      </c>
      <c r="M36" s="116">
        <v>1000</v>
      </c>
    </row>
    <row r="37" spans="2:13" ht="15.75" customHeight="1" x14ac:dyDescent="0.3">
      <c r="B37" s="114">
        <v>23.96</v>
      </c>
      <c r="C37" s="114">
        <f t="shared" si="0"/>
        <v>53.244444444444447</v>
      </c>
      <c r="D37" s="107">
        <f t="shared" si="1"/>
        <v>46.755555555555553</v>
      </c>
      <c r="E37" s="107">
        <v>62.7</v>
      </c>
      <c r="F37" s="218" t="s">
        <v>645</v>
      </c>
      <c r="G37" s="14">
        <v>1378</v>
      </c>
      <c r="H37" s="217" t="str">
        <f t="shared" si="2"/>
        <v>Perbaikan</v>
      </c>
      <c r="L37" s="218" t="s">
        <v>638</v>
      </c>
      <c r="M37" s="13">
        <v>1787</v>
      </c>
    </row>
    <row r="38" spans="2:13" ht="15.75" customHeight="1" x14ac:dyDescent="0.3">
      <c r="B38" s="114">
        <v>25.99</v>
      </c>
      <c r="C38" s="114">
        <f t="shared" si="0"/>
        <v>57.755555555555546</v>
      </c>
      <c r="D38" s="107">
        <f t="shared" si="1"/>
        <v>42.244444444444454</v>
      </c>
      <c r="E38" s="115">
        <v>57.33</v>
      </c>
      <c r="F38" s="218" t="s">
        <v>645</v>
      </c>
      <c r="G38" s="117">
        <v>1926</v>
      </c>
      <c r="H38" s="217" t="str">
        <f t="shared" si="2"/>
        <v>Perbaikan</v>
      </c>
      <c r="L38" s="218" t="s">
        <v>638</v>
      </c>
      <c r="M38" s="13">
        <v>1370</v>
      </c>
    </row>
    <row r="39" spans="2:13" ht="15.75" customHeight="1" x14ac:dyDescent="0.3">
      <c r="B39" s="105">
        <v>38.83</v>
      </c>
      <c r="C39" s="114">
        <f t="shared" si="0"/>
        <v>86.288888888888877</v>
      </c>
      <c r="D39" s="107">
        <f t="shared" si="1"/>
        <v>13.711111111111123</v>
      </c>
      <c r="E39" s="115">
        <v>68.309999999999988</v>
      </c>
      <c r="F39" s="218" t="s">
        <v>647</v>
      </c>
      <c r="G39" s="117">
        <v>2946</v>
      </c>
      <c r="H39" s="217" t="str">
        <f t="shared" si="2"/>
        <v>Perawatan</v>
      </c>
      <c r="L39" s="218" t="s">
        <v>638</v>
      </c>
      <c r="M39" s="13">
        <v>296</v>
      </c>
    </row>
    <row r="40" spans="2:13" ht="15.75" customHeight="1" x14ac:dyDescent="0.3">
      <c r="B40" s="114">
        <v>22</v>
      </c>
      <c r="C40" s="114">
        <f t="shared" si="0"/>
        <v>48.888888888888886</v>
      </c>
      <c r="D40" s="107">
        <f t="shared" si="1"/>
        <v>51.111111111111114</v>
      </c>
      <c r="E40" s="107">
        <v>66.209999999999994</v>
      </c>
      <c r="F40" s="218" t="s">
        <v>645</v>
      </c>
      <c r="G40" s="14">
        <v>369</v>
      </c>
      <c r="H40" s="217" t="str">
        <f t="shared" si="2"/>
        <v>Perbaikan</v>
      </c>
      <c r="L40" s="218" t="s">
        <v>638</v>
      </c>
      <c r="M40" s="116">
        <v>2581</v>
      </c>
    </row>
    <row r="41" spans="2:13" ht="15.75" customHeight="1" x14ac:dyDescent="0.3">
      <c r="B41" s="114">
        <v>13.45</v>
      </c>
      <c r="C41" s="114">
        <f t="shared" si="0"/>
        <v>29.888888888888886</v>
      </c>
      <c r="D41" s="107">
        <f t="shared" si="1"/>
        <v>70.111111111111114</v>
      </c>
      <c r="E41" s="107">
        <v>57.11</v>
      </c>
      <c r="F41" s="218" t="s">
        <v>645</v>
      </c>
      <c r="G41" s="14">
        <v>281</v>
      </c>
      <c r="H41" s="217" t="str">
        <f t="shared" si="2"/>
        <v>Perbaikan</v>
      </c>
      <c r="L41" s="218" t="s">
        <v>638</v>
      </c>
      <c r="M41" s="116">
        <v>1523</v>
      </c>
    </row>
    <row r="42" spans="2:13" ht="15.75" customHeight="1" x14ac:dyDescent="0.3">
      <c r="B42" s="114">
        <v>23.79</v>
      </c>
      <c r="C42" s="114">
        <f t="shared" si="0"/>
        <v>52.86666666666666</v>
      </c>
      <c r="D42" s="107">
        <f t="shared" si="1"/>
        <v>47.13333333333334</v>
      </c>
      <c r="E42" s="107">
        <v>68.47</v>
      </c>
      <c r="F42" s="218" t="s">
        <v>645</v>
      </c>
      <c r="G42" s="14">
        <v>332</v>
      </c>
      <c r="H42" s="217" t="str">
        <f t="shared" si="2"/>
        <v>Perbaikan</v>
      </c>
      <c r="L42" s="218" t="s">
        <v>638</v>
      </c>
      <c r="M42" s="116">
        <v>1909</v>
      </c>
    </row>
    <row r="43" spans="2:13" ht="15.75" customHeight="1" x14ac:dyDescent="0.3">
      <c r="B43" s="114">
        <v>28.53</v>
      </c>
      <c r="C43" s="114">
        <f t="shared" si="0"/>
        <v>63.4</v>
      </c>
      <c r="D43" s="107">
        <f t="shared" si="1"/>
        <v>36.6</v>
      </c>
      <c r="E43" s="107">
        <v>68.36999999999999</v>
      </c>
      <c r="F43" s="218" t="s">
        <v>638</v>
      </c>
      <c r="G43" s="14">
        <v>108</v>
      </c>
      <c r="H43" s="217" t="str">
        <f t="shared" si="2"/>
        <v>Perbaikan</v>
      </c>
      <c r="L43" s="218" t="s">
        <v>638</v>
      </c>
      <c r="M43" s="116">
        <v>1843</v>
      </c>
    </row>
    <row r="44" spans="2:13" ht="15.75" customHeight="1" x14ac:dyDescent="0.3">
      <c r="B44" s="114">
        <v>24.05</v>
      </c>
      <c r="C44" s="114">
        <f t="shared" si="0"/>
        <v>53.44444444444445</v>
      </c>
      <c r="D44" s="107">
        <f t="shared" si="1"/>
        <v>46.55555555555555</v>
      </c>
      <c r="E44" s="107">
        <v>67.490000000000009</v>
      </c>
      <c r="F44" s="218" t="s">
        <v>645</v>
      </c>
      <c r="G44" s="14">
        <v>98</v>
      </c>
      <c r="H44" s="217" t="str">
        <f t="shared" si="2"/>
        <v>Perbaikan</v>
      </c>
      <c r="L44" s="218" t="s">
        <v>638</v>
      </c>
      <c r="M44" s="116">
        <v>1057</v>
      </c>
    </row>
    <row r="45" spans="2:13" ht="15.75" customHeight="1" x14ac:dyDescent="0.3">
      <c r="B45" s="114">
        <v>20.81</v>
      </c>
      <c r="C45" s="114">
        <f t="shared" si="0"/>
        <v>46.24444444444444</v>
      </c>
      <c r="D45" s="107">
        <f t="shared" si="1"/>
        <v>53.75555555555556</v>
      </c>
      <c r="E45" s="107">
        <v>64.27</v>
      </c>
      <c r="F45" s="218" t="s">
        <v>645</v>
      </c>
      <c r="G45" s="14">
        <v>245</v>
      </c>
      <c r="H45" s="217" t="str">
        <f t="shared" si="2"/>
        <v>Perbaikan</v>
      </c>
      <c r="L45" s="218" t="s">
        <v>638</v>
      </c>
      <c r="M45" s="13">
        <v>1447</v>
      </c>
    </row>
    <row r="46" spans="2:13" ht="15.75" customHeight="1" x14ac:dyDescent="0.3">
      <c r="B46" s="114">
        <v>13.38</v>
      </c>
      <c r="C46" s="114">
        <f t="shared" si="0"/>
        <v>29.733333333333334</v>
      </c>
      <c r="D46" s="107">
        <f t="shared" si="1"/>
        <v>70.266666666666666</v>
      </c>
      <c r="E46" s="107">
        <v>57.269999999999996</v>
      </c>
      <c r="F46" s="218" t="s">
        <v>645</v>
      </c>
      <c r="G46" s="14">
        <v>113</v>
      </c>
      <c r="H46" s="217" t="str">
        <f t="shared" si="2"/>
        <v>Perbaikan</v>
      </c>
      <c r="L46" s="218" t="s">
        <v>638</v>
      </c>
      <c r="M46" s="116">
        <v>1239</v>
      </c>
    </row>
    <row r="47" spans="2:13" ht="15.75" customHeight="1" x14ac:dyDescent="0.3">
      <c r="B47" s="114">
        <v>23.57</v>
      </c>
      <c r="C47" s="114">
        <f t="shared" si="0"/>
        <v>52.37777777777778</v>
      </c>
      <c r="D47" s="107">
        <f t="shared" si="1"/>
        <v>47.62222222222222</v>
      </c>
      <c r="E47" s="107">
        <v>67.22</v>
      </c>
      <c r="F47" s="218" t="s">
        <v>645</v>
      </c>
      <c r="G47" s="14">
        <v>69</v>
      </c>
      <c r="H47" s="217" t="str">
        <f t="shared" si="2"/>
        <v>Perbaikan</v>
      </c>
      <c r="L47" s="218" t="s">
        <v>638</v>
      </c>
      <c r="M47" s="116">
        <v>2188</v>
      </c>
    </row>
    <row r="48" spans="2:13" ht="15.75" customHeight="1" x14ac:dyDescent="0.3">
      <c r="B48" s="114">
        <v>24.48</v>
      </c>
      <c r="C48" s="114">
        <f t="shared" si="0"/>
        <v>54.400000000000006</v>
      </c>
      <c r="D48" s="107">
        <f t="shared" si="1"/>
        <v>45.599999999999994</v>
      </c>
      <c r="E48" s="107">
        <v>68.260000000000005</v>
      </c>
      <c r="F48" s="218" t="s">
        <v>645</v>
      </c>
      <c r="G48" s="14">
        <v>38</v>
      </c>
      <c r="H48" s="217" t="str">
        <f t="shared" si="2"/>
        <v>Perbaikan</v>
      </c>
      <c r="L48" s="218" t="s">
        <v>638</v>
      </c>
      <c r="M48" s="116">
        <v>2056</v>
      </c>
    </row>
    <row r="49" spans="2:13" ht="15.75" customHeight="1" x14ac:dyDescent="0.3">
      <c r="B49" s="114">
        <v>32</v>
      </c>
      <c r="C49" s="114">
        <f t="shared" si="0"/>
        <v>71.111111111111114</v>
      </c>
      <c r="D49" s="107">
        <f t="shared" si="1"/>
        <v>28.888888888888886</v>
      </c>
      <c r="E49" s="107">
        <v>74.990000000000009</v>
      </c>
      <c r="F49" s="218" t="s">
        <v>638</v>
      </c>
      <c r="G49" s="14">
        <v>1637</v>
      </c>
      <c r="H49" s="217" t="str">
        <f t="shared" si="2"/>
        <v>Perawatan</v>
      </c>
      <c r="L49" s="218" t="s">
        <v>638</v>
      </c>
      <c r="M49" s="13">
        <v>1088</v>
      </c>
    </row>
    <row r="50" spans="2:13" ht="15.75" customHeight="1" x14ac:dyDescent="0.3">
      <c r="B50" s="114">
        <v>29.28</v>
      </c>
      <c r="C50" s="114">
        <f t="shared" si="0"/>
        <v>65.066666666666677</v>
      </c>
      <c r="D50" s="107">
        <f t="shared" si="1"/>
        <v>34.933333333333323</v>
      </c>
      <c r="E50" s="115">
        <v>73.100000000000009</v>
      </c>
      <c r="F50" s="218" t="s">
        <v>638</v>
      </c>
      <c r="G50" s="117">
        <v>1086</v>
      </c>
      <c r="H50" s="217" t="str">
        <f t="shared" si="2"/>
        <v>Perawatan</v>
      </c>
      <c r="L50" s="218" t="s">
        <v>638</v>
      </c>
      <c r="M50" s="13">
        <v>309</v>
      </c>
    </row>
    <row r="51" spans="2:13" ht="15.75" customHeight="1" x14ac:dyDescent="0.3">
      <c r="B51" s="114">
        <v>23.37</v>
      </c>
      <c r="C51" s="114">
        <f t="shared" si="0"/>
        <v>51.93333333333333</v>
      </c>
      <c r="D51" s="107">
        <f t="shared" si="1"/>
        <v>48.06666666666667</v>
      </c>
      <c r="E51" s="107">
        <v>56.96</v>
      </c>
      <c r="F51" s="218" t="s">
        <v>645</v>
      </c>
      <c r="G51" s="14">
        <v>1211</v>
      </c>
      <c r="H51" s="217" t="str">
        <f t="shared" si="2"/>
        <v>Perbaikan</v>
      </c>
      <c r="L51" s="218" t="s">
        <v>638</v>
      </c>
      <c r="M51" s="13">
        <v>63</v>
      </c>
    </row>
    <row r="52" spans="2:13" ht="15.75" customHeight="1" x14ac:dyDescent="0.3">
      <c r="B52" s="114">
        <v>25.32</v>
      </c>
      <c r="C52" s="114">
        <f t="shared" si="0"/>
        <v>56.266666666666666</v>
      </c>
      <c r="D52" s="107">
        <f t="shared" si="1"/>
        <v>43.733333333333334</v>
      </c>
      <c r="E52" s="115">
        <v>56.22</v>
      </c>
      <c r="F52" s="218" t="s">
        <v>645</v>
      </c>
      <c r="G52" s="117">
        <v>1470</v>
      </c>
      <c r="H52" s="217" t="str">
        <f t="shared" si="2"/>
        <v>Perbaikan</v>
      </c>
      <c r="L52" s="218" t="s">
        <v>638</v>
      </c>
      <c r="M52" s="29">
        <v>777</v>
      </c>
    </row>
    <row r="53" spans="2:13" ht="15.75" customHeight="1" x14ac:dyDescent="0.3">
      <c r="B53" s="114">
        <v>30.8</v>
      </c>
      <c r="C53" s="114">
        <f t="shared" si="0"/>
        <v>68.444444444444443</v>
      </c>
      <c r="D53" s="107">
        <f t="shared" si="1"/>
        <v>31.555555555555557</v>
      </c>
      <c r="E53" s="107">
        <v>75.22</v>
      </c>
      <c r="F53" s="218" t="s">
        <v>638</v>
      </c>
      <c r="G53" s="14">
        <v>1812</v>
      </c>
      <c r="H53" s="217" t="str">
        <f t="shared" si="2"/>
        <v>Perawatan</v>
      </c>
      <c r="L53" s="218" t="s">
        <v>638</v>
      </c>
      <c r="M53" s="13">
        <v>1499</v>
      </c>
    </row>
    <row r="54" spans="2:13" ht="15.75" customHeight="1" x14ac:dyDescent="0.3">
      <c r="B54" s="114">
        <v>27.41</v>
      </c>
      <c r="C54" s="114">
        <f t="shared" si="0"/>
        <v>60.911111111111119</v>
      </c>
      <c r="D54" s="107">
        <f t="shared" si="1"/>
        <v>39.088888888888881</v>
      </c>
      <c r="E54" s="107">
        <v>71.41</v>
      </c>
      <c r="F54" s="218" t="s">
        <v>638</v>
      </c>
      <c r="G54" s="14">
        <v>1182</v>
      </c>
      <c r="H54" s="217" t="str">
        <f t="shared" si="2"/>
        <v>Perawatan</v>
      </c>
      <c r="L54" s="218" t="s">
        <v>638</v>
      </c>
      <c r="M54" s="116">
        <v>2184</v>
      </c>
    </row>
    <row r="55" spans="2:13" ht="15.75" customHeight="1" x14ac:dyDescent="0.3">
      <c r="B55" s="114">
        <v>25.55</v>
      </c>
      <c r="C55" s="114">
        <f t="shared" si="0"/>
        <v>56.777777777777786</v>
      </c>
      <c r="D55" s="107">
        <f t="shared" si="1"/>
        <v>43.222222222222214</v>
      </c>
      <c r="E55" s="107">
        <v>69.02000000000001</v>
      </c>
      <c r="F55" s="218" t="s">
        <v>645</v>
      </c>
      <c r="G55" s="14">
        <v>445</v>
      </c>
      <c r="H55" s="217" t="str">
        <f t="shared" si="2"/>
        <v>Perawatan</v>
      </c>
      <c r="L55" s="218" t="s">
        <v>647</v>
      </c>
      <c r="M55" s="117">
        <v>1763</v>
      </c>
    </row>
    <row r="56" spans="2:13" ht="15.75" customHeight="1" x14ac:dyDescent="0.3">
      <c r="B56" s="114">
        <v>21.06</v>
      </c>
      <c r="C56" s="114">
        <f t="shared" si="0"/>
        <v>46.8</v>
      </c>
      <c r="D56" s="107">
        <f t="shared" si="1"/>
        <v>53.2</v>
      </c>
      <c r="E56" s="107">
        <v>64.47</v>
      </c>
      <c r="F56" s="218" t="s">
        <v>645</v>
      </c>
      <c r="G56" s="14">
        <v>62</v>
      </c>
      <c r="H56" s="217" t="str">
        <f t="shared" si="2"/>
        <v>Perbaikan</v>
      </c>
      <c r="L56" s="218" t="s">
        <v>647</v>
      </c>
      <c r="M56" s="117">
        <v>2946</v>
      </c>
    </row>
    <row r="57" spans="2:13" ht="15.75" customHeight="1" x14ac:dyDescent="0.3">
      <c r="B57" s="114">
        <v>21.67</v>
      </c>
      <c r="C57" s="114">
        <f t="shared" si="0"/>
        <v>48.155555555555559</v>
      </c>
      <c r="D57" s="107">
        <f t="shared" si="1"/>
        <v>51.844444444444441</v>
      </c>
      <c r="E57" s="107">
        <v>63.960000000000008</v>
      </c>
      <c r="F57" s="218" t="s">
        <v>645</v>
      </c>
      <c r="G57" s="14">
        <v>288</v>
      </c>
      <c r="H57" s="217" t="str">
        <f t="shared" si="2"/>
        <v>Perbaikan</v>
      </c>
      <c r="L57" s="218" t="s">
        <v>647</v>
      </c>
      <c r="M57" s="117">
        <v>2522</v>
      </c>
    </row>
    <row r="58" spans="2:13" ht="15.75" customHeight="1" x14ac:dyDescent="0.3">
      <c r="B58" s="114">
        <v>21.16</v>
      </c>
      <c r="C58" s="114">
        <f t="shared" si="0"/>
        <v>47.022222222222219</v>
      </c>
      <c r="D58" s="107">
        <f t="shared" si="1"/>
        <v>52.977777777777781</v>
      </c>
      <c r="E58" s="107">
        <v>64.61</v>
      </c>
      <c r="F58" s="218" t="s">
        <v>645</v>
      </c>
      <c r="G58" s="14">
        <v>69</v>
      </c>
      <c r="H58" s="217" t="str">
        <f t="shared" si="2"/>
        <v>Perbaikan</v>
      </c>
      <c r="L58" s="218" t="s">
        <v>647</v>
      </c>
      <c r="M58" s="116">
        <v>1449</v>
      </c>
    </row>
    <row r="59" spans="2:13" ht="15.75" customHeight="1" x14ac:dyDescent="0.3">
      <c r="B59" s="114">
        <v>26.4</v>
      </c>
      <c r="C59" s="114">
        <f t="shared" si="0"/>
        <v>58.666666666666664</v>
      </c>
      <c r="D59" s="107">
        <f t="shared" si="1"/>
        <v>41.333333333333336</v>
      </c>
      <c r="E59" s="115">
        <v>66.949999999999989</v>
      </c>
      <c r="F59" s="218" t="s">
        <v>645</v>
      </c>
      <c r="G59" s="117">
        <v>661</v>
      </c>
      <c r="H59" s="217" t="str">
        <f t="shared" si="2"/>
        <v>Perbaikan</v>
      </c>
      <c r="L59" s="218" t="s">
        <v>647</v>
      </c>
      <c r="M59" s="116">
        <v>1393</v>
      </c>
    </row>
    <row r="60" spans="2:13" ht="15.75" customHeight="1" x14ac:dyDescent="0.3">
      <c r="B60" s="114">
        <v>25.04</v>
      </c>
      <c r="C60" s="114">
        <f t="shared" si="0"/>
        <v>55.644444444444439</v>
      </c>
      <c r="D60" s="107">
        <f t="shared" si="1"/>
        <v>44.355555555555561</v>
      </c>
      <c r="E60" s="115">
        <v>55.87</v>
      </c>
      <c r="F60" s="218" t="s">
        <v>645</v>
      </c>
      <c r="G60" s="117">
        <v>515</v>
      </c>
      <c r="H60" s="217" t="str">
        <f t="shared" si="2"/>
        <v>Perbaikan</v>
      </c>
      <c r="L60" s="218" t="s">
        <v>647</v>
      </c>
      <c r="M60" s="116">
        <v>1244</v>
      </c>
    </row>
    <row r="61" spans="2:13" ht="15.75" customHeight="1" x14ac:dyDescent="0.3">
      <c r="B61" s="105">
        <v>29.97</v>
      </c>
      <c r="C61" s="114">
        <f t="shared" si="0"/>
        <v>66.599999999999994</v>
      </c>
      <c r="D61" s="107">
        <f t="shared" si="1"/>
        <v>33.400000000000006</v>
      </c>
      <c r="E61" s="115">
        <v>61.04</v>
      </c>
      <c r="F61" s="218" t="s">
        <v>638</v>
      </c>
      <c r="G61" s="117">
        <v>293</v>
      </c>
      <c r="H61" s="217" t="str">
        <f t="shared" si="2"/>
        <v>Perbaikan</v>
      </c>
      <c r="L61" s="218" t="s">
        <v>647</v>
      </c>
      <c r="M61" s="116">
        <v>1523</v>
      </c>
    </row>
    <row r="62" spans="2:13" ht="15.75" customHeight="1" x14ac:dyDescent="0.3">
      <c r="B62" s="114">
        <v>24.68</v>
      </c>
      <c r="C62" s="114">
        <f t="shared" si="0"/>
        <v>54.844444444444441</v>
      </c>
      <c r="D62" s="107">
        <f t="shared" si="1"/>
        <v>45.155555555555559</v>
      </c>
      <c r="E62" s="115">
        <v>53.15</v>
      </c>
      <c r="F62" s="218" t="s">
        <v>645</v>
      </c>
      <c r="G62" s="117">
        <v>971</v>
      </c>
      <c r="H62" s="217" t="str">
        <f t="shared" si="2"/>
        <v>Rehab J.I</v>
      </c>
      <c r="L62" s="218" t="s">
        <v>647</v>
      </c>
      <c r="M62" s="116">
        <v>2462</v>
      </c>
    </row>
    <row r="63" spans="2:13" ht="15.75" customHeight="1" x14ac:dyDescent="0.3">
      <c r="B63" s="114">
        <v>22.58</v>
      </c>
      <c r="C63" s="114">
        <f t="shared" si="0"/>
        <v>50.177777777777777</v>
      </c>
      <c r="D63" s="107">
        <f t="shared" si="1"/>
        <v>49.822222222222223</v>
      </c>
      <c r="E63" s="115">
        <v>54.65</v>
      </c>
      <c r="F63" s="218" t="s">
        <v>645</v>
      </c>
      <c r="G63" s="117">
        <v>1911</v>
      </c>
      <c r="H63" s="217" t="str">
        <f t="shared" si="2"/>
        <v>Rehab J.I</v>
      </c>
      <c r="L63" s="218" t="s">
        <v>645</v>
      </c>
      <c r="M63" s="14">
        <v>527</v>
      </c>
    </row>
    <row r="64" spans="2:13" ht="15.75" customHeight="1" x14ac:dyDescent="0.3">
      <c r="B64" s="114">
        <v>17.739999999999998</v>
      </c>
      <c r="C64" s="114">
        <f t="shared" si="0"/>
        <v>39.422222222222217</v>
      </c>
      <c r="D64" s="107">
        <f t="shared" si="1"/>
        <v>60.577777777777783</v>
      </c>
      <c r="E64" s="107">
        <v>52.179999999999993</v>
      </c>
      <c r="F64" s="218" t="s">
        <v>645</v>
      </c>
      <c r="G64" s="30">
        <v>1055</v>
      </c>
      <c r="H64" s="217" t="str">
        <f t="shared" si="2"/>
        <v>Rehab J.I</v>
      </c>
      <c r="L64" s="218" t="s">
        <v>645</v>
      </c>
      <c r="M64" s="14">
        <v>457</v>
      </c>
    </row>
    <row r="65" spans="2:13" ht="15.75" customHeight="1" x14ac:dyDescent="0.3">
      <c r="B65" s="114">
        <v>20.46</v>
      </c>
      <c r="C65" s="114">
        <f t="shared" si="0"/>
        <v>45.466666666666669</v>
      </c>
      <c r="D65" s="107">
        <f t="shared" si="1"/>
        <v>54.533333333333331</v>
      </c>
      <c r="E65" s="107">
        <v>57.160000000000004</v>
      </c>
      <c r="F65" s="218" t="s">
        <v>645</v>
      </c>
      <c r="G65" s="14">
        <v>2143</v>
      </c>
      <c r="H65" s="217" t="str">
        <f t="shared" si="2"/>
        <v>Perbaikan</v>
      </c>
      <c r="L65" s="218" t="s">
        <v>645</v>
      </c>
      <c r="M65" s="14">
        <v>53</v>
      </c>
    </row>
    <row r="66" spans="2:13" ht="15.75" customHeight="1" x14ac:dyDescent="0.3">
      <c r="B66" s="114">
        <v>23.24</v>
      </c>
      <c r="C66" s="114">
        <f t="shared" si="0"/>
        <v>51.644444444444439</v>
      </c>
      <c r="D66" s="107">
        <f t="shared" si="1"/>
        <v>48.355555555555561</v>
      </c>
      <c r="E66" s="115">
        <v>66.58</v>
      </c>
      <c r="F66" s="218" t="s">
        <v>645</v>
      </c>
      <c r="G66" s="117">
        <v>2721</v>
      </c>
      <c r="H66" s="217" t="str">
        <f t="shared" si="2"/>
        <v>Perbaikan</v>
      </c>
      <c r="L66" s="218" t="s">
        <v>645</v>
      </c>
      <c r="M66" s="14">
        <v>32</v>
      </c>
    </row>
    <row r="67" spans="2:13" ht="15.75" customHeight="1" x14ac:dyDescent="0.3">
      <c r="B67" s="114">
        <v>23.24</v>
      </c>
      <c r="C67" s="114">
        <f t="shared" si="0"/>
        <v>51.644444444444439</v>
      </c>
      <c r="D67" s="107">
        <f t="shared" si="1"/>
        <v>48.355555555555561</v>
      </c>
      <c r="E67" s="107">
        <v>64.91</v>
      </c>
      <c r="F67" s="218" t="s">
        <v>645</v>
      </c>
      <c r="G67" s="14">
        <v>1146</v>
      </c>
      <c r="H67" s="217" t="str">
        <f t="shared" si="2"/>
        <v>Perbaikan</v>
      </c>
      <c r="L67" s="218" t="s">
        <v>645</v>
      </c>
      <c r="M67" s="14">
        <v>59</v>
      </c>
    </row>
    <row r="68" spans="2:13" ht="15.75" customHeight="1" x14ac:dyDescent="0.3">
      <c r="B68" s="114">
        <v>21.75</v>
      </c>
      <c r="C68" s="114">
        <f t="shared" si="0"/>
        <v>48.333333333333336</v>
      </c>
      <c r="D68" s="107">
        <f t="shared" si="1"/>
        <v>51.666666666666664</v>
      </c>
      <c r="E68" s="107">
        <v>63.36999999999999</v>
      </c>
      <c r="F68" s="218" t="s">
        <v>645</v>
      </c>
      <c r="G68" s="14">
        <v>1144</v>
      </c>
      <c r="H68" s="217" t="str">
        <f t="shared" si="2"/>
        <v>Perbaikan</v>
      </c>
      <c r="L68" s="218" t="s">
        <v>645</v>
      </c>
      <c r="M68" s="14">
        <v>165</v>
      </c>
    </row>
    <row r="69" spans="2:13" ht="15.75" customHeight="1" x14ac:dyDescent="0.3">
      <c r="B69" s="114">
        <v>26.6</v>
      </c>
      <c r="C69" s="114">
        <f t="shared" si="0"/>
        <v>59.111111111111114</v>
      </c>
      <c r="D69" s="107">
        <f t="shared" si="1"/>
        <v>40.888888888888886</v>
      </c>
      <c r="E69" s="107">
        <v>68.680000000000007</v>
      </c>
      <c r="F69" s="218" t="s">
        <v>645</v>
      </c>
      <c r="G69" s="14">
        <v>1347</v>
      </c>
      <c r="H69" s="217" t="str">
        <f t="shared" si="2"/>
        <v>Perbaikan</v>
      </c>
      <c r="L69" s="218" t="s">
        <v>645</v>
      </c>
      <c r="M69" s="14">
        <v>551</v>
      </c>
    </row>
    <row r="70" spans="2:13" ht="15.75" customHeight="1" x14ac:dyDescent="0.3">
      <c r="B70" s="114">
        <v>22.83</v>
      </c>
      <c r="C70" s="114">
        <f t="shared" si="0"/>
        <v>50.733333333333327</v>
      </c>
      <c r="D70" s="107">
        <f t="shared" si="1"/>
        <v>49.266666666666673</v>
      </c>
      <c r="E70" s="107">
        <v>66.419999999999987</v>
      </c>
      <c r="F70" s="218" t="s">
        <v>645</v>
      </c>
      <c r="G70" s="14">
        <v>1733</v>
      </c>
      <c r="H70" s="217" t="str">
        <f t="shared" si="2"/>
        <v>Perbaikan</v>
      </c>
      <c r="L70" s="218" t="s">
        <v>645</v>
      </c>
      <c r="M70" s="14">
        <v>69</v>
      </c>
    </row>
    <row r="71" spans="2:13" ht="15.75" customHeight="1" x14ac:dyDescent="0.3">
      <c r="B71" s="114">
        <v>24.5</v>
      </c>
      <c r="C71" s="114">
        <f t="shared" si="0"/>
        <v>54.444444444444443</v>
      </c>
      <c r="D71" s="107">
        <f t="shared" si="1"/>
        <v>45.555555555555557</v>
      </c>
      <c r="E71" s="115">
        <v>61.250000000000007</v>
      </c>
      <c r="F71" s="218" t="s">
        <v>645</v>
      </c>
      <c r="G71" s="117">
        <v>1229</v>
      </c>
      <c r="H71" s="217" t="str">
        <f t="shared" si="2"/>
        <v>Perbaikan</v>
      </c>
      <c r="L71" s="218" t="s">
        <v>645</v>
      </c>
      <c r="M71" s="14">
        <v>51</v>
      </c>
    </row>
    <row r="72" spans="2:13" ht="15.75" customHeight="1" x14ac:dyDescent="0.3">
      <c r="B72" s="114">
        <v>27.87</v>
      </c>
      <c r="C72" s="114">
        <f t="shared" si="0"/>
        <v>61.933333333333337</v>
      </c>
      <c r="D72" s="107">
        <f t="shared" si="1"/>
        <v>38.066666666666663</v>
      </c>
      <c r="E72" s="107">
        <v>64.040000000000006</v>
      </c>
      <c r="F72" s="218" t="s">
        <v>638</v>
      </c>
      <c r="G72" s="14">
        <v>1292</v>
      </c>
      <c r="H72" s="217" t="str">
        <f t="shared" si="2"/>
        <v>Perbaikan</v>
      </c>
      <c r="L72" s="218" t="s">
        <v>645</v>
      </c>
      <c r="M72" s="14">
        <v>62</v>
      </c>
    </row>
    <row r="73" spans="2:13" ht="15.75" customHeight="1" x14ac:dyDescent="0.3">
      <c r="B73" s="114">
        <v>11.3</v>
      </c>
      <c r="C73" s="114">
        <f t="shared" si="0"/>
        <v>25.111111111111111</v>
      </c>
      <c r="D73" s="107">
        <f t="shared" si="1"/>
        <v>74.888888888888886</v>
      </c>
      <c r="E73" s="107">
        <v>54.63</v>
      </c>
      <c r="F73" s="218" t="s">
        <v>645</v>
      </c>
      <c r="G73" s="14">
        <v>1475</v>
      </c>
      <c r="H73" s="217" t="str">
        <f t="shared" si="2"/>
        <v>Rehab J.I</v>
      </c>
      <c r="L73" s="218" t="s">
        <v>645</v>
      </c>
      <c r="M73" s="14">
        <v>56</v>
      </c>
    </row>
    <row r="74" spans="2:13" ht="15.75" customHeight="1" x14ac:dyDescent="0.3">
      <c r="B74" s="105">
        <v>37.57</v>
      </c>
      <c r="C74" s="114">
        <f t="shared" si="0"/>
        <v>83.488888888888894</v>
      </c>
      <c r="D74" s="107">
        <f t="shared" si="1"/>
        <v>16.511111111111106</v>
      </c>
      <c r="E74" s="115">
        <v>81.5</v>
      </c>
      <c r="F74" s="218" t="s">
        <v>647</v>
      </c>
      <c r="G74" s="117">
        <v>2522</v>
      </c>
      <c r="H74" s="217" t="str">
        <f t="shared" si="2"/>
        <v>Perawatan</v>
      </c>
      <c r="L74" s="218" t="s">
        <v>645</v>
      </c>
      <c r="M74" s="14">
        <v>38</v>
      </c>
    </row>
    <row r="75" spans="2:13" ht="15.75" customHeight="1" x14ac:dyDescent="0.3">
      <c r="B75" s="114">
        <v>20.72</v>
      </c>
      <c r="C75" s="114">
        <f t="shared" si="0"/>
        <v>46.044444444444444</v>
      </c>
      <c r="D75" s="107">
        <f t="shared" si="1"/>
        <v>53.955555555555556</v>
      </c>
      <c r="E75" s="107">
        <v>63.949999999999996</v>
      </c>
      <c r="F75" s="218" t="s">
        <v>645</v>
      </c>
      <c r="G75" s="14">
        <v>1044</v>
      </c>
      <c r="H75" s="217" t="str">
        <f t="shared" si="2"/>
        <v>Perbaikan</v>
      </c>
      <c r="L75" s="218" t="s">
        <v>645</v>
      </c>
      <c r="M75" s="14">
        <v>45</v>
      </c>
    </row>
    <row r="76" spans="2:13" ht="15.75" customHeight="1" x14ac:dyDescent="0.3">
      <c r="B76" s="114">
        <v>12.44</v>
      </c>
      <c r="C76" s="114">
        <f t="shared" si="0"/>
        <v>27.644444444444442</v>
      </c>
      <c r="D76" s="107">
        <f t="shared" si="1"/>
        <v>72.355555555555554</v>
      </c>
      <c r="E76" s="113">
        <v>47.994</v>
      </c>
      <c r="F76" s="218" t="s">
        <v>645</v>
      </c>
      <c r="G76" s="30">
        <v>1120</v>
      </c>
      <c r="H76" s="217" t="str">
        <f t="shared" si="2"/>
        <v>Rehab J.I</v>
      </c>
      <c r="L76" s="218" t="s">
        <v>645</v>
      </c>
      <c r="M76" s="14">
        <v>461</v>
      </c>
    </row>
    <row r="77" spans="2:13" ht="15.75" customHeight="1" x14ac:dyDescent="0.3">
      <c r="B77" s="114">
        <v>19.809999999999999</v>
      </c>
      <c r="C77" s="114">
        <f t="shared" si="0"/>
        <v>44.022222222222219</v>
      </c>
      <c r="D77" s="107">
        <f t="shared" si="1"/>
        <v>55.977777777777781</v>
      </c>
      <c r="E77" s="107">
        <v>57.16</v>
      </c>
      <c r="F77" s="218" t="s">
        <v>645</v>
      </c>
      <c r="G77" s="14">
        <v>1274</v>
      </c>
      <c r="H77" s="217" t="str">
        <f t="shared" si="2"/>
        <v>Perbaikan</v>
      </c>
      <c r="L77" s="218" t="s">
        <v>645</v>
      </c>
      <c r="M77" s="14">
        <v>1378</v>
      </c>
    </row>
    <row r="78" spans="2:13" ht="15.75" customHeight="1" x14ac:dyDescent="0.3">
      <c r="B78" s="114">
        <v>19.23</v>
      </c>
      <c r="C78" s="114">
        <f t="shared" si="0"/>
        <v>42.733333333333334</v>
      </c>
      <c r="D78" s="107">
        <f t="shared" si="1"/>
        <v>57.266666666666666</v>
      </c>
      <c r="E78" s="107">
        <v>57.07</v>
      </c>
      <c r="F78" s="218" t="s">
        <v>645</v>
      </c>
      <c r="G78" s="14">
        <v>1661</v>
      </c>
      <c r="H78" s="217" t="str">
        <f t="shared" si="2"/>
        <v>Perbaikan</v>
      </c>
      <c r="L78" s="218" t="s">
        <v>645</v>
      </c>
      <c r="M78" s="117">
        <v>1926</v>
      </c>
    </row>
    <row r="79" spans="2:13" ht="15.75" customHeight="1" x14ac:dyDescent="0.3">
      <c r="B79" s="114">
        <v>14.54</v>
      </c>
      <c r="C79" s="114">
        <f t="shared" si="0"/>
        <v>32.31111111111111</v>
      </c>
      <c r="D79" s="107">
        <f t="shared" si="1"/>
        <v>67.688888888888897</v>
      </c>
      <c r="E79" s="107">
        <v>53.22</v>
      </c>
      <c r="F79" s="218" t="s">
        <v>645</v>
      </c>
      <c r="G79" s="14">
        <v>1779</v>
      </c>
      <c r="H79" s="217" t="str">
        <f t="shared" si="2"/>
        <v>Rehab J.I</v>
      </c>
      <c r="L79" s="218" t="s">
        <v>645</v>
      </c>
      <c r="M79" s="14">
        <v>369</v>
      </c>
    </row>
    <row r="80" spans="2:13" ht="15.75" customHeight="1" x14ac:dyDescent="0.3">
      <c r="B80" s="114">
        <v>27.63</v>
      </c>
      <c r="C80" s="114">
        <f t="shared" si="0"/>
        <v>61.4</v>
      </c>
      <c r="D80" s="107">
        <f t="shared" si="1"/>
        <v>38.6</v>
      </c>
      <c r="E80" s="107">
        <v>51.629999999999995</v>
      </c>
      <c r="F80" s="218" t="s">
        <v>638</v>
      </c>
      <c r="G80" s="13">
        <v>1232</v>
      </c>
      <c r="H80" s="217" t="str">
        <f t="shared" si="2"/>
        <v>Perbaikan</v>
      </c>
      <c r="L80" s="218" t="s">
        <v>645</v>
      </c>
      <c r="M80" s="14">
        <v>281</v>
      </c>
    </row>
    <row r="81" spans="2:13" ht="15.75" customHeight="1" x14ac:dyDescent="0.3">
      <c r="B81" s="114">
        <v>20.7</v>
      </c>
      <c r="C81" s="114">
        <f t="shared" si="0"/>
        <v>46</v>
      </c>
      <c r="D81" s="107">
        <f t="shared" si="1"/>
        <v>54</v>
      </c>
      <c r="E81" s="107">
        <v>56.28</v>
      </c>
      <c r="F81" s="218" t="s">
        <v>645</v>
      </c>
      <c r="G81" s="13">
        <v>1155</v>
      </c>
      <c r="H81" s="217" t="str">
        <f t="shared" si="2"/>
        <v>Perbaikan</v>
      </c>
      <c r="L81" s="218" t="s">
        <v>645</v>
      </c>
      <c r="M81" s="14">
        <v>332</v>
      </c>
    </row>
    <row r="82" spans="2:13" ht="15.75" customHeight="1" x14ac:dyDescent="0.3">
      <c r="B82" s="114">
        <v>19.88</v>
      </c>
      <c r="C82" s="114">
        <f t="shared" si="0"/>
        <v>44.177777777777777</v>
      </c>
      <c r="D82" s="107">
        <f t="shared" si="1"/>
        <v>55.822222222222223</v>
      </c>
      <c r="E82" s="107">
        <v>61.069999999999993</v>
      </c>
      <c r="F82" s="218" t="s">
        <v>645</v>
      </c>
      <c r="G82" s="13">
        <v>422</v>
      </c>
      <c r="H82" s="217" t="str">
        <f t="shared" si="2"/>
        <v>Perbaikan</v>
      </c>
      <c r="L82" s="218" t="s">
        <v>645</v>
      </c>
      <c r="M82" s="14">
        <v>98</v>
      </c>
    </row>
    <row r="83" spans="2:13" ht="15.75" customHeight="1" x14ac:dyDescent="0.3">
      <c r="B83" s="114">
        <v>17.02</v>
      </c>
      <c r="C83" s="114">
        <f t="shared" si="0"/>
        <v>37.822222222222223</v>
      </c>
      <c r="D83" s="107">
        <f t="shared" si="1"/>
        <v>62.177777777777777</v>
      </c>
      <c r="E83" s="107">
        <v>51.4</v>
      </c>
      <c r="F83" s="218" t="s">
        <v>645</v>
      </c>
      <c r="G83" s="13">
        <v>194</v>
      </c>
      <c r="H83" s="217" t="str">
        <f t="shared" si="2"/>
        <v>Rehab J.I</v>
      </c>
      <c r="L83" s="218" t="s">
        <v>645</v>
      </c>
      <c r="M83" s="14">
        <v>245</v>
      </c>
    </row>
    <row r="84" spans="2:13" ht="15.75" customHeight="1" x14ac:dyDescent="0.3">
      <c r="B84" s="114">
        <v>22.09</v>
      </c>
      <c r="C84" s="114">
        <f t="shared" si="0"/>
        <v>49.088888888888889</v>
      </c>
      <c r="D84" s="107">
        <f t="shared" si="1"/>
        <v>50.911111111111111</v>
      </c>
      <c r="E84" s="107">
        <v>56.330000000000005</v>
      </c>
      <c r="F84" s="218" t="s">
        <v>645</v>
      </c>
      <c r="G84" s="13">
        <v>684</v>
      </c>
      <c r="H84" s="217" t="str">
        <f t="shared" si="2"/>
        <v>Perbaikan</v>
      </c>
      <c r="L84" s="218" t="s">
        <v>645</v>
      </c>
      <c r="M84" s="14">
        <v>113</v>
      </c>
    </row>
    <row r="85" spans="2:13" ht="15.75" customHeight="1" x14ac:dyDescent="0.3">
      <c r="B85" s="114">
        <v>29.73</v>
      </c>
      <c r="C85" s="114">
        <f t="shared" si="0"/>
        <v>66.066666666666663</v>
      </c>
      <c r="D85" s="107">
        <f t="shared" si="1"/>
        <v>33.933333333333337</v>
      </c>
      <c r="E85" s="107">
        <v>68.52</v>
      </c>
      <c r="F85" s="218" t="s">
        <v>638</v>
      </c>
      <c r="G85" s="13">
        <v>461</v>
      </c>
      <c r="H85" s="217" t="str">
        <f t="shared" si="2"/>
        <v>Perbaikan</v>
      </c>
      <c r="L85" s="218" t="s">
        <v>645</v>
      </c>
      <c r="M85" s="14">
        <v>69</v>
      </c>
    </row>
    <row r="86" spans="2:13" ht="15.75" customHeight="1" x14ac:dyDescent="0.3">
      <c r="B86" s="114">
        <v>12.03</v>
      </c>
      <c r="C86" s="114">
        <f t="shared" si="0"/>
        <v>26.733333333333331</v>
      </c>
      <c r="D86" s="107">
        <f t="shared" si="1"/>
        <v>73.266666666666666</v>
      </c>
      <c r="E86" s="107">
        <v>48.529999999999994</v>
      </c>
      <c r="F86" s="218" t="s">
        <v>645</v>
      </c>
      <c r="G86" s="13">
        <v>50</v>
      </c>
      <c r="H86" s="217" t="str">
        <f t="shared" si="2"/>
        <v>Rehab J.I</v>
      </c>
      <c r="L86" s="218" t="s">
        <v>645</v>
      </c>
      <c r="M86" s="14">
        <v>38</v>
      </c>
    </row>
    <row r="87" spans="2:13" ht="15.75" customHeight="1" x14ac:dyDescent="0.3">
      <c r="B87" s="114">
        <v>27.01</v>
      </c>
      <c r="C87" s="114">
        <f t="shared" si="0"/>
        <v>60.022222222222219</v>
      </c>
      <c r="D87" s="107">
        <f t="shared" si="1"/>
        <v>39.977777777777781</v>
      </c>
      <c r="E87" s="107">
        <v>67.789999999999992</v>
      </c>
      <c r="F87" s="218" t="s">
        <v>638</v>
      </c>
      <c r="G87" s="13">
        <v>1554</v>
      </c>
      <c r="H87" s="217" t="str">
        <f t="shared" si="2"/>
        <v>Perbaikan</v>
      </c>
      <c r="L87" s="218" t="s">
        <v>645</v>
      </c>
      <c r="M87" s="14">
        <v>1211</v>
      </c>
    </row>
    <row r="88" spans="2:13" ht="15.75" customHeight="1" x14ac:dyDescent="0.3">
      <c r="B88" s="114">
        <v>28.63</v>
      </c>
      <c r="C88" s="114">
        <f t="shared" si="0"/>
        <v>63.622222222222227</v>
      </c>
      <c r="D88" s="107">
        <f t="shared" si="1"/>
        <v>36.377777777777773</v>
      </c>
      <c r="E88" s="107">
        <v>66.759999999999991</v>
      </c>
      <c r="F88" s="218" t="s">
        <v>638</v>
      </c>
      <c r="G88" s="13">
        <v>745</v>
      </c>
      <c r="H88" s="217" t="str">
        <f t="shared" si="2"/>
        <v>Perbaikan</v>
      </c>
      <c r="L88" s="218" t="s">
        <v>645</v>
      </c>
      <c r="M88" s="117">
        <v>1470</v>
      </c>
    </row>
    <row r="89" spans="2:13" ht="15.75" customHeight="1" x14ac:dyDescent="0.3">
      <c r="B89" s="114">
        <v>26.37</v>
      </c>
      <c r="C89" s="114">
        <f t="shared" si="0"/>
        <v>58.600000000000009</v>
      </c>
      <c r="D89" s="107">
        <f t="shared" si="1"/>
        <v>41.399999999999991</v>
      </c>
      <c r="E89" s="107">
        <v>67.739999999999995</v>
      </c>
      <c r="F89" s="218" t="s">
        <v>645</v>
      </c>
      <c r="G89" s="13">
        <v>230</v>
      </c>
      <c r="H89" s="217" t="str">
        <f t="shared" si="2"/>
        <v>Perbaikan</v>
      </c>
      <c r="L89" s="218" t="s">
        <v>645</v>
      </c>
      <c r="M89" s="14">
        <v>445</v>
      </c>
    </row>
    <row r="90" spans="2:13" ht="15.75" customHeight="1" x14ac:dyDescent="0.3">
      <c r="B90" s="114">
        <v>20.94</v>
      </c>
      <c r="C90" s="114">
        <f t="shared" si="0"/>
        <v>46.533333333333339</v>
      </c>
      <c r="D90" s="107">
        <f t="shared" si="1"/>
        <v>53.466666666666661</v>
      </c>
      <c r="E90" s="107">
        <v>58.470000000000006</v>
      </c>
      <c r="F90" s="218" t="s">
        <v>645</v>
      </c>
      <c r="G90" s="13">
        <v>367</v>
      </c>
      <c r="H90" s="217" t="str">
        <f t="shared" si="2"/>
        <v>Perbaikan</v>
      </c>
      <c r="L90" s="218" t="s">
        <v>645</v>
      </c>
      <c r="M90" s="14">
        <v>62</v>
      </c>
    </row>
    <row r="91" spans="2:13" ht="15.75" customHeight="1" x14ac:dyDescent="0.3">
      <c r="B91" s="114">
        <v>25.35</v>
      </c>
      <c r="C91" s="114">
        <f t="shared" si="0"/>
        <v>56.333333333333336</v>
      </c>
      <c r="D91" s="107">
        <f t="shared" si="1"/>
        <v>43.666666666666664</v>
      </c>
      <c r="E91" s="107">
        <v>60.89</v>
      </c>
      <c r="F91" s="218" t="s">
        <v>645</v>
      </c>
      <c r="G91" s="13">
        <v>215</v>
      </c>
      <c r="H91" s="217" t="str">
        <f t="shared" si="2"/>
        <v>Perbaikan</v>
      </c>
      <c r="L91" s="218" t="s">
        <v>645</v>
      </c>
      <c r="M91" s="14">
        <v>288</v>
      </c>
    </row>
    <row r="92" spans="2:13" ht="15.75" customHeight="1" x14ac:dyDescent="0.3">
      <c r="B92" s="114">
        <v>20.22</v>
      </c>
      <c r="C92" s="114">
        <f t="shared" si="0"/>
        <v>44.93333333333333</v>
      </c>
      <c r="D92" s="107">
        <f t="shared" si="1"/>
        <v>55.06666666666667</v>
      </c>
      <c r="E92" s="107">
        <v>62.11</v>
      </c>
      <c r="F92" s="218" t="s">
        <v>645</v>
      </c>
      <c r="G92" s="13">
        <v>165</v>
      </c>
      <c r="H92" s="217" t="str">
        <f t="shared" si="2"/>
        <v>Perbaikan</v>
      </c>
      <c r="L92" s="218" t="s">
        <v>645</v>
      </c>
      <c r="M92" s="14">
        <v>69</v>
      </c>
    </row>
    <row r="93" spans="2:13" ht="15.75" customHeight="1" x14ac:dyDescent="0.3">
      <c r="B93" s="114">
        <v>19.66</v>
      </c>
      <c r="C93" s="114">
        <f t="shared" si="0"/>
        <v>43.68888888888889</v>
      </c>
      <c r="D93" s="107">
        <f t="shared" si="1"/>
        <v>56.31111111111111</v>
      </c>
      <c r="E93" s="107">
        <v>53.59</v>
      </c>
      <c r="F93" s="218" t="s">
        <v>645</v>
      </c>
      <c r="G93" s="13">
        <v>629</v>
      </c>
      <c r="H93" s="217" t="str">
        <f t="shared" si="2"/>
        <v>Rehab J.I</v>
      </c>
      <c r="L93" s="218" t="s">
        <v>645</v>
      </c>
      <c r="M93" s="117">
        <v>661</v>
      </c>
    </row>
    <row r="94" spans="2:13" ht="15.75" customHeight="1" x14ac:dyDescent="0.3">
      <c r="B94" s="114">
        <v>19.25</v>
      </c>
      <c r="C94" s="114">
        <f t="shared" si="0"/>
        <v>42.777777777777779</v>
      </c>
      <c r="D94" s="107">
        <f t="shared" si="1"/>
        <v>57.222222222222221</v>
      </c>
      <c r="E94" s="107">
        <v>51.189999999999991</v>
      </c>
      <c r="F94" s="218" t="s">
        <v>645</v>
      </c>
      <c r="G94" s="13">
        <v>2340</v>
      </c>
      <c r="H94" s="217" t="str">
        <f t="shared" si="2"/>
        <v>Rehab J.I</v>
      </c>
      <c r="L94" s="218" t="s">
        <v>645</v>
      </c>
      <c r="M94" s="117">
        <v>515</v>
      </c>
    </row>
    <row r="95" spans="2:13" ht="15.75" customHeight="1" x14ac:dyDescent="0.3">
      <c r="B95" s="114">
        <v>23.87</v>
      </c>
      <c r="C95" s="114">
        <f t="shared" si="0"/>
        <v>53.044444444444451</v>
      </c>
      <c r="D95" s="107">
        <f t="shared" si="1"/>
        <v>46.955555555555549</v>
      </c>
      <c r="E95" s="107">
        <v>65.44</v>
      </c>
      <c r="F95" s="218" t="s">
        <v>645</v>
      </c>
      <c r="G95" s="13">
        <v>789</v>
      </c>
      <c r="H95" s="217" t="str">
        <f t="shared" si="2"/>
        <v>Perbaikan</v>
      </c>
      <c r="L95" s="218" t="s">
        <v>645</v>
      </c>
      <c r="M95" s="117">
        <v>971</v>
      </c>
    </row>
    <row r="96" spans="2:13" ht="15.75" customHeight="1" x14ac:dyDescent="0.3">
      <c r="B96" s="114">
        <v>15.05</v>
      </c>
      <c r="C96" s="114">
        <f t="shared" si="0"/>
        <v>33.444444444444443</v>
      </c>
      <c r="D96" s="107">
        <f t="shared" si="1"/>
        <v>66.555555555555557</v>
      </c>
      <c r="E96" s="107">
        <v>52.18</v>
      </c>
      <c r="F96" s="218" t="s">
        <v>645</v>
      </c>
      <c r="G96" s="13">
        <v>209</v>
      </c>
      <c r="H96" s="217" t="str">
        <f t="shared" si="2"/>
        <v>Rehab J.I</v>
      </c>
      <c r="L96" s="218" t="s">
        <v>645</v>
      </c>
      <c r="M96" s="117">
        <v>1911</v>
      </c>
    </row>
    <row r="97" spans="2:13" ht="15.75" customHeight="1" x14ac:dyDescent="0.3">
      <c r="B97" s="114">
        <v>13.9</v>
      </c>
      <c r="C97" s="114">
        <f t="shared" si="0"/>
        <v>30.888888888888889</v>
      </c>
      <c r="D97" s="107">
        <f t="shared" si="1"/>
        <v>69.111111111111114</v>
      </c>
      <c r="E97" s="107">
        <v>58.36</v>
      </c>
      <c r="F97" s="218" t="s">
        <v>645</v>
      </c>
      <c r="G97" s="13">
        <v>13</v>
      </c>
      <c r="H97" s="217" t="str">
        <f t="shared" si="2"/>
        <v>Perbaikan</v>
      </c>
      <c r="L97" s="218" t="s">
        <v>645</v>
      </c>
      <c r="M97" s="30">
        <v>1055</v>
      </c>
    </row>
    <row r="98" spans="2:13" ht="15.75" customHeight="1" x14ac:dyDescent="0.3">
      <c r="B98" s="114">
        <v>24.64</v>
      </c>
      <c r="C98" s="114">
        <f t="shared" si="0"/>
        <v>54.75555555555556</v>
      </c>
      <c r="D98" s="107">
        <f t="shared" si="1"/>
        <v>45.24444444444444</v>
      </c>
      <c r="E98" s="107">
        <v>63.870000000000005</v>
      </c>
      <c r="F98" s="218" t="s">
        <v>645</v>
      </c>
      <c r="G98" s="13">
        <v>54</v>
      </c>
      <c r="H98" s="217" t="str">
        <f t="shared" si="2"/>
        <v>Perbaikan</v>
      </c>
      <c r="L98" s="218" t="s">
        <v>645</v>
      </c>
      <c r="M98" s="14">
        <v>2143</v>
      </c>
    </row>
    <row r="99" spans="2:13" ht="15.75" customHeight="1" x14ac:dyDescent="0.3">
      <c r="B99" s="114">
        <v>25.98</v>
      </c>
      <c r="C99" s="114">
        <f t="shared" si="0"/>
        <v>57.733333333333334</v>
      </c>
      <c r="D99" s="107">
        <f t="shared" si="1"/>
        <v>42.266666666666666</v>
      </c>
      <c r="E99" s="107">
        <v>61.080000000000005</v>
      </c>
      <c r="F99" s="218" t="s">
        <v>645</v>
      </c>
      <c r="G99" s="13">
        <v>1332</v>
      </c>
      <c r="H99" s="217" t="str">
        <f t="shared" si="2"/>
        <v>Perbaikan</v>
      </c>
      <c r="L99" s="218" t="s">
        <v>645</v>
      </c>
      <c r="M99" s="117">
        <v>2721</v>
      </c>
    </row>
    <row r="100" spans="2:13" ht="15.75" customHeight="1" x14ac:dyDescent="0.3">
      <c r="B100" s="114">
        <v>27.41</v>
      </c>
      <c r="C100" s="114">
        <f t="shared" si="0"/>
        <v>60.911111111111119</v>
      </c>
      <c r="D100" s="107">
        <f t="shared" si="1"/>
        <v>39.088888888888881</v>
      </c>
      <c r="E100" s="107">
        <v>68.67</v>
      </c>
      <c r="F100" s="218" t="s">
        <v>638</v>
      </c>
      <c r="G100" s="13">
        <v>1058</v>
      </c>
      <c r="H100" s="217" t="str">
        <f t="shared" si="2"/>
        <v>Perbaikan</v>
      </c>
      <c r="L100" s="218" t="s">
        <v>645</v>
      </c>
      <c r="M100" s="14">
        <v>1146</v>
      </c>
    </row>
    <row r="101" spans="2:13" ht="15.75" customHeight="1" x14ac:dyDescent="0.3">
      <c r="B101" s="114">
        <v>27.22</v>
      </c>
      <c r="C101" s="114">
        <f t="shared" si="0"/>
        <v>60.48888888888888</v>
      </c>
      <c r="D101" s="107">
        <f t="shared" si="1"/>
        <v>39.51111111111112</v>
      </c>
      <c r="E101" s="107">
        <v>66.320000000000007</v>
      </c>
      <c r="F101" s="218" t="s">
        <v>638</v>
      </c>
      <c r="G101" s="13">
        <v>1045</v>
      </c>
      <c r="H101" s="217" t="str">
        <f t="shared" si="2"/>
        <v>Perbaikan</v>
      </c>
      <c r="L101" s="218" t="s">
        <v>645</v>
      </c>
      <c r="M101" s="14">
        <v>1144</v>
      </c>
    </row>
    <row r="102" spans="2:13" ht="15.75" customHeight="1" x14ac:dyDescent="0.3">
      <c r="B102" s="114">
        <v>27.01</v>
      </c>
      <c r="C102" s="114">
        <f t="shared" si="0"/>
        <v>60.022222222222219</v>
      </c>
      <c r="D102" s="107">
        <f t="shared" si="1"/>
        <v>39.977777777777781</v>
      </c>
      <c r="E102" s="107">
        <v>68.709999999999994</v>
      </c>
      <c r="F102" s="218" t="s">
        <v>638</v>
      </c>
      <c r="G102" s="13">
        <v>1273</v>
      </c>
      <c r="H102" s="217" t="str">
        <f t="shared" si="2"/>
        <v>Perbaikan</v>
      </c>
      <c r="L102" s="218" t="s">
        <v>645</v>
      </c>
      <c r="M102" s="14">
        <v>1347</v>
      </c>
    </row>
    <row r="103" spans="2:13" ht="15.75" customHeight="1" x14ac:dyDescent="0.3">
      <c r="B103" s="114">
        <v>21.97</v>
      </c>
      <c r="C103" s="114">
        <f t="shared" si="0"/>
        <v>48.822222222222223</v>
      </c>
      <c r="D103" s="107">
        <f t="shared" si="1"/>
        <v>51.177777777777777</v>
      </c>
      <c r="E103" s="107">
        <v>55.57</v>
      </c>
      <c r="F103" s="218" t="s">
        <v>645</v>
      </c>
      <c r="G103" s="13">
        <v>2433</v>
      </c>
      <c r="H103" s="217" t="str">
        <f t="shared" si="2"/>
        <v>Perbaikan</v>
      </c>
      <c r="L103" s="218" t="s">
        <v>645</v>
      </c>
      <c r="M103" s="14">
        <v>1733</v>
      </c>
    </row>
    <row r="104" spans="2:13" ht="15.75" customHeight="1" x14ac:dyDescent="0.3">
      <c r="B104" s="114">
        <v>21.53</v>
      </c>
      <c r="C104" s="114">
        <f t="shared" si="0"/>
        <v>47.844444444444449</v>
      </c>
      <c r="D104" s="107">
        <f t="shared" si="1"/>
        <v>52.155555555555551</v>
      </c>
      <c r="E104" s="107">
        <v>66.84</v>
      </c>
      <c r="F104" s="218" t="s">
        <v>645</v>
      </c>
      <c r="G104" s="13">
        <v>1403</v>
      </c>
      <c r="H104" s="217" t="str">
        <f t="shared" si="2"/>
        <v>Perbaikan</v>
      </c>
      <c r="L104" s="218" t="s">
        <v>645</v>
      </c>
      <c r="M104" s="117">
        <v>1229</v>
      </c>
    </row>
    <row r="105" spans="2:13" ht="15.75" customHeight="1" x14ac:dyDescent="0.3">
      <c r="B105" s="114">
        <v>27.13</v>
      </c>
      <c r="C105" s="114">
        <f t="shared" si="0"/>
        <v>60.288888888888891</v>
      </c>
      <c r="D105" s="107">
        <f t="shared" si="1"/>
        <v>39.711111111111109</v>
      </c>
      <c r="E105" s="115">
        <v>66.889999999999986</v>
      </c>
      <c r="F105" s="218" t="s">
        <v>638</v>
      </c>
      <c r="G105" s="116">
        <v>1000</v>
      </c>
      <c r="H105" s="217" t="str">
        <f t="shared" si="2"/>
        <v>Perbaikan</v>
      </c>
      <c r="L105" s="218" t="s">
        <v>645</v>
      </c>
      <c r="M105" s="14">
        <v>1475</v>
      </c>
    </row>
    <row r="106" spans="2:13" ht="15.75" customHeight="1" x14ac:dyDescent="0.3">
      <c r="B106" s="114">
        <v>25.69</v>
      </c>
      <c r="C106" s="114">
        <f t="shared" si="0"/>
        <v>57.088888888888889</v>
      </c>
      <c r="D106" s="107">
        <f t="shared" si="1"/>
        <v>42.911111111111111</v>
      </c>
      <c r="E106" s="107">
        <v>65.28</v>
      </c>
      <c r="F106" s="218" t="s">
        <v>645</v>
      </c>
      <c r="G106" s="13">
        <v>1096</v>
      </c>
      <c r="H106" s="217" t="str">
        <f t="shared" si="2"/>
        <v>Perbaikan</v>
      </c>
      <c r="L106" s="218" t="s">
        <v>645</v>
      </c>
      <c r="M106" s="14">
        <v>1044</v>
      </c>
    </row>
    <row r="107" spans="2:13" ht="15.75" customHeight="1" x14ac:dyDescent="0.3">
      <c r="B107" s="114">
        <v>27.97</v>
      </c>
      <c r="C107" s="114">
        <f t="shared" si="0"/>
        <v>62.155555555555551</v>
      </c>
      <c r="D107" s="107">
        <f t="shared" si="1"/>
        <v>37.844444444444449</v>
      </c>
      <c r="E107" s="107">
        <v>67.56</v>
      </c>
      <c r="F107" s="218" t="s">
        <v>638</v>
      </c>
      <c r="G107" s="13">
        <v>1787</v>
      </c>
      <c r="H107" s="217" t="str">
        <f t="shared" si="2"/>
        <v>Perbaikan</v>
      </c>
      <c r="L107" s="218" t="s">
        <v>645</v>
      </c>
      <c r="M107" s="30">
        <v>1120</v>
      </c>
    </row>
    <row r="108" spans="2:13" ht="15.75" customHeight="1" x14ac:dyDescent="0.3">
      <c r="B108" s="114">
        <v>30.94</v>
      </c>
      <c r="C108" s="114">
        <f t="shared" si="0"/>
        <v>68.75555555555556</v>
      </c>
      <c r="D108" s="107">
        <f t="shared" si="1"/>
        <v>31.24444444444444</v>
      </c>
      <c r="E108" s="107">
        <v>76.819999999999993</v>
      </c>
      <c r="F108" s="218" t="s">
        <v>638</v>
      </c>
      <c r="G108" s="13">
        <v>1370</v>
      </c>
      <c r="H108" s="217" t="str">
        <f t="shared" si="2"/>
        <v>Perawatan</v>
      </c>
      <c r="L108" s="218" t="s">
        <v>645</v>
      </c>
      <c r="M108" s="14">
        <v>1274</v>
      </c>
    </row>
    <row r="109" spans="2:13" ht="15.75" customHeight="1" x14ac:dyDescent="0.3">
      <c r="B109" s="114">
        <v>20.32</v>
      </c>
      <c r="C109" s="114">
        <f t="shared" si="0"/>
        <v>45.155555555555551</v>
      </c>
      <c r="D109" s="107">
        <f t="shared" si="1"/>
        <v>54.844444444444449</v>
      </c>
      <c r="E109" s="107">
        <v>62.230000000000004</v>
      </c>
      <c r="F109" s="218" t="s">
        <v>645</v>
      </c>
      <c r="G109" s="13">
        <v>1341</v>
      </c>
      <c r="H109" s="217" t="str">
        <f t="shared" si="2"/>
        <v>Perbaikan</v>
      </c>
      <c r="L109" s="218" t="s">
        <v>645</v>
      </c>
      <c r="M109" s="14">
        <v>1661</v>
      </c>
    </row>
    <row r="110" spans="2:13" ht="15.75" customHeight="1" x14ac:dyDescent="0.3">
      <c r="B110" s="114">
        <v>23.73</v>
      </c>
      <c r="C110" s="114">
        <f t="shared" si="0"/>
        <v>52.733333333333334</v>
      </c>
      <c r="D110" s="107">
        <f t="shared" si="1"/>
        <v>47.266666666666666</v>
      </c>
      <c r="E110" s="115">
        <v>63.500000000000007</v>
      </c>
      <c r="F110" s="218" t="s">
        <v>645</v>
      </c>
      <c r="G110" s="116">
        <v>1046</v>
      </c>
      <c r="H110" s="217" t="str">
        <f t="shared" si="2"/>
        <v>Perbaikan</v>
      </c>
      <c r="L110" s="218" t="s">
        <v>645</v>
      </c>
      <c r="M110" s="14">
        <v>1779</v>
      </c>
    </row>
    <row r="111" spans="2:13" ht="15.75" customHeight="1" x14ac:dyDescent="0.3">
      <c r="B111" s="114">
        <v>19.649999999999999</v>
      </c>
      <c r="C111" s="114">
        <f t="shared" si="0"/>
        <v>43.666666666666664</v>
      </c>
      <c r="D111" s="107">
        <f t="shared" si="1"/>
        <v>56.333333333333336</v>
      </c>
      <c r="E111" s="107">
        <v>58.599999999999994</v>
      </c>
      <c r="F111" s="218" t="s">
        <v>645</v>
      </c>
      <c r="G111" s="13">
        <v>1593</v>
      </c>
      <c r="H111" s="217" t="str">
        <f t="shared" si="2"/>
        <v>Perbaikan</v>
      </c>
      <c r="L111" s="218" t="s">
        <v>645</v>
      </c>
      <c r="M111" s="13">
        <v>1155</v>
      </c>
    </row>
    <row r="112" spans="2:13" ht="15.75" customHeight="1" x14ac:dyDescent="0.3">
      <c r="B112" s="114">
        <v>22.88</v>
      </c>
      <c r="C112" s="114">
        <f t="shared" si="0"/>
        <v>50.844444444444449</v>
      </c>
      <c r="D112" s="107">
        <f t="shared" si="1"/>
        <v>49.155555555555551</v>
      </c>
      <c r="E112" s="107">
        <v>66.77000000000001</v>
      </c>
      <c r="F112" s="218" t="s">
        <v>645</v>
      </c>
      <c r="G112" s="13">
        <v>1921</v>
      </c>
      <c r="H112" s="217" t="str">
        <f t="shared" si="2"/>
        <v>Perbaikan</v>
      </c>
      <c r="L112" s="218" t="s">
        <v>645</v>
      </c>
      <c r="M112" s="13">
        <v>422</v>
      </c>
    </row>
    <row r="113" spans="2:13" ht="15.75" customHeight="1" x14ac:dyDescent="0.3">
      <c r="B113" s="114">
        <v>26.42</v>
      </c>
      <c r="C113" s="114">
        <f t="shared" si="0"/>
        <v>58.711111111111116</v>
      </c>
      <c r="D113" s="107">
        <f t="shared" si="1"/>
        <v>41.288888888888884</v>
      </c>
      <c r="E113" s="107">
        <v>67.960000000000008</v>
      </c>
      <c r="F113" s="218" t="s">
        <v>645</v>
      </c>
      <c r="G113" s="13">
        <v>1884</v>
      </c>
      <c r="H113" s="217" t="str">
        <f t="shared" si="2"/>
        <v>Perbaikan</v>
      </c>
      <c r="L113" s="218" t="s">
        <v>645</v>
      </c>
      <c r="M113" s="13">
        <v>194</v>
      </c>
    </row>
    <row r="114" spans="2:13" ht="15.75" customHeight="1" x14ac:dyDescent="0.3">
      <c r="B114" s="114">
        <v>26.07</v>
      </c>
      <c r="C114" s="114">
        <f t="shared" si="0"/>
        <v>57.933333333333337</v>
      </c>
      <c r="D114" s="107">
        <f t="shared" si="1"/>
        <v>42.066666666666663</v>
      </c>
      <c r="E114" s="107">
        <v>63.24</v>
      </c>
      <c r="F114" s="218" t="s">
        <v>645</v>
      </c>
      <c r="G114" s="13">
        <v>1337</v>
      </c>
      <c r="H114" s="217" t="str">
        <f t="shared" si="2"/>
        <v>Perbaikan</v>
      </c>
      <c r="L114" s="218" t="s">
        <v>645</v>
      </c>
      <c r="M114" s="13">
        <v>684</v>
      </c>
    </row>
    <row r="115" spans="2:13" ht="15.75" customHeight="1" x14ac:dyDescent="0.3">
      <c r="B115" s="114">
        <v>23.26</v>
      </c>
      <c r="C115" s="114">
        <f t="shared" si="0"/>
        <v>51.688888888888897</v>
      </c>
      <c r="D115" s="107">
        <f t="shared" si="1"/>
        <v>48.311111111111103</v>
      </c>
      <c r="E115" s="107">
        <v>61.64</v>
      </c>
      <c r="F115" s="218" t="s">
        <v>645</v>
      </c>
      <c r="G115" s="13">
        <v>1246</v>
      </c>
      <c r="H115" s="217" t="str">
        <f t="shared" si="2"/>
        <v>Perbaikan</v>
      </c>
      <c r="L115" s="218" t="s">
        <v>645</v>
      </c>
      <c r="M115" s="13">
        <v>50</v>
      </c>
    </row>
    <row r="116" spans="2:13" ht="15.75" customHeight="1" x14ac:dyDescent="0.3">
      <c r="B116" s="114">
        <v>21.51</v>
      </c>
      <c r="C116" s="114">
        <f t="shared" si="0"/>
        <v>47.800000000000004</v>
      </c>
      <c r="D116" s="107">
        <f t="shared" si="1"/>
        <v>52.199999999999996</v>
      </c>
      <c r="E116" s="107">
        <v>59.82</v>
      </c>
      <c r="F116" s="218" t="s">
        <v>645</v>
      </c>
      <c r="G116" s="13">
        <v>1372</v>
      </c>
      <c r="H116" s="217" t="str">
        <f t="shared" si="2"/>
        <v>Perbaikan</v>
      </c>
      <c r="L116" s="218" t="s">
        <v>645</v>
      </c>
      <c r="M116" s="13">
        <v>230</v>
      </c>
    </row>
    <row r="117" spans="2:13" ht="15.75" customHeight="1" x14ac:dyDescent="0.3">
      <c r="B117" s="114">
        <v>22.73</v>
      </c>
      <c r="C117" s="114">
        <f t="shared" si="0"/>
        <v>50.511111111111106</v>
      </c>
      <c r="D117" s="107">
        <f t="shared" si="1"/>
        <v>49.488888888888894</v>
      </c>
      <c r="E117" s="107">
        <v>63.25</v>
      </c>
      <c r="F117" s="218" t="s">
        <v>645</v>
      </c>
      <c r="G117" s="13">
        <v>695</v>
      </c>
      <c r="H117" s="217" t="str">
        <f t="shared" si="2"/>
        <v>Perbaikan</v>
      </c>
      <c r="L117" s="218" t="s">
        <v>645</v>
      </c>
      <c r="M117" s="13">
        <v>367</v>
      </c>
    </row>
    <row r="118" spans="2:13" ht="15.75" customHeight="1" x14ac:dyDescent="0.3">
      <c r="B118" s="114">
        <v>23.63</v>
      </c>
      <c r="C118" s="114">
        <f t="shared" si="0"/>
        <v>52.511111111111106</v>
      </c>
      <c r="D118" s="107">
        <f t="shared" si="1"/>
        <v>47.488888888888894</v>
      </c>
      <c r="E118" s="107">
        <v>64.150000000000006</v>
      </c>
      <c r="F118" s="218" t="s">
        <v>645</v>
      </c>
      <c r="G118" s="13">
        <v>463</v>
      </c>
      <c r="H118" s="217" t="str">
        <f t="shared" si="2"/>
        <v>Perbaikan</v>
      </c>
      <c r="L118" s="218" t="s">
        <v>645</v>
      </c>
      <c r="M118" s="13">
        <v>215</v>
      </c>
    </row>
    <row r="119" spans="2:13" ht="15.75" customHeight="1" x14ac:dyDescent="0.3">
      <c r="B119" s="114">
        <v>30.77</v>
      </c>
      <c r="C119" s="114">
        <f t="shared" si="0"/>
        <v>68.37777777777778</v>
      </c>
      <c r="D119" s="107">
        <f t="shared" si="1"/>
        <v>31.62222222222222</v>
      </c>
      <c r="E119" s="107">
        <v>58.779999999999994</v>
      </c>
      <c r="F119" s="218" t="s">
        <v>638</v>
      </c>
      <c r="G119" s="13">
        <v>296</v>
      </c>
      <c r="H119" s="217" t="str">
        <f t="shared" si="2"/>
        <v>Perbaikan</v>
      </c>
      <c r="L119" s="218" t="s">
        <v>645</v>
      </c>
      <c r="M119" s="13">
        <v>165</v>
      </c>
    </row>
    <row r="120" spans="2:13" ht="15.75" customHeight="1" x14ac:dyDescent="0.3">
      <c r="B120" s="105">
        <v>35.97</v>
      </c>
      <c r="C120" s="114">
        <f t="shared" si="0"/>
        <v>79.933333333333337</v>
      </c>
      <c r="D120" s="107">
        <f t="shared" si="1"/>
        <v>20.066666666666663</v>
      </c>
      <c r="E120" s="115">
        <v>66.02000000000001</v>
      </c>
      <c r="F120" s="218" t="s">
        <v>638</v>
      </c>
      <c r="G120" s="116">
        <v>2581</v>
      </c>
      <c r="H120" s="217" t="str">
        <f t="shared" si="2"/>
        <v>Perbaikan</v>
      </c>
      <c r="L120" s="218" t="s">
        <v>645</v>
      </c>
      <c r="M120" s="13">
        <v>629</v>
      </c>
    </row>
    <row r="121" spans="2:13" ht="15.75" customHeight="1" x14ac:dyDescent="0.3">
      <c r="B121" s="114">
        <v>23.01</v>
      </c>
      <c r="C121" s="114">
        <f t="shared" si="0"/>
        <v>51.13333333333334</v>
      </c>
      <c r="D121" s="107">
        <f t="shared" si="1"/>
        <v>48.86666666666666</v>
      </c>
      <c r="E121" s="107">
        <v>60.89</v>
      </c>
      <c r="F121" s="218" t="s">
        <v>645</v>
      </c>
      <c r="G121" s="13">
        <v>1126</v>
      </c>
      <c r="H121" s="217" t="str">
        <f t="shared" si="2"/>
        <v>Perbaikan</v>
      </c>
      <c r="L121" s="218" t="s">
        <v>645</v>
      </c>
      <c r="M121" s="13">
        <v>2340</v>
      </c>
    </row>
    <row r="122" spans="2:13" ht="15.75" customHeight="1" x14ac:dyDescent="0.3">
      <c r="B122" s="114">
        <v>31.88</v>
      </c>
      <c r="C122" s="114">
        <f t="shared" si="0"/>
        <v>70.844444444444449</v>
      </c>
      <c r="D122" s="107">
        <f t="shared" si="1"/>
        <v>29.155555555555551</v>
      </c>
      <c r="E122" s="115">
        <v>67.22999999999999</v>
      </c>
      <c r="F122" s="218" t="s">
        <v>638</v>
      </c>
      <c r="G122" s="116">
        <v>1523</v>
      </c>
      <c r="H122" s="217" t="str">
        <f t="shared" si="2"/>
        <v>Perbaikan</v>
      </c>
      <c r="L122" s="218" t="s">
        <v>645</v>
      </c>
      <c r="M122" s="13">
        <v>789</v>
      </c>
    </row>
    <row r="123" spans="2:13" ht="15.75" customHeight="1" x14ac:dyDescent="0.3">
      <c r="B123" s="114">
        <v>25.02</v>
      </c>
      <c r="C123" s="114">
        <f t="shared" si="0"/>
        <v>55.599999999999994</v>
      </c>
      <c r="D123" s="107">
        <f t="shared" si="1"/>
        <v>44.400000000000006</v>
      </c>
      <c r="E123" s="107">
        <v>56.55</v>
      </c>
      <c r="F123" s="218" t="s">
        <v>645</v>
      </c>
      <c r="G123" s="13">
        <v>1744</v>
      </c>
      <c r="H123" s="217" t="str">
        <f t="shared" si="2"/>
        <v>Perbaikan</v>
      </c>
      <c r="L123" s="218" t="s">
        <v>645</v>
      </c>
      <c r="M123" s="13">
        <v>209</v>
      </c>
    </row>
    <row r="124" spans="2:13" ht="15.75" customHeight="1" x14ac:dyDescent="0.3">
      <c r="B124" s="114">
        <v>28.37</v>
      </c>
      <c r="C124" s="114">
        <f t="shared" si="0"/>
        <v>63.044444444444444</v>
      </c>
      <c r="D124" s="107">
        <f t="shared" si="1"/>
        <v>36.955555555555556</v>
      </c>
      <c r="E124" s="115">
        <v>59.48</v>
      </c>
      <c r="F124" s="218" t="s">
        <v>638</v>
      </c>
      <c r="G124" s="116">
        <v>1909</v>
      </c>
      <c r="H124" s="217" t="str">
        <f t="shared" si="2"/>
        <v>Perbaikan</v>
      </c>
      <c r="L124" s="218" t="s">
        <v>645</v>
      </c>
      <c r="M124" s="13">
        <v>13</v>
      </c>
    </row>
    <row r="125" spans="2:13" ht="15.75" customHeight="1" x14ac:dyDescent="0.3">
      <c r="B125" s="114">
        <v>18.850000000000001</v>
      </c>
      <c r="C125" s="114">
        <f t="shared" si="0"/>
        <v>41.888888888888893</v>
      </c>
      <c r="D125" s="107">
        <f t="shared" si="1"/>
        <v>58.111111111111107</v>
      </c>
      <c r="E125" s="107">
        <v>51.07</v>
      </c>
      <c r="F125" s="218" t="s">
        <v>645</v>
      </c>
      <c r="G125" s="13">
        <v>1008</v>
      </c>
      <c r="H125" s="217" t="str">
        <f t="shared" si="2"/>
        <v>Rehab J.I</v>
      </c>
      <c r="L125" s="218" t="s">
        <v>645</v>
      </c>
      <c r="M125" s="13">
        <v>54</v>
      </c>
    </row>
    <row r="126" spans="2:13" ht="15.75" customHeight="1" x14ac:dyDescent="0.3">
      <c r="B126" s="114">
        <v>23.44</v>
      </c>
      <c r="C126" s="114">
        <f t="shared" si="0"/>
        <v>52.088888888888896</v>
      </c>
      <c r="D126" s="107">
        <f t="shared" si="1"/>
        <v>47.911111111111104</v>
      </c>
      <c r="E126" s="107">
        <v>55.37</v>
      </c>
      <c r="F126" s="218" t="s">
        <v>645</v>
      </c>
      <c r="G126" s="13">
        <v>1090</v>
      </c>
      <c r="H126" s="217" t="str">
        <f t="shared" si="2"/>
        <v>Perbaikan</v>
      </c>
      <c r="L126" s="218" t="s">
        <v>645</v>
      </c>
      <c r="M126" s="13">
        <v>1332</v>
      </c>
    </row>
    <row r="127" spans="2:13" ht="15.75" customHeight="1" x14ac:dyDescent="0.3">
      <c r="B127" s="105">
        <v>37.79</v>
      </c>
      <c r="C127" s="114">
        <f t="shared" si="0"/>
        <v>83.977777777777774</v>
      </c>
      <c r="D127" s="107">
        <f t="shared" si="1"/>
        <v>16.022222222222226</v>
      </c>
      <c r="E127" s="115">
        <v>72.739999999999995</v>
      </c>
      <c r="F127" s="218" t="s">
        <v>647</v>
      </c>
      <c r="G127" s="116">
        <v>1449</v>
      </c>
      <c r="H127" s="217" t="str">
        <f t="shared" si="2"/>
        <v>Perawatan</v>
      </c>
      <c r="L127" s="218" t="s">
        <v>645</v>
      </c>
      <c r="M127" s="13">
        <v>2433</v>
      </c>
    </row>
    <row r="128" spans="2:13" ht="15.75" customHeight="1" x14ac:dyDescent="0.3">
      <c r="B128" s="114">
        <v>27.72</v>
      </c>
      <c r="C128" s="114">
        <f t="shared" si="0"/>
        <v>61.6</v>
      </c>
      <c r="D128" s="107">
        <f t="shared" si="1"/>
        <v>38.4</v>
      </c>
      <c r="E128" s="115">
        <v>61.67</v>
      </c>
      <c r="F128" s="218" t="s">
        <v>638</v>
      </c>
      <c r="G128" s="116">
        <v>1843</v>
      </c>
      <c r="H128" s="217" t="str">
        <f t="shared" si="2"/>
        <v>Perbaikan</v>
      </c>
      <c r="L128" s="218" t="s">
        <v>645</v>
      </c>
      <c r="M128" s="13">
        <v>1403</v>
      </c>
    </row>
    <row r="129" spans="2:13" ht="15.75" customHeight="1" x14ac:dyDescent="0.3">
      <c r="B129" s="114">
        <v>31.79</v>
      </c>
      <c r="C129" s="114">
        <f t="shared" si="0"/>
        <v>70.644444444444446</v>
      </c>
      <c r="D129" s="107">
        <f t="shared" si="1"/>
        <v>29.355555555555554</v>
      </c>
      <c r="E129" s="115">
        <v>72.59</v>
      </c>
      <c r="F129" s="218" t="s">
        <v>638</v>
      </c>
      <c r="G129" s="116">
        <v>1057</v>
      </c>
      <c r="H129" s="217" t="str">
        <f t="shared" si="2"/>
        <v>Perawatan</v>
      </c>
      <c r="L129" s="218" t="s">
        <v>645</v>
      </c>
      <c r="M129" s="13">
        <v>1096</v>
      </c>
    </row>
    <row r="130" spans="2:13" ht="15.75" customHeight="1" x14ac:dyDescent="0.3">
      <c r="B130" s="105">
        <v>38.119999999999997</v>
      </c>
      <c r="C130" s="114">
        <f t="shared" si="0"/>
        <v>84.711111111111109</v>
      </c>
      <c r="D130" s="107">
        <f t="shared" si="1"/>
        <v>15.288888888888891</v>
      </c>
      <c r="E130" s="115">
        <v>83.089999999999989</v>
      </c>
      <c r="F130" s="218" t="s">
        <v>647</v>
      </c>
      <c r="G130" s="116">
        <v>1393</v>
      </c>
      <c r="H130" s="217" t="str">
        <f t="shared" si="2"/>
        <v>Perawatan</v>
      </c>
      <c r="L130" s="218" t="s">
        <v>645</v>
      </c>
      <c r="M130" s="13">
        <v>1341</v>
      </c>
    </row>
    <row r="131" spans="2:13" ht="15.75" customHeight="1" x14ac:dyDescent="0.3">
      <c r="B131" s="114">
        <v>28.1</v>
      </c>
      <c r="C131" s="114">
        <f t="shared" si="0"/>
        <v>62.44444444444445</v>
      </c>
      <c r="D131" s="107">
        <f t="shared" si="1"/>
        <v>37.55555555555555</v>
      </c>
      <c r="E131" s="107">
        <v>69.7</v>
      </c>
      <c r="F131" s="218" t="s">
        <v>638</v>
      </c>
      <c r="G131" s="13">
        <v>1447</v>
      </c>
      <c r="H131" s="217" t="str">
        <f t="shared" si="2"/>
        <v>Perawatan</v>
      </c>
      <c r="L131" s="218" t="s">
        <v>645</v>
      </c>
      <c r="M131" s="116">
        <v>1046</v>
      </c>
    </row>
    <row r="132" spans="2:13" ht="15.75" customHeight="1" x14ac:dyDescent="0.3">
      <c r="B132" s="114">
        <v>24.92</v>
      </c>
      <c r="C132" s="114">
        <f t="shared" si="0"/>
        <v>55.37777777777778</v>
      </c>
      <c r="D132" s="107">
        <f t="shared" si="1"/>
        <v>44.62222222222222</v>
      </c>
      <c r="E132" s="115">
        <v>70.320000000000007</v>
      </c>
      <c r="F132" s="218" t="s">
        <v>638</v>
      </c>
      <c r="G132" s="116">
        <v>1239</v>
      </c>
      <c r="H132" s="217" t="str">
        <f t="shared" si="2"/>
        <v>Perawatan</v>
      </c>
      <c r="L132" s="218" t="s">
        <v>645</v>
      </c>
      <c r="M132" s="13">
        <v>1593</v>
      </c>
    </row>
    <row r="133" spans="2:13" ht="15.75" customHeight="1" x14ac:dyDescent="0.3">
      <c r="B133" s="105">
        <v>36.950000000000003</v>
      </c>
      <c r="C133" s="114">
        <f t="shared" si="0"/>
        <v>82.111111111111114</v>
      </c>
      <c r="D133" s="107">
        <f t="shared" si="1"/>
        <v>17.888888888888886</v>
      </c>
      <c r="E133" s="115">
        <v>82.660000000000011</v>
      </c>
      <c r="F133" s="218" t="s">
        <v>647</v>
      </c>
      <c r="G133" s="116">
        <v>1244</v>
      </c>
      <c r="H133" s="217" t="str">
        <f t="shared" si="2"/>
        <v>Perawatan</v>
      </c>
      <c r="L133" s="218" t="s">
        <v>645</v>
      </c>
      <c r="M133" s="13">
        <v>1921</v>
      </c>
    </row>
    <row r="134" spans="2:13" ht="15.75" customHeight="1" x14ac:dyDescent="0.3">
      <c r="B134" s="114">
        <v>21.97</v>
      </c>
      <c r="C134" s="114">
        <f t="shared" si="0"/>
        <v>48.822222222222223</v>
      </c>
      <c r="D134" s="107">
        <f t="shared" si="1"/>
        <v>51.177777777777777</v>
      </c>
      <c r="E134" s="107">
        <v>57.39</v>
      </c>
      <c r="F134" s="218" t="s">
        <v>645</v>
      </c>
      <c r="G134" s="13">
        <v>1879</v>
      </c>
      <c r="H134" s="217" t="str">
        <f t="shared" si="2"/>
        <v>Perbaikan</v>
      </c>
      <c r="L134" s="218" t="s">
        <v>645</v>
      </c>
      <c r="M134" s="13">
        <v>1884</v>
      </c>
    </row>
    <row r="135" spans="2:13" ht="15.75" customHeight="1" x14ac:dyDescent="0.3">
      <c r="B135" s="114">
        <v>30.37</v>
      </c>
      <c r="C135" s="114">
        <f t="shared" si="0"/>
        <v>67.48888888888888</v>
      </c>
      <c r="D135" s="107">
        <f t="shared" si="1"/>
        <v>32.51111111111112</v>
      </c>
      <c r="E135" s="115">
        <v>73.72</v>
      </c>
      <c r="F135" s="218" t="s">
        <v>638</v>
      </c>
      <c r="G135" s="116">
        <v>2188</v>
      </c>
      <c r="H135" s="217" t="str">
        <f t="shared" si="2"/>
        <v>Perawatan</v>
      </c>
      <c r="L135" s="218" t="s">
        <v>645</v>
      </c>
      <c r="M135" s="13">
        <v>1337</v>
      </c>
    </row>
    <row r="136" spans="2:13" ht="15.75" customHeight="1" x14ac:dyDescent="0.3">
      <c r="B136" s="114">
        <v>28.8</v>
      </c>
      <c r="C136" s="114">
        <f t="shared" si="0"/>
        <v>64</v>
      </c>
      <c r="D136" s="107">
        <f t="shared" si="1"/>
        <v>36</v>
      </c>
      <c r="E136" s="115">
        <v>69.569999999999993</v>
      </c>
      <c r="F136" s="218" t="s">
        <v>638</v>
      </c>
      <c r="G136" s="116">
        <v>2056</v>
      </c>
      <c r="H136" s="217" t="str">
        <f t="shared" si="2"/>
        <v>Perawatan</v>
      </c>
      <c r="L136" s="218" t="s">
        <v>645</v>
      </c>
      <c r="M136" s="13">
        <v>1246</v>
      </c>
    </row>
    <row r="137" spans="2:13" ht="15.75" customHeight="1" x14ac:dyDescent="0.3">
      <c r="B137" s="114">
        <v>20.18</v>
      </c>
      <c r="C137" s="114">
        <f t="shared" si="0"/>
        <v>44.844444444444441</v>
      </c>
      <c r="D137" s="107">
        <f t="shared" si="1"/>
        <v>55.155555555555559</v>
      </c>
      <c r="E137" s="107">
        <v>62.86</v>
      </c>
      <c r="F137" s="218" t="s">
        <v>645</v>
      </c>
      <c r="G137" s="13">
        <v>2323</v>
      </c>
      <c r="H137" s="217" t="str">
        <f t="shared" si="2"/>
        <v>Perbaikan</v>
      </c>
      <c r="L137" s="218" t="s">
        <v>645</v>
      </c>
      <c r="M137" s="13">
        <v>1372</v>
      </c>
    </row>
    <row r="138" spans="2:13" ht="15.75" customHeight="1" x14ac:dyDescent="0.3">
      <c r="B138" s="114">
        <v>22.26</v>
      </c>
      <c r="C138" s="114">
        <f t="shared" si="0"/>
        <v>49.466666666666669</v>
      </c>
      <c r="D138" s="107">
        <f t="shared" si="1"/>
        <v>50.533333333333331</v>
      </c>
      <c r="E138" s="107">
        <v>65.430000000000007</v>
      </c>
      <c r="F138" s="218" t="s">
        <v>645</v>
      </c>
      <c r="G138" s="13">
        <v>1920</v>
      </c>
      <c r="H138" s="217" t="str">
        <f t="shared" si="2"/>
        <v>Perbaikan</v>
      </c>
      <c r="L138" s="218" t="s">
        <v>645</v>
      </c>
      <c r="M138" s="13">
        <v>695</v>
      </c>
    </row>
    <row r="139" spans="2:13" ht="15.75" customHeight="1" x14ac:dyDescent="0.3">
      <c r="B139" s="114">
        <v>25.75</v>
      </c>
      <c r="C139" s="114">
        <f t="shared" si="0"/>
        <v>57.222222222222221</v>
      </c>
      <c r="D139" s="107">
        <f t="shared" si="1"/>
        <v>42.777777777777779</v>
      </c>
      <c r="E139" s="107">
        <v>67.86</v>
      </c>
      <c r="F139" s="218" t="s">
        <v>645</v>
      </c>
      <c r="G139" s="13">
        <v>1867</v>
      </c>
      <c r="H139" s="217" t="str">
        <f t="shared" si="2"/>
        <v>Perbaikan</v>
      </c>
      <c r="L139" s="218" t="s">
        <v>645</v>
      </c>
      <c r="M139" s="13">
        <v>463</v>
      </c>
    </row>
    <row r="140" spans="2:13" ht="15.75" customHeight="1" x14ac:dyDescent="0.3">
      <c r="B140" s="114">
        <v>23.34</v>
      </c>
      <c r="C140" s="114">
        <f t="shared" si="0"/>
        <v>51.86666666666666</v>
      </c>
      <c r="D140" s="107">
        <f t="shared" si="1"/>
        <v>48.13333333333334</v>
      </c>
      <c r="E140" s="107">
        <v>68.260000000000005</v>
      </c>
      <c r="F140" s="218" t="s">
        <v>645</v>
      </c>
      <c r="G140" s="13">
        <v>1262</v>
      </c>
      <c r="H140" s="217" t="str">
        <f t="shared" si="2"/>
        <v>Perbaikan</v>
      </c>
      <c r="L140" s="218" t="s">
        <v>645</v>
      </c>
      <c r="M140" s="13">
        <v>1126</v>
      </c>
    </row>
    <row r="141" spans="2:13" ht="15.75" customHeight="1" x14ac:dyDescent="0.3">
      <c r="B141" s="114">
        <v>19.23</v>
      </c>
      <c r="C141" s="114">
        <f t="shared" si="0"/>
        <v>42.733333333333334</v>
      </c>
      <c r="D141" s="107">
        <f t="shared" si="1"/>
        <v>57.266666666666666</v>
      </c>
      <c r="E141" s="107">
        <v>57.57</v>
      </c>
      <c r="F141" s="218" t="s">
        <v>645</v>
      </c>
      <c r="G141" s="13">
        <v>1094</v>
      </c>
      <c r="H141" s="217" t="str">
        <f t="shared" si="2"/>
        <v>Perbaikan</v>
      </c>
      <c r="L141" s="218" t="s">
        <v>645</v>
      </c>
      <c r="M141" s="13">
        <v>1744</v>
      </c>
    </row>
    <row r="142" spans="2:13" ht="15.75" customHeight="1" x14ac:dyDescent="0.3">
      <c r="B142" s="114">
        <v>28.09</v>
      </c>
      <c r="C142" s="114">
        <f t="shared" si="0"/>
        <v>62.422222222222224</v>
      </c>
      <c r="D142" s="107">
        <f t="shared" si="1"/>
        <v>37.577777777777776</v>
      </c>
      <c r="E142" s="107">
        <v>73.210000000000008</v>
      </c>
      <c r="F142" s="218" t="s">
        <v>638</v>
      </c>
      <c r="G142" s="13">
        <v>1088</v>
      </c>
      <c r="H142" s="217" t="str">
        <f t="shared" si="2"/>
        <v>Perawatan</v>
      </c>
      <c r="L142" s="218" t="s">
        <v>645</v>
      </c>
      <c r="M142" s="13">
        <v>1008</v>
      </c>
    </row>
    <row r="143" spans="2:13" ht="15.75" customHeight="1" x14ac:dyDescent="0.3">
      <c r="B143" s="114">
        <v>21.41</v>
      </c>
      <c r="C143" s="114">
        <f t="shared" si="0"/>
        <v>47.577777777777783</v>
      </c>
      <c r="D143" s="107">
        <f t="shared" si="1"/>
        <v>52.422222222222217</v>
      </c>
      <c r="E143" s="107">
        <v>57.480000000000004</v>
      </c>
      <c r="F143" s="218" t="s">
        <v>645</v>
      </c>
      <c r="G143" s="13">
        <v>1151</v>
      </c>
      <c r="H143" s="217" t="str">
        <f t="shared" si="2"/>
        <v>Perbaikan</v>
      </c>
      <c r="L143" s="218" t="s">
        <v>645</v>
      </c>
      <c r="M143" s="13">
        <v>1090</v>
      </c>
    </row>
    <row r="144" spans="2:13" ht="15.75" customHeight="1" x14ac:dyDescent="0.3">
      <c r="B144" s="114">
        <v>22.33</v>
      </c>
      <c r="C144" s="114">
        <f t="shared" si="0"/>
        <v>49.62222222222222</v>
      </c>
      <c r="D144" s="107">
        <f t="shared" si="1"/>
        <v>50.37777777777778</v>
      </c>
      <c r="E144" s="115">
        <v>61.510000000000005</v>
      </c>
      <c r="F144" s="218" t="s">
        <v>645</v>
      </c>
      <c r="G144" s="116">
        <v>319</v>
      </c>
      <c r="H144" s="217" t="str">
        <f t="shared" si="2"/>
        <v>Perbaikan</v>
      </c>
      <c r="L144" s="218" t="s">
        <v>645</v>
      </c>
      <c r="M144" s="13">
        <v>1879</v>
      </c>
    </row>
    <row r="145" spans="2:13" ht="15.75" customHeight="1" x14ac:dyDescent="0.3">
      <c r="B145" s="114">
        <v>26.08</v>
      </c>
      <c r="C145" s="114">
        <f t="shared" si="0"/>
        <v>57.955555555555549</v>
      </c>
      <c r="D145" s="107">
        <f t="shared" si="1"/>
        <v>42.044444444444451</v>
      </c>
      <c r="E145" s="107">
        <v>72.219999999999985</v>
      </c>
      <c r="F145" s="218" t="s">
        <v>638</v>
      </c>
      <c r="G145" s="13">
        <v>309</v>
      </c>
      <c r="H145" s="217" t="str">
        <f t="shared" si="2"/>
        <v>Perawatan</v>
      </c>
      <c r="L145" s="218" t="s">
        <v>645</v>
      </c>
      <c r="M145" s="13">
        <v>2323</v>
      </c>
    </row>
    <row r="146" spans="2:13" ht="15.75" customHeight="1" x14ac:dyDescent="0.3">
      <c r="B146" s="114">
        <v>19.32</v>
      </c>
      <c r="C146" s="114">
        <f t="shared" si="0"/>
        <v>42.933333333333337</v>
      </c>
      <c r="D146" s="107">
        <f t="shared" si="1"/>
        <v>57.066666666666663</v>
      </c>
      <c r="E146" s="107">
        <v>57.34</v>
      </c>
      <c r="F146" s="218" t="s">
        <v>645</v>
      </c>
      <c r="G146" s="13">
        <v>350</v>
      </c>
      <c r="H146" s="217" t="str">
        <f t="shared" si="2"/>
        <v>Perbaikan</v>
      </c>
      <c r="L146" s="218" t="s">
        <v>645</v>
      </c>
      <c r="M146" s="13">
        <v>1920</v>
      </c>
    </row>
    <row r="147" spans="2:13" ht="15.75" customHeight="1" x14ac:dyDescent="0.3">
      <c r="B147" s="114">
        <v>24.78</v>
      </c>
      <c r="C147" s="114">
        <f t="shared" si="0"/>
        <v>55.066666666666663</v>
      </c>
      <c r="D147" s="107">
        <f t="shared" si="1"/>
        <v>44.933333333333337</v>
      </c>
      <c r="E147" s="107">
        <v>73.62</v>
      </c>
      <c r="F147" s="218" t="s">
        <v>638</v>
      </c>
      <c r="G147" s="13">
        <v>63</v>
      </c>
      <c r="H147" s="217" t="str">
        <f t="shared" si="2"/>
        <v>Perawatan</v>
      </c>
      <c r="L147" s="218" t="s">
        <v>645</v>
      </c>
      <c r="M147" s="13">
        <v>1867</v>
      </c>
    </row>
    <row r="148" spans="2:13" ht="15.75" customHeight="1" x14ac:dyDescent="0.3">
      <c r="B148" s="114">
        <v>26.2</v>
      </c>
      <c r="C148" s="114">
        <f t="shared" si="0"/>
        <v>58.222222222222221</v>
      </c>
      <c r="D148" s="107">
        <f t="shared" si="1"/>
        <v>41.777777777777779</v>
      </c>
      <c r="E148" s="113">
        <v>71.33</v>
      </c>
      <c r="F148" s="218" t="s">
        <v>638</v>
      </c>
      <c r="G148" s="29">
        <v>777</v>
      </c>
      <c r="H148" s="217" t="str">
        <f t="shared" si="2"/>
        <v>Perawatan</v>
      </c>
      <c r="L148" s="218" t="s">
        <v>645</v>
      </c>
      <c r="M148" s="13">
        <v>1262</v>
      </c>
    </row>
    <row r="149" spans="2:13" ht="15.75" customHeight="1" x14ac:dyDescent="0.3">
      <c r="B149" s="105">
        <v>24.52</v>
      </c>
      <c r="C149" s="114">
        <f t="shared" si="0"/>
        <v>54.488888888888887</v>
      </c>
      <c r="D149" s="107">
        <f t="shared" si="1"/>
        <v>45.511111111111113</v>
      </c>
      <c r="E149" s="107">
        <v>63.31</v>
      </c>
      <c r="F149" s="218" t="s">
        <v>645</v>
      </c>
      <c r="G149" s="13">
        <v>80</v>
      </c>
      <c r="H149" s="217" t="str">
        <f t="shared" si="2"/>
        <v>Perbaikan</v>
      </c>
      <c r="L149" s="218" t="s">
        <v>645</v>
      </c>
      <c r="M149" s="13">
        <v>1094</v>
      </c>
    </row>
    <row r="150" spans="2:13" ht="15.75" customHeight="1" x14ac:dyDescent="0.3">
      <c r="B150" s="114">
        <v>23.65</v>
      </c>
      <c r="C150" s="114">
        <f t="shared" si="0"/>
        <v>52.555555555555557</v>
      </c>
      <c r="D150" s="107">
        <f t="shared" si="1"/>
        <v>47.444444444444443</v>
      </c>
      <c r="E150" s="107">
        <v>57.150000000000006</v>
      </c>
      <c r="F150" s="218" t="s">
        <v>645</v>
      </c>
      <c r="G150" s="13">
        <v>1074</v>
      </c>
      <c r="H150" s="217" t="str">
        <f t="shared" si="2"/>
        <v>Perbaikan</v>
      </c>
      <c r="L150" s="218" t="s">
        <v>645</v>
      </c>
      <c r="M150" s="13">
        <v>1151</v>
      </c>
    </row>
    <row r="151" spans="2:13" ht="15.75" customHeight="1" x14ac:dyDescent="0.3">
      <c r="B151" s="114">
        <v>27.53</v>
      </c>
      <c r="C151" s="114">
        <f t="shared" si="0"/>
        <v>61.177777777777777</v>
      </c>
      <c r="D151" s="107">
        <f t="shared" si="1"/>
        <v>38.822222222222223</v>
      </c>
      <c r="E151" s="107">
        <v>73.600000000000009</v>
      </c>
      <c r="F151" s="218" t="s">
        <v>638</v>
      </c>
      <c r="G151" s="13">
        <v>1499</v>
      </c>
      <c r="H151" s="217" t="str">
        <f t="shared" si="2"/>
        <v>Perawatan</v>
      </c>
      <c r="L151" s="218" t="s">
        <v>645</v>
      </c>
      <c r="M151" s="116">
        <v>319</v>
      </c>
    </row>
    <row r="152" spans="2:13" ht="15.75" customHeight="1" x14ac:dyDescent="0.3">
      <c r="B152" s="114">
        <v>27.6</v>
      </c>
      <c r="C152" s="114">
        <f t="shared" si="0"/>
        <v>61.333333333333343</v>
      </c>
      <c r="D152" s="107">
        <f t="shared" si="1"/>
        <v>38.666666666666657</v>
      </c>
      <c r="E152" s="115">
        <v>60.95</v>
      </c>
      <c r="F152" s="218" t="s">
        <v>638</v>
      </c>
      <c r="G152" s="116">
        <v>2184</v>
      </c>
      <c r="H152" s="217" t="str">
        <f t="shared" si="2"/>
        <v>Perbaikan</v>
      </c>
      <c r="L152" s="218" t="s">
        <v>645</v>
      </c>
      <c r="M152" s="13">
        <v>350</v>
      </c>
    </row>
    <row r="153" spans="2:13" ht="15.75" customHeight="1" x14ac:dyDescent="0.3">
      <c r="B153" s="114">
        <v>24.43</v>
      </c>
      <c r="C153" s="114">
        <f t="shared" si="0"/>
        <v>54.288888888888884</v>
      </c>
      <c r="D153" s="107">
        <f t="shared" si="1"/>
        <v>45.711111111111116</v>
      </c>
      <c r="E153" s="115">
        <v>55.480000000000004</v>
      </c>
      <c r="F153" s="218" t="s">
        <v>645</v>
      </c>
      <c r="G153" s="116">
        <v>1736</v>
      </c>
      <c r="H153" s="217" t="str">
        <f t="shared" si="2"/>
        <v>Perbaikan</v>
      </c>
      <c r="L153" s="218" t="s">
        <v>645</v>
      </c>
      <c r="M153" s="13">
        <v>80</v>
      </c>
    </row>
    <row r="154" spans="2:13" ht="15.75" customHeight="1" x14ac:dyDescent="0.3">
      <c r="B154" s="114">
        <v>26.12</v>
      </c>
      <c r="C154" s="114">
        <f t="shared" si="0"/>
        <v>58.044444444444444</v>
      </c>
      <c r="D154" s="107">
        <f t="shared" si="1"/>
        <v>41.955555555555556</v>
      </c>
      <c r="E154" s="113">
        <v>68.8</v>
      </c>
      <c r="F154" s="218" t="s">
        <v>645</v>
      </c>
      <c r="G154" s="29">
        <v>1074</v>
      </c>
      <c r="H154" s="217" t="str">
        <f t="shared" si="2"/>
        <v>Perbaikan</v>
      </c>
      <c r="L154" s="218" t="s">
        <v>645</v>
      </c>
      <c r="M154" s="13">
        <v>1074</v>
      </c>
    </row>
    <row r="155" spans="2:13" ht="15.75" customHeight="1" x14ac:dyDescent="0.3">
      <c r="B155" s="105">
        <v>39.229999999999997</v>
      </c>
      <c r="C155" s="114">
        <f t="shared" si="0"/>
        <v>87.177777777777777</v>
      </c>
      <c r="D155" s="107">
        <f t="shared" si="1"/>
        <v>12.822222222222223</v>
      </c>
      <c r="E155" s="115">
        <v>66.819999999999993</v>
      </c>
      <c r="F155" s="218" t="s">
        <v>647</v>
      </c>
      <c r="G155" s="116">
        <v>1523</v>
      </c>
      <c r="H155" s="217" t="str">
        <f t="shared" si="2"/>
        <v>Perawatan</v>
      </c>
      <c r="L155" s="218" t="s">
        <v>645</v>
      </c>
      <c r="M155" s="116">
        <v>1736</v>
      </c>
    </row>
    <row r="156" spans="2:13" ht="15.75" customHeight="1" x14ac:dyDescent="0.3">
      <c r="B156" s="114">
        <v>19.28</v>
      </c>
      <c r="C156" s="114">
        <f t="shared" si="0"/>
        <v>42.844444444444449</v>
      </c>
      <c r="D156" s="107">
        <f t="shared" si="1"/>
        <v>57.155555555555551</v>
      </c>
      <c r="E156" s="115">
        <v>51.64</v>
      </c>
      <c r="F156" s="218" t="s">
        <v>645</v>
      </c>
      <c r="G156" s="116">
        <v>1085</v>
      </c>
      <c r="H156" s="217" t="str">
        <f t="shared" si="2"/>
        <v>Rehab J.I</v>
      </c>
      <c r="L156" s="218" t="s">
        <v>645</v>
      </c>
      <c r="M156" s="29">
        <v>1074</v>
      </c>
    </row>
    <row r="157" spans="2:13" ht="15.75" customHeight="1" x14ac:dyDescent="0.3">
      <c r="B157" s="114">
        <v>24.98</v>
      </c>
      <c r="C157" s="114">
        <f t="shared" si="0"/>
        <v>55.511111111111113</v>
      </c>
      <c r="D157" s="107">
        <f t="shared" si="1"/>
        <v>44.488888888888887</v>
      </c>
      <c r="E157" s="107">
        <v>54.9</v>
      </c>
      <c r="F157" s="218" t="s">
        <v>645</v>
      </c>
      <c r="G157" s="13">
        <v>1807</v>
      </c>
      <c r="H157" s="217" t="str">
        <f t="shared" si="2"/>
        <v>Rehab J.I</v>
      </c>
      <c r="L157" s="218" t="s">
        <v>645</v>
      </c>
      <c r="M157" s="116">
        <v>1085</v>
      </c>
    </row>
    <row r="158" spans="2:13" ht="15.75" customHeight="1" x14ac:dyDescent="0.3">
      <c r="B158" s="114">
        <v>16.09</v>
      </c>
      <c r="C158" s="114">
        <f t="shared" si="0"/>
        <v>35.75555555555556</v>
      </c>
      <c r="D158" s="107">
        <f t="shared" si="1"/>
        <v>64.24444444444444</v>
      </c>
      <c r="E158" s="107">
        <v>52.22</v>
      </c>
      <c r="F158" s="218" t="s">
        <v>645</v>
      </c>
      <c r="G158" s="29">
        <v>1799</v>
      </c>
      <c r="H158" s="217" t="str">
        <f t="shared" si="2"/>
        <v>Rehab J.I</v>
      </c>
      <c r="L158" s="218" t="s">
        <v>645</v>
      </c>
      <c r="M158" s="13">
        <v>1807</v>
      </c>
    </row>
    <row r="159" spans="2:13" ht="15.75" customHeight="1" x14ac:dyDescent="0.3">
      <c r="B159" s="105">
        <v>36.450000000000003</v>
      </c>
      <c r="C159" s="114">
        <f t="shared" si="0"/>
        <v>81</v>
      </c>
      <c r="D159" s="107">
        <f t="shared" si="1"/>
        <v>19</v>
      </c>
      <c r="E159" s="115">
        <v>65.02</v>
      </c>
      <c r="F159" s="218" t="s">
        <v>647</v>
      </c>
      <c r="G159" s="116">
        <v>2462</v>
      </c>
      <c r="H159" s="217" t="str">
        <f t="shared" si="2"/>
        <v>Perawatan</v>
      </c>
      <c r="L159" s="218" t="s">
        <v>645</v>
      </c>
      <c r="M159" s="29">
        <v>1799</v>
      </c>
    </row>
    <row r="160" spans="2:13" ht="15.75" customHeight="1" x14ac:dyDescent="0.3">
      <c r="B160" s="120">
        <v>23.77</v>
      </c>
      <c r="C160" s="114">
        <f t="shared" si="0"/>
        <v>52.822222222222223</v>
      </c>
      <c r="D160" s="107">
        <f t="shared" si="1"/>
        <v>47.177777777777777</v>
      </c>
      <c r="E160" s="107">
        <v>57.539999999999992</v>
      </c>
      <c r="F160" s="218" t="s">
        <v>645</v>
      </c>
      <c r="G160" s="97">
        <v>1424</v>
      </c>
      <c r="H160" s="217" t="str">
        <f t="shared" si="2"/>
        <v>Perbaikan</v>
      </c>
      <c r="L160" s="218" t="s">
        <v>645</v>
      </c>
      <c r="M160" s="97">
        <v>1424</v>
      </c>
    </row>
    <row r="161" spans="7:7" ht="15.75" customHeight="1" x14ac:dyDescent="0.3">
      <c r="G161" s="100">
        <f>SUM(G3:G160)</f>
        <v>149988</v>
      </c>
    </row>
    <row r="162" spans="7:7" ht="15.75" customHeight="1" x14ac:dyDescent="0.3"/>
    <row r="163" spans="7:7" ht="15.75" customHeight="1" x14ac:dyDescent="0.3"/>
    <row r="164" spans="7:7" ht="15.75" customHeight="1" x14ac:dyDescent="0.3"/>
    <row r="165" spans="7:7" ht="15.75" customHeight="1" x14ac:dyDescent="0.3"/>
    <row r="166" spans="7:7" ht="15.75" customHeight="1" x14ac:dyDescent="0.3"/>
    <row r="167" spans="7:7" ht="15.75" customHeight="1" x14ac:dyDescent="0.3"/>
    <row r="168" spans="7:7" ht="15.75" customHeight="1" x14ac:dyDescent="0.3"/>
    <row r="169" spans="7:7" ht="15.75" customHeight="1" x14ac:dyDescent="0.3"/>
    <row r="170" spans="7:7" ht="15.75" customHeight="1" x14ac:dyDescent="0.3"/>
    <row r="171" spans="7:7" ht="15.75" customHeight="1" x14ac:dyDescent="0.3"/>
    <row r="172" spans="7:7" ht="15.75" customHeight="1" x14ac:dyDescent="0.3"/>
    <row r="173" spans="7:7" ht="15.75" customHeight="1" x14ac:dyDescent="0.3"/>
    <row r="174" spans="7:7" ht="15.75" customHeight="1" x14ac:dyDescent="0.3"/>
    <row r="175" spans="7:7" ht="15.75" customHeight="1" x14ac:dyDescent="0.3"/>
    <row r="176" spans="7:7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</vt:lpstr>
      <vt:lpstr>Sheet1</vt:lpstr>
      <vt:lpstr>per kab</vt:lpstr>
      <vt:lpstr>Luas DI</vt:lpstr>
      <vt:lpstr>fisik</vt:lpstr>
      <vt:lpstr>Non fisik</vt:lpstr>
      <vt:lpstr>IKSI</vt:lpstr>
      <vt:lpstr>average</vt:lpstr>
      <vt:lpstr>EPAKSI</vt:lpstr>
      <vt:lpstr>penanganan ok</vt:lpstr>
      <vt:lpstr>penanganan</vt:lpstr>
      <vt:lpstr>analisa</vt:lpstr>
      <vt:lpstr>analisa (2)</vt:lpstr>
      <vt:lpstr>prioritas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Pusda 7</cp:lastModifiedBy>
  <dcterms:modified xsi:type="dcterms:W3CDTF">2026-05-22T08:50:05Z</dcterms:modified>
</cp:coreProperties>
</file>