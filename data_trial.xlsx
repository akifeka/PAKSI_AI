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GASI JATIM\OneDrive\Documents\Dokumen_Akif\aa_irigasi\SKP\2026\PAKSI_AI\"/>
    </mc:Choice>
  </mc:AlternateContent>
  <xr:revisionPtr revIDLastSave="0" documentId="13_ncr:1_{C188B5B8-5645-4304-BE27-0E94DF0C00A1}" xr6:coauthVersionLast="45" xr6:coauthVersionMax="45" xr10:uidLastSave="{00000000-0000-0000-0000-000000000000}"/>
  <bookViews>
    <workbookView xWindow="-108" yWindow="-108" windowWidth="23256" windowHeight="13176" xr2:uid="{3391D60B-0402-4969-A2A2-CE08009F0D36}"/>
  </bookViews>
  <sheets>
    <sheet name="Klasfikasi IKJI" sheetId="2" r:id="rId1"/>
  </sheets>
  <definedNames>
    <definedName name="_xlnm._FilterDatabase" localSheetId="0" hidden="1">'Klasfikasi IKJI'!$A$1:$M$1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79" i="2" l="1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</calcChain>
</file>

<file path=xl/sharedStrings.xml><?xml version="1.0" encoding="utf-8"?>
<sst xmlns="http://schemas.openxmlformats.org/spreadsheetml/2006/main" count="532" uniqueCount="251">
  <si>
    <t>No.</t>
  </si>
  <si>
    <t>Luas Daerah Irigasi Sesuai Permen 14/2015 (Ha)</t>
  </si>
  <si>
    <t>Lokasi Kabupaten/Kota</t>
  </si>
  <si>
    <t>Kode D.I</t>
  </si>
  <si>
    <t>Prasarana Fisik</t>
  </si>
  <si>
    <t>Produktivitas</t>
  </si>
  <si>
    <t>Sarana Penujang</t>
  </si>
  <si>
    <t>Organisasi Personalia</t>
  </si>
  <si>
    <t>Dokumentasi</t>
  </si>
  <si>
    <t>P3A/GP3A/IP3A</t>
  </si>
  <si>
    <t>Jumlah</t>
  </si>
  <si>
    <t>Keterangan</t>
  </si>
  <si>
    <t>D.I. Ranugrati</t>
  </si>
  <si>
    <t>Kabupaten Pasuruan</t>
  </si>
  <si>
    <t>D.I. Plered</t>
  </si>
  <si>
    <t>Kab./Kota Pasuruan</t>
  </si>
  <si>
    <t>Penilaian prasarana fisik 2019 dan non prasarana fisik 2019</t>
  </si>
  <si>
    <t>D.I. Sbr. Nyamplong</t>
  </si>
  <si>
    <t>Kab. Bondowoso, Kab. Situbondo</t>
  </si>
  <si>
    <t>Penilaian prasarana fisik 2022 dan non prasarana fisik 2022</t>
  </si>
  <si>
    <t>D.I. Wd. Gogor</t>
  </si>
  <si>
    <t>Kabupaten Gresik</t>
  </si>
  <si>
    <t>D.I. Sumber Berjo</t>
  </si>
  <si>
    <t>Kab./Kota Blitar</t>
  </si>
  <si>
    <t>D.I. Mojopurno</t>
  </si>
  <si>
    <t>Kab./Kota Madiun</t>
  </si>
  <si>
    <t>D.I. Merak Urak</t>
  </si>
  <si>
    <t>Kabupaten Tuban</t>
  </si>
  <si>
    <t>D.I. Lontong</t>
  </si>
  <si>
    <t>Kab./Kota Probolinggo</t>
  </si>
  <si>
    <t>Inventarisasi aset/PAI sudah dilaksanakan</t>
  </si>
  <si>
    <t>D.I. Kali Wadak</t>
  </si>
  <si>
    <t>D.I. Kadalpang</t>
  </si>
  <si>
    <t>Kab./Kota Malang</t>
  </si>
  <si>
    <t>D.I. Telebuk</t>
  </si>
  <si>
    <t>D.I. Kembangan</t>
  </si>
  <si>
    <t>Kab./Kota Kediri</t>
  </si>
  <si>
    <t>Penilaian prasarana fisik 2021 dan non prasarana fisik 2021</t>
  </si>
  <si>
    <t>D.I. Kuluhan</t>
  </si>
  <si>
    <t>Kab. Magetan, Kab. Ngawi</t>
  </si>
  <si>
    <t>D.I. Surak</t>
  </si>
  <si>
    <t>Kab. Malang, Kab. Pasuruan</t>
  </si>
  <si>
    <t>D.I. Rawa Sekaran</t>
  </si>
  <si>
    <t>Kabupaten Lamongan</t>
  </si>
  <si>
    <t>D.I. Sengkaling Kiri</t>
  </si>
  <si>
    <t>D.I. Urung-Urung</t>
  </si>
  <si>
    <t>D.I. Klalung</t>
  </si>
  <si>
    <t>D.I. Cau</t>
  </si>
  <si>
    <t>Penilaian prasarana fisik 2020 dan non prasarana fisik 2019</t>
  </si>
  <si>
    <t>D.I. Blodro</t>
  </si>
  <si>
    <t>D.I. Licin</t>
  </si>
  <si>
    <t xml:space="preserve">Penilaian prasarana fisik 2020 </t>
  </si>
  <si>
    <t>D.I. Sumber Turus</t>
  </si>
  <si>
    <t>D.I. Plosotengah</t>
  </si>
  <si>
    <t>D.I. Gembleng</t>
  </si>
  <si>
    <t>Kabupaten Banyuwangi</t>
  </si>
  <si>
    <t>D.I. Cawak</t>
  </si>
  <si>
    <t>Kabupaten Bojonegoro</t>
  </si>
  <si>
    <t>D.I. Warujinggo</t>
  </si>
  <si>
    <t>D.I. Sengkaling Kanan</t>
  </si>
  <si>
    <t>D.I. Balud</t>
  </si>
  <si>
    <t>Kabupaten Bondowoso</t>
  </si>
  <si>
    <t>Penilaian prasarana fisik 2023 dan non prasarana fisik 2023</t>
  </si>
  <si>
    <t>D.I. Bujel</t>
  </si>
  <si>
    <t>D.I. Gumbolo/Dawuhan</t>
  </si>
  <si>
    <t>D.I. Bango</t>
  </si>
  <si>
    <t>D.I. Kalongan</t>
  </si>
  <si>
    <t>D.I.P. Butungan</t>
  </si>
  <si>
    <t>D.I. Subantoro</t>
  </si>
  <si>
    <t>Kab./Kota Mojokerto</t>
  </si>
  <si>
    <t>Penilaian prasarana fisik 2020 dan non prasarana fisik 2020</t>
  </si>
  <si>
    <t>D.I. Turi</t>
  </si>
  <si>
    <t>D.I. Gurdo</t>
  </si>
  <si>
    <t>Kabupaten Ngawi</t>
  </si>
  <si>
    <t>D.I. Sumber Tulung</t>
  </si>
  <si>
    <t>D.I. Wd. Lowayu</t>
  </si>
  <si>
    <t>D.I. Widoro</t>
  </si>
  <si>
    <t>Kab. Trenggalek, Kab. Tulungagung</t>
  </si>
  <si>
    <t>D.I. Wd. Leran</t>
  </si>
  <si>
    <t>D.I. Sumber Tekik</t>
  </si>
  <si>
    <t>D.I. Sarangan</t>
  </si>
  <si>
    <t>Kabupaten Madiun</t>
  </si>
  <si>
    <t>D.I. Gelang</t>
  </si>
  <si>
    <t>Kabupaten Tulungagung</t>
  </si>
  <si>
    <t>D.I. Kalilanang</t>
  </si>
  <si>
    <t>Kab. Malang, Kota Batu</t>
  </si>
  <si>
    <t>D.I. Dung Timun</t>
  </si>
  <si>
    <t>D.I. Sedudut</t>
  </si>
  <si>
    <t>D.I. Sumorobangun</t>
  </si>
  <si>
    <t>Kabupaten Ponorogo</t>
  </si>
  <si>
    <t>D.I. Dam Ombul</t>
  </si>
  <si>
    <t>Kabupaten Bangkalan</t>
  </si>
  <si>
    <t>D.I. Peniwen</t>
  </si>
  <si>
    <t>D.I. Kedung Gerit</t>
  </si>
  <si>
    <t>Kabupaten Nganjuk</t>
  </si>
  <si>
    <t>D.I. Kajar II A</t>
  </si>
  <si>
    <t>D.I. Rawa Jabung</t>
  </si>
  <si>
    <t>Kab. Lamongan, Kab. Tuban</t>
  </si>
  <si>
    <t>D.I. Losawi</t>
  </si>
  <si>
    <t>D.I. Jaten Termas</t>
  </si>
  <si>
    <t>Kab. Blitar, Kab. Kediri</t>
  </si>
  <si>
    <t>D.I. I.S Pakis</t>
  </si>
  <si>
    <t>D.I. Ngukir</t>
  </si>
  <si>
    <t>D.I. Sbr. Bendo Jeruk</t>
  </si>
  <si>
    <t>Kabupaten Probolinggo</t>
  </si>
  <si>
    <t>Penilaian prasarana fisik 2022 dan non prasarana fisik 2020</t>
  </si>
  <si>
    <t>D.I. Kebalon</t>
  </si>
  <si>
    <t>D.I. Tanggulangin</t>
  </si>
  <si>
    <t>D.I. Trimo Semut</t>
  </si>
  <si>
    <t>D.I. Bodo</t>
  </si>
  <si>
    <t>D.I. Sbr. Gayam</t>
  </si>
  <si>
    <t>D.I. Penewon</t>
  </si>
  <si>
    <t>D.I. Dung Lo</t>
  </si>
  <si>
    <t>D.I. Podokaton</t>
  </si>
  <si>
    <t>D.I. Bakalan</t>
  </si>
  <si>
    <t>D.I. Jeruk Taman</t>
  </si>
  <si>
    <t>D.I. P. Kaligerman</t>
  </si>
  <si>
    <t>D.I. Selowongko</t>
  </si>
  <si>
    <t>D.I. Klampis</t>
  </si>
  <si>
    <t>Kabupaten Sampang</t>
  </si>
  <si>
    <t>D.I. Klosod</t>
  </si>
  <si>
    <t>D.I. Kali Metro</t>
  </si>
  <si>
    <t>D.I. Teguhan</t>
  </si>
  <si>
    <t>D.I. Galok Atas/Soponyono</t>
  </si>
  <si>
    <t>Kab. Magetan, Kab. Ponorogo</t>
  </si>
  <si>
    <t>D.I. Pang</t>
  </si>
  <si>
    <t>D.I. Wd. Rande</t>
  </si>
  <si>
    <t>D.I. Kejagan</t>
  </si>
  <si>
    <t>Kab. Jombang, Kab. Mojokerto</t>
  </si>
  <si>
    <t>D.I. Sewu</t>
  </si>
  <si>
    <t>D.I. Widodaren</t>
  </si>
  <si>
    <t>D.I. Bekacak</t>
  </si>
  <si>
    <t>D.I. Tawangsari</t>
  </si>
  <si>
    <t>D.I. Kaweden</t>
  </si>
  <si>
    <t>D.I. Kedung Bendo</t>
  </si>
  <si>
    <t>D.I. Waduk Sumengko</t>
  </si>
  <si>
    <t>Kab. Gresik, Kab. Lamongan</t>
  </si>
  <si>
    <t>D.I. Baong</t>
  </si>
  <si>
    <t>D.I. Kaliboto</t>
  </si>
  <si>
    <t>Kab. Blitar, Kab. Tulungagung</t>
  </si>
  <si>
    <t>D.I. Sukorame</t>
  </si>
  <si>
    <t>D.I. Watu Putih</t>
  </si>
  <si>
    <t>D.I. Tekung I</t>
  </si>
  <si>
    <t>Kabupaten Lumajang</t>
  </si>
  <si>
    <t>Penilaian prasarana fisik 2023 dan non prasarana fisik 2021</t>
  </si>
  <si>
    <t>D.I. Brangkal Bawah</t>
  </si>
  <si>
    <t>D.I. Wilangan</t>
  </si>
  <si>
    <t>D.I. Kerep</t>
  </si>
  <si>
    <t>D.I. Gunting</t>
  </si>
  <si>
    <t>D.I. Ngrebo</t>
  </si>
  <si>
    <t>D.I. Wates</t>
  </si>
  <si>
    <t>D.I. Sinoman</t>
  </si>
  <si>
    <t>D.I. Ngablak</t>
  </si>
  <si>
    <t>D.I. Arjasa</t>
  </si>
  <si>
    <t>Kab. Bondowoso, Kab. Jember</t>
  </si>
  <si>
    <t>D.I. Taposan</t>
  </si>
  <si>
    <t>D.I. Gandongkerik</t>
  </si>
  <si>
    <t>Kab. Madiun, Kab. Magetan</t>
  </si>
  <si>
    <t>D.I. Bekoh</t>
  </si>
  <si>
    <t>D.I. Sono</t>
  </si>
  <si>
    <t>D.I. Dalem</t>
  </si>
  <si>
    <t>D.I. Piring I</t>
  </si>
  <si>
    <t>D.I. Pesantren</t>
  </si>
  <si>
    <t>D.I. Jati Kulon</t>
  </si>
  <si>
    <t>D.I. Kembar</t>
  </si>
  <si>
    <t>Kabupaten Jember</t>
  </si>
  <si>
    <t>D.I. Candi Limo</t>
  </si>
  <si>
    <t>D.I. Notopuro</t>
  </si>
  <si>
    <t>D.I. Ngaglik</t>
  </si>
  <si>
    <t>D.I. Jatinom</t>
  </si>
  <si>
    <t>D.I. Margopadang</t>
  </si>
  <si>
    <t>D.I. Grinting</t>
  </si>
  <si>
    <t>D.I. Kening</t>
  </si>
  <si>
    <t>D.I. Betis/Ngreco</t>
  </si>
  <si>
    <t>D.I. Klitih Kresek</t>
  </si>
  <si>
    <t>D.I. Mernung</t>
  </si>
  <si>
    <t>Kab. Mojokerto, Kab. Jombang</t>
  </si>
  <si>
    <t>D.I. Kedungputri</t>
  </si>
  <si>
    <t>D.I. Trate</t>
  </si>
  <si>
    <t>D.I. Pirang</t>
  </si>
  <si>
    <t>D.I. Rawa Cungkup</t>
  </si>
  <si>
    <t>D.I. Jabung</t>
  </si>
  <si>
    <t>Kab. Ngawi, Kab. Magetan</t>
  </si>
  <si>
    <t>D.I. Maibit</t>
  </si>
  <si>
    <t>D.I. Rawa Semando</t>
  </si>
  <si>
    <t>D.I. Topi</t>
  </si>
  <si>
    <t>D.I. Sawahan</t>
  </si>
  <si>
    <t>D.I. Jepun</t>
  </si>
  <si>
    <t>Kabupaten Sumenep</t>
  </si>
  <si>
    <t>D.I. Kromong II</t>
  </si>
  <si>
    <t>Kabupaten Mojokerto</t>
  </si>
  <si>
    <t>D.I. Taji</t>
  </si>
  <si>
    <t>D.I. Tunjung</t>
  </si>
  <si>
    <t>D.I. Ramah Bawah</t>
  </si>
  <si>
    <t>D.I. Grogol</t>
  </si>
  <si>
    <t>Penilaian prasarana fisik 2020 dan non prasarana fisik 2021</t>
  </si>
  <si>
    <t>D.I. Cepogo</t>
  </si>
  <si>
    <t>D.I. Rembang</t>
  </si>
  <si>
    <t>D.I. Jempor</t>
  </si>
  <si>
    <t>D.I. Mrawan</t>
  </si>
  <si>
    <t>D.I. Brug Purwo</t>
  </si>
  <si>
    <t>D.I. Sumber Nangka</t>
  </si>
  <si>
    <t>D.I. Nangger</t>
  </si>
  <si>
    <t>Kabupaten Situbondo</t>
  </si>
  <si>
    <t>D.I. Tambakrejo I</t>
  </si>
  <si>
    <t>D.I. Badas</t>
  </si>
  <si>
    <t>Kab. Jombang, Kab. Kediri</t>
  </si>
  <si>
    <t>D.I. Bajulmati</t>
  </si>
  <si>
    <t>Kab. Banyuwangi, Kab. Situbondo</t>
  </si>
  <si>
    <t>D.I. Kertosari</t>
  </si>
  <si>
    <t>D.I. Guyung</t>
  </si>
  <si>
    <t>D.I. Ngrambe</t>
  </si>
  <si>
    <t>D.I. Paingan</t>
  </si>
  <si>
    <t>D.I. Arah Makam Bawah</t>
  </si>
  <si>
    <t>Penilaian prasarana fisik 2022 dan non prasarana fisik 2019</t>
  </si>
  <si>
    <t>D.I. Pakis</t>
  </si>
  <si>
    <t>D.I. Nglirip</t>
  </si>
  <si>
    <t>D.I. Dermen</t>
  </si>
  <si>
    <t>Kabupaten Blitar</t>
  </si>
  <si>
    <t>D.I. Samiran</t>
  </si>
  <si>
    <t>Kabupaten Pamekasan</t>
  </si>
  <si>
    <t>D.I. Slumbung</t>
  </si>
  <si>
    <t>Kabupaten Jombang</t>
  </si>
  <si>
    <t>D.I. Jurang Dawir</t>
  </si>
  <si>
    <t>D.I. Umbul Pringtali</t>
  </si>
  <si>
    <t>D.I. Bulakmojo</t>
  </si>
  <si>
    <t>D.I. Kedungrejo</t>
  </si>
  <si>
    <t>Kab. Madiun, Kab. Ngawi</t>
  </si>
  <si>
    <t>D.I. Bago</t>
  </si>
  <si>
    <t>D.I. Pohblembem</t>
  </si>
  <si>
    <t>Kabupaten Kediri</t>
  </si>
  <si>
    <t>D.I. Karanglo</t>
  </si>
  <si>
    <t>D.I. Pringduri</t>
  </si>
  <si>
    <t>D.I. Jatimlerek</t>
  </si>
  <si>
    <t>D.I. Nurbiha</t>
  </si>
  <si>
    <t>D.I. Klitik Bendokrosok</t>
  </si>
  <si>
    <t>D.I. Domas</t>
  </si>
  <si>
    <t>D.I. Krasak</t>
  </si>
  <si>
    <t>D.I. Bedilan</t>
  </si>
  <si>
    <t>D.I. Kali Corong</t>
  </si>
  <si>
    <t>D.I. Sbr.Pakem</t>
  </si>
  <si>
    <t>D.I. Sampung</t>
  </si>
  <si>
    <t>D.I. Pateguan</t>
  </si>
  <si>
    <t>D.I. Blambangan</t>
  </si>
  <si>
    <t>D.I. Wonosroyo</t>
  </si>
  <si>
    <t>D.I. Mbok Siti</t>
  </si>
  <si>
    <t>D.I. Ketandan</t>
  </si>
  <si>
    <t>D.I. Curah Menjangan/Kedungsangku</t>
  </si>
  <si>
    <t>D.I. Tenggoro</t>
  </si>
  <si>
    <t>D.I. Kottok</t>
  </si>
  <si>
    <t>Nomenklatur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</si>
</sst>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??_-;_-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ADB9CA"/>
        <bgColor rgb="FFADB9CA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ADB9CA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E598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rgb="FF00B0F0"/>
      </patternFill>
    </fill>
    <fill>
      <patternFill patternType="solid">
        <fgColor rgb="FFFFFF00"/>
        <bgColor rgb="FFDEEAF6"/>
      </patternFill>
    </fill>
    <fill>
      <patternFill patternType="solid">
        <fgColor rgb="FFFFFF00"/>
        <bgColor rgb="FFF4B083"/>
      </patternFill>
    </fill>
    <fill>
      <patternFill patternType="solid">
        <fgColor rgb="FFF4B083"/>
        <bgColor rgb="FFF4B083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BE4D5"/>
      </patternFill>
    </fill>
    <fill>
      <patternFill patternType="solid">
        <fgColor rgb="FFFFFF00"/>
        <bgColor rgb="FFA8D08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2" borderId="3" xfId="0" applyFont="1" applyFill="1" applyBorder="1" applyAlignment="1">
      <alignment horizontal="center"/>
    </xf>
    <xf numFmtId="0" fontId="2" fillId="2" borderId="3" xfId="0" applyFont="1" applyFill="1" applyBorder="1"/>
    <xf numFmtId="2" fontId="3" fillId="2" borderId="0" xfId="0" applyNumberFormat="1" applyFont="1" applyFill="1" applyAlignment="1">
      <alignment horizontal="right"/>
    </xf>
    <xf numFmtId="2" fontId="2" fillId="3" borderId="3" xfId="0" applyNumberFormat="1" applyFont="1" applyFill="1" applyBorder="1"/>
    <xf numFmtId="0" fontId="2" fillId="0" borderId="3" xfId="0" applyFont="1" applyBorder="1"/>
    <xf numFmtId="2" fontId="3" fillId="2" borderId="2" xfId="0" applyNumberFormat="1" applyFont="1" applyFill="1" applyBorder="1" applyAlignment="1">
      <alignment horizontal="right"/>
    </xf>
    <xf numFmtId="2" fontId="3" fillId="2" borderId="4" xfId="0" applyNumberFormat="1" applyFont="1" applyFill="1" applyBorder="1" applyAlignment="1">
      <alignment horizontal="right"/>
    </xf>
    <xf numFmtId="2" fontId="2" fillId="2" borderId="3" xfId="0" applyNumberFormat="1" applyFont="1" applyFill="1" applyBorder="1"/>
    <xf numFmtId="0" fontId="2" fillId="4" borderId="3" xfId="0" applyFont="1" applyFill="1" applyBorder="1" applyAlignment="1">
      <alignment horizontal="center"/>
    </xf>
    <xf numFmtId="0" fontId="2" fillId="4" borderId="3" xfId="0" applyFont="1" applyFill="1" applyBorder="1"/>
    <xf numFmtId="2" fontId="3" fillId="4" borderId="2" xfId="0" applyNumberFormat="1" applyFont="1" applyFill="1" applyBorder="1" applyAlignment="1">
      <alignment horizontal="right"/>
    </xf>
    <xf numFmtId="2" fontId="3" fillId="4" borderId="4" xfId="0" applyNumberFormat="1" applyFont="1" applyFill="1" applyBorder="1" applyAlignment="1">
      <alignment horizontal="right"/>
    </xf>
    <xf numFmtId="2" fontId="2" fillId="4" borderId="3" xfId="0" applyNumberFormat="1" applyFont="1" applyFill="1" applyBorder="1"/>
    <xf numFmtId="0" fontId="2" fillId="5" borderId="3" xfId="0" applyFont="1" applyFill="1" applyBorder="1" applyAlignment="1">
      <alignment horizontal="center"/>
    </xf>
    <xf numFmtId="0" fontId="2" fillId="5" borderId="3" xfId="0" applyFont="1" applyFill="1" applyBorder="1"/>
    <xf numFmtId="164" fontId="2" fillId="5" borderId="3" xfId="0" applyNumberFormat="1" applyFont="1" applyFill="1" applyBorder="1"/>
    <xf numFmtId="2" fontId="3" fillId="5" borderId="2" xfId="0" applyNumberFormat="1" applyFont="1" applyFill="1" applyBorder="1" applyAlignment="1">
      <alignment horizontal="right"/>
    </xf>
    <xf numFmtId="2" fontId="3" fillId="5" borderId="4" xfId="0" applyNumberFormat="1" applyFont="1" applyFill="1" applyBorder="1" applyAlignment="1">
      <alignment horizontal="right"/>
    </xf>
    <xf numFmtId="0" fontId="2" fillId="6" borderId="3" xfId="0" applyFont="1" applyFill="1" applyBorder="1" applyAlignment="1">
      <alignment horizontal="center"/>
    </xf>
    <xf numFmtId="0" fontId="2" fillId="6" borderId="3" xfId="0" applyFont="1" applyFill="1" applyBorder="1"/>
    <xf numFmtId="164" fontId="2" fillId="6" borderId="3" xfId="0" applyNumberFormat="1" applyFont="1" applyFill="1" applyBorder="1"/>
    <xf numFmtId="2" fontId="3" fillId="6" borderId="2" xfId="0" applyNumberFormat="1" applyFont="1" applyFill="1" applyBorder="1" applyAlignment="1">
      <alignment horizontal="right"/>
    </xf>
    <xf numFmtId="2" fontId="3" fillId="6" borderId="4" xfId="0" applyNumberFormat="1" applyFont="1" applyFill="1" applyBorder="1" applyAlignment="1">
      <alignment horizontal="right"/>
    </xf>
    <xf numFmtId="2" fontId="2" fillId="6" borderId="3" xfId="0" applyNumberFormat="1" applyFont="1" applyFill="1" applyBorder="1"/>
    <xf numFmtId="0" fontId="2" fillId="7" borderId="3" xfId="0" applyFont="1" applyFill="1" applyBorder="1" applyAlignment="1">
      <alignment horizontal="center"/>
    </xf>
    <xf numFmtId="0" fontId="2" fillId="7" borderId="3" xfId="0" applyFont="1" applyFill="1" applyBorder="1"/>
    <xf numFmtId="2" fontId="3" fillId="7" borderId="2" xfId="0" applyNumberFormat="1" applyFont="1" applyFill="1" applyBorder="1" applyAlignment="1">
      <alignment horizontal="right"/>
    </xf>
    <xf numFmtId="2" fontId="3" fillId="7" borderId="4" xfId="0" applyNumberFormat="1" applyFont="1" applyFill="1" applyBorder="1" applyAlignment="1">
      <alignment horizontal="right"/>
    </xf>
    <xf numFmtId="2" fontId="2" fillId="7" borderId="3" xfId="0" applyNumberFormat="1" applyFont="1" applyFill="1" applyBorder="1"/>
    <xf numFmtId="2" fontId="2" fillId="5" borderId="3" xfId="0" applyNumberFormat="1" applyFont="1" applyFill="1" applyBorder="1"/>
    <xf numFmtId="0" fontId="0" fillId="8" borderId="0" xfId="0" applyFill="1"/>
    <xf numFmtId="0" fontId="2" fillId="9" borderId="3" xfId="0" applyFont="1" applyFill="1" applyBorder="1" applyAlignment="1">
      <alignment horizontal="center"/>
    </xf>
    <xf numFmtId="0" fontId="2" fillId="9" borderId="3" xfId="0" applyFont="1" applyFill="1" applyBorder="1"/>
    <xf numFmtId="2" fontId="3" fillId="9" borderId="2" xfId="0" applyNumberFormat="1" applyFont="1" applyFill="1" applyBorder="1" applyAlignment="1">
      <alignment horizontal="right"/>
    </xf>
    <xf numFmtId="2" fontId="3" fillId="9" borderId="4" xfId="0" applyNumberFormat="1" applyFont="1" applyFill="1" applyBorder="1" applyAlignment="1">
      <alignment horizontal="right"/>
    </xf>
    <xf numFmtId="0" fontId="2" fillId="8" borderId="3" xfId="0" applyFont="1" applyFill="1" applyBorder="1"/>
    <xf numFmtId="0" fontId="2" fillId="10" borderId="3" xfId="0" applyFont="1" applyFill="1" applyBorder="1" applyAlignment="1">
      <alignment horizontal="center"/>
    </xf>
    <xf numFmtId="0" fontId="2" fillId="10" borderId="3" xfId="0" applyFont="1" applyFill="1" applyBorder="1"/>
    <xf numFmtId="164" fontId="2" fillId="10" borderId="3" xfId="0" applyNumberFormat="1" applyFont="1" applyFill="1" applyBorder="1"/>
    <xf numFmtId="2" fontId="3" fillId="10" borderId="2" xfId="0" applyNumberFormat="1" applyFont="1" applyFill="1" applyBorder="1" applyAlignment="1">
      <alignment horizontal="right"/>
    </xf>
    <xf numFmtId="2" fontId="3" fillId="10" borderId="4" xfId="0" applyNumberFormat="1" applyFont="1" applyFill="1" applyBorder="1" applyAlignment="1">
      <alignment horizontal="right"/>
    </xf>
    <xf numFmtId="2" fontId="2" fillId="10" borderId="3" xfId="0" applyNumberFormat="1" applyFont="1" applyFill="1" applyBorder="1"/>
    <xf numFmtId="2" fontId="3" fillId="6" borderId="0" xfId="0" applyNumberFormat="1" applyFont="1" applyFill="1" applyAlignment="1">
      <alignment horizontal="right"/>
    </xf>
    <xf numFmtId="2" fontId="3" fillId="4" borderId="0" xfId="0" applyNumberFormat="1" applyFont="1" applyFill="1" applyAlignment="1">
      <alignment horizontal="right"/>
    </xf>
    <xf numFmtId="2" fontId="3" fillId="10" borderId="0" xfId="0" applyNumberFormat="1" applyFont="1" applyFill="1" applyAlignment="1">
      <alignment horizontal="right"/>
    </xf>
    <xf numFmtId="2" fontId="3" fillId="7" borderId="0" xfId="0" applyNumberFormat="1" applyFont="1" applyFill="1" applyAlignment="1">
      <alignment horizontal="right"/>
    </xf>
    <xf numFmtId="2" fontId="3" fillId="5" borderId="0" xfId="0" applyNumberFormat="1" applyFont="1" applyFill="1" applyAlignment="1">
      <alignment horizontal="right"/>
    </xf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/>
    <xf numFmtId="164" fontId="2" fillId="3" borderId="3" xfId="0" applyNumberFormat="1" applyFont="1" applyFill="1" applyBorder="1"/>
    <xf numFmtId="2" fontId="3" fillId="3" borderId="0" xfId="0" applyNumberFormat="1" applyFont="1" applyFill="1" applyAlignment="1">
      <alignment horizontal="right"/>
    </xf>
    <xf numFmtId="0" fontId="2" fillId="11" borderId="3" xfId="0" applyFont="1" applyFill="1" applyBorder="1" applyAlignment="1">
      <alignment horizontal="center"/>
    </xf>
    <xf numFmtId="0" fontId="2" fillId="11" borderId="3" xfId="0" applyFont="1" applyFill="1" applyBorder="1"/>
    <xf numFmtId="164" fontId="2" fillId="11" borderId="3" xfId="0" applyNumberFormat="1" applyFont="1" applyFill="1" applyBorder="1"/>
    <xf numFmtId="2" fontId="3" fillId="11" borderId="0" xfId="0" applyNumberFormat="1" applyFont="1" applyFill="1" applyAlignment="1">
      <alignment horizontal="right"/>
    </xf>
    <xf numFmtId="2" fontId="2" fillId="11" borderId="3" xfId="0" applyNumberFormat="1" applyFont="1" applyFill="1" applyBorder="1"/>
    <xf numFmtId="0" fontId="2" fillId="12" borderId="3" xfId="0" applyFont="1" applyFill="1" applyBorder="1" applyAlignment="1">
      <alignment horizontal="center"/>
    </xf>
    <xf numFmtId="0" fontId="2" fillId="12" borderId="3" xfId="0" applyFont="1" applyFill="1" applyBorder="1"/>
    <xf numFmtId="164" fontId="2" fillId="12" borderId="3" xfId="0" applyNumberFormat="1" applyFont="1" applyFill="1" applyBorder="1"/>
    <xf numFmtId="2" fontId="3" fillId="12" borderId="0" xfId="0" applyNumberFormat="1" applyFont="1" applyFill="1" applyAlignment="1">
      <alignment horizontal="right"/>
    </xf>
    <xf numFmtId="2" fontId="2" fillId="13" borderId="3" xfId="0" applyNumberFormat="1" applyFont="1" applyFill="1" applyBorder="1"/>
    <xf numFmtId="0" fontId="2" fillId="13" borderId="3" xfId="0" applyFont="1" applyFill="1" applyBorder="1"/>
    <xf numFmtId="0" fontId="2" fillId="14" borderId="3" xfId="0" applyFont="1" applyFill="1" applyBorder="1" applyAlignment="1">
      <alignment horizontal="center"/>
    </xf>
    <xf numFmtId="0" fontId="2" fillId="14" borderId="3" xfId="0" applyFont="1" applyFill="1" applyBorder="1"/>
    <xf numFmtId="2" fontId="3" fillId="14" borderId="0" xfId="0" applyNumberFormat="1" applyFont="1" applyFill="1" applyAlignment="1">
      <alignment horizontal="right"/>
    </xf>
    <xf numFmtId="2" fontId="2" fillId="14" borderId="3" xfId="0" applyNumberFormat="1" applyFont="1" applyFill="1" applyBorder="1"/>
    <xf numFmtId="0" fontId="2" fillId="15" borderId="3" xfId="0" applyFont="1" applyFill="1" applyBorder="1" applyAlignment="1">
      <alignment horizontal="center"/>
    </xf>
    <xf numFmtId="0" fontId="2" fillId="15" borderId="3" xfId="0" applyFont="1" applyFill="1" applyBorder="1"/>
    <xf numFmtId="2" fontId="3" fillId="15" borderId="0" xfId="0" applyNumberFormat="1" applyFont="1" applyFill="1" applyAlignment="1">
      <alignment horizontal="right"/>
    </xf>
    <xf numFmtId="2" fontId="2" fillId="15" borderId="3" xfId="0" applyNumberFormat="1" applyFont="1" applyFill="1" applyBorder="1"/>
    <xf numFmtId="0" fontId="2" fillId="16" borderId="3" xfId="0" applyFont="1" applyFill="1" applyBorder="1" applyAlignment="1">
      <alignment horizontal="center"/>
    </xf>
    <xf numFmtId="0" fontId="2" fillId="16" borderId="3" xfId="0" applyFont="1" applyFill="1" applyBorder="1"/>
    <xf numFmtId="2" fontId="3" fillId="16" borderId="0" xfId="0" applyNumberFormat="1" applyFont="1" applyFill="1" applyAlignment="1">
      <alignment horizontal="right"/>
    </xf>
    <xf numFmtId="2" fontId="2" fillId="16" borderId="3" xfId="0" applyNumberFormat="1" applyFont="1" applyFill="1" applyBorder="1"/>
    <xf numFmtId="2" fontId="3" fillId="9" borderId="0" xfId="0" applyNumberFormat="1" applyFont="1" applyFill="1" applyAlignment="1">
      <alignment horizontal="right"/>
    </xf>
    <xf numFmtId="2" fontId="2" fillId="17" borderId="3" xfId="0" applyNumberFormat="1" applyFont="1" applyFill="1" applyBorder="1"/>
    <xf numFmtId="0" fontId="2" fillId="17" borderId="3" xfId="0" applyFont="1" applyFill="1" applyBorder="1"/>
    <xf numFmtId="0" fontId="2" fillId="18" borderId="3" xfId="0" applyFont="1" applyFill="1" applyBorder="1" applyAlignment="1">
      <alignment horizontal="center"/>
    </xf>
    <xf numFmtId="0" fontId="2" fillId="18" borderId="3" xfId="0" applyFont="1" applyFill="1" applyBorder="1"/>
    <xf numFmtId="164" fontId="2" fillId="18" borderId="3" xfId="0" applyNumberFormat="1" applyFont="1" applyFill="1" applyBorder="1"/>
    <xf numFmtId="2" fontId="3" fillId="18" borderId="0" xfId="0" applyNumberFormat="1" applyFont="1" applyFill="1" applyAlignment="1">
      <alignment horizontal="right"/>
    </xf>
    <xf numFmtId="2" fontId="2" fillId="18" borderId="3" xfId="0" applyNumberFormat="1" applyFont="1" applyFill="1" applyBorder="1"/>
    <xf numFmtId="0" fontId="2" fillId="19" borderId="3" xfId="0" applyFont="1" applyFill="1" applyBorder="1" applyAlignment="1">
      <alignment horizontal="center"/>
    </xf>
    <xf numFmtId="0" fontId="2" fillId="19" borderId="3" xfId="0" applyFont="1" applyFill="1" applyBorder="1"/>
    <xf numFmtId="2" fontId="3" fillId="19" borderId="0" xfId="0" applyNumberFormat="1" applyFont="1" applyFill="1" applyAlignment="1">
      <alignment horizontal="right"/>
    </xf>
    <xf numFmtId="0" fontId="2" fillId="16" borderId="5" xfId="0" applyFont="1" applyFill="1" applyBorder="1" applyAlignment="1">
      <alignment horizontal="center"/>
    </xf>
    <xf numFmtId="0" fontId="2" fillId="16" borderId="5" xfId="0" applyFont="1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F17F2-0F8F-4723-A9B3-82A1C27914B2}">
  <sheetPr>
    <tabColor rgb="FFFF0000"/>
  </sheetPr>
  <dimension ref="A1:M977"/>
  <sheetViews>
    <sheetView tabSelected="1" zoomScale="86" workbookViewId="0">
      <selection activeCell="B2" sqref="B2"/>
    </sheetView>
  </sheetViews>
  <sheetFormatPr defaultColWidth="14.44140625" defaultRowHeight="15" customHeight="1" x14ac:dyDescent="0.3"/>
  <cols>
    <col min="1" max="1" width="5.33203125" customWidth="1"/>
    <col min="2" max="2" width="34.88671875" customWidth="1"/>
    <col min="3" max="3" width="15.44140625" customWidth="1"/>
    <col min="4" max="4" width="33.6640625" customWidth="1"/>
    <col min="5" max="5" width="12.5546875" customWidth="1"/>
    <col min="6" max="12" width="14.6640625" customWidth="1"/>
    <col min="13" max="13" width="56.109375" customWidth="1"/>
  </cols>
  <sheetData>
    <row r="1" spans="1:13" ht="14.25" customHeight="1" x14ac:dyDescent="0.3">
      <c r="A1" s="88" t="s">
        <v>0</v>
      </c>
      <c r="B1" s="89" t="s">
        <v>250</v>
      </c>
      <c r="C1" s="89" t="s">
        <v>1</v>
      </c>
      <c r="D1" s="89" t="s">
        <v>2</v>
      </c>
      <c r="E1" s="88" t="s">
        <v>3</v>
      </c>
      <c r="F1" s="90" t="s">
        <v>4</v>
      </c>
      <c r="G1" s="90" t="s">
        <v>5</v>
      </c>
      <c r="H1" s="90" t="s">
        <v>6</v>
      </c>
      <c r="I1" s="90" t="s">
        <v>7</v>
      </c>
      <c r="J1" s="90" t="s">
        <v>8</v>
      </c>
      <c r="K1" s="90" t="s">
        <v>9</v>
      </c>
      <c r="L1" s="90" t="s">
        <v>10</v>
      </c>
      <c r="M1" s="88" t="s">
        <v>11</v>
      </c>
    </row>
    <row r="2" spans="1:13" ht="14.4" x14ac:dyDescent="0.3">
      <c r="A2" s="1">
        <v>19</v>
      </c>
      <c r="B2" s="2" t="s">
        <v>12</v>
      </c>
      <c r="C2" s="2">
        <v>1085</v>
      </c>
      <c r="D2" s="2" t="s">
        <v>13</v>
      </c>
      <c r="E2" s="2">
        <v>35000177</v>
      </c>
      <c r="F2" s="3">
        <v>20.16</v>
      </c>
      <c r="G2" s="3">
        <v>6.41</v>
      </c>
      <c r="H2" s="3">
        <v>3</v>
      </c>
      <c r="I2" s="3">
        <v>6.1</v>
      </c>
      <c r="J2" s="3">
        <v>1.55</v>
      </c>
      <c r="K2" s="3">
        <v>3</v>
      </c>
      <c r="L2" s="4">
        <f>+SUM(F2:K2)</f>
        <v>40.22</v>
      </c>
      <c r="M2" s="5"/>
    </row>
    <row r="3" spans="1:13" ht="14.4" x14ac:dyDescent="0.3">
      <c r="A3" s="1">
        <v>10</v>
      </c>
      <c r="B3" s="2" t="s">
        <v>14</v>
      </c>
      <c r="C3" s="2">
        <v>296</v>
      </c>
      <c r="D3" s="2" t="s">
        <v>15</v>
      </c>
      <c r="E3" s="2">
        <v>35000092</v>
      </c>
      <c r="F3" s="6">
        <v>11.45</v>
      </c>
      <c r="G3" s="7">
        <v>8.51</v>
      </c>
      <c r="H3" s="7">
        <v>4.33</v>
      </c>
      <c r="I3" s="7">
        <v>8.84</v>
      </c>
      <c r="J3" s="7">
        <v>3.93</v>
      </c>
      <c r="K3" s="7">
        <v>3.2</v>
      </c>
      <c r="L3" s="8">
        <f>+SUM(F3:K3)</f>
        <v>40.26</v>
      </c>
      <c r="M3" s="2" t="s">
        <v>16</v>
      </c>
    </row>
    <row r="4" spans="1:13" ht="14.4" x14ac:dyDescent="0.3">
      <c r="A4" s="9">
        <v>7</v>
      </c>
      <c r="B4" s="10" t="s">
        <v>17</v>
      </c>
      <c r="C4" s="10">
        <v>80</v>
      </c>
      <c r="D4" s="10" t="s">
        <v>18</v>
      </c>
      <c r="E4" s="10">
        <v>35000204</v>
      </c>
      <c r="F4" s="11">
        <v>10.38</v>
      </c>
      <c r="G4" s="12">
        <v>5.5</v>
      </c>
      <c r="H4" s="12">
        <v>3.8</v>
      </c>
      <c r="I4" s="12">
        <v>12.75</v>
      </c>
      <c r="J4" s="12">
        <v>4.25</v>
      </c>
      <c r="K4" s="12">
        <v>6.7</v>
      </c>
      <c r="L4" s="13">
        <f>+SUM(F4:K4)</f>
        <v>43.38</v>
      </c>
      <c r="M4" s="10" t="s">
        <v>19</v>
      </c>
    </row>
    <row r="5" spans="1:13" ht="14.4" x14ac:dyDescent="0.3">
      <c r="A5" s="14">
        <v>17</v>
      </c>
      <c r="B5" s="15" t="s">
        <v>20</v>
      </c>
      <c r="C5" s="16">
        <v>1054</v>
      </c>
      <c r="D5" s="15" t="s">
        <v>21</v>
      </c>
      <c r="E5" s="15">
        <v>35000145</v>
      </c>
      <c r="F5" s="17">
        <v>13.04</v>
      </c>
      <c r="G5" s="18">
        <v>6.95</v>
      </c>
      <c r="H5" s="18">
        <v>7</v>
      </c>
      <c r="I5" s="18">
        <v>9.8000000000000007</v>
      </c>
      <c r="J5" s="18">
        <v>3.5</v>
      </c>
      <c r="K5" s="18">
        <v>4.2</v>
      </c>
      <c r="L5" s="4">
        <f>+SUM(F5:K5)</f>
        <v>44.49</v>
      </c>
      <c r="M5" s="5"/>
    </row>
    <row r="6" spans="1:13" ht="14.4" x14ac:dyDescent="0.3">
      <c r="A6" s="19">
        <v>32</v>
      </c>
      <c r="B6" s="20" t="s">
        <v>22</v>
      </c>
      <c r="C6" s="21">
        <v>45</v>
      </c>
      <c r="D6" s="20" t="s">
        <v>23</v>
      </c>
      <c r="E6" s="20">
        <v>35000038</v>
      </c>
      <c r="F6" s="22">
        <v>5.3</v>
      </c>
      <c r="G6" s="23">
        <v>11.51</v>
      </c>
      <c r="H6" s="23">
        <v>7</v>
      </c>
      <c r="I6" s="23">
        <v>10.5</v>
      </c>
      <c r="J6" s="23">
        <v>3.5</v>
      </c>
      <c r="K6" s="23">
        <v>7</v>
      </c>
      <c r="L6" s="24">
        <f>+SUM(F6:K6)</f>
        <v>44.81</v>
      </c>
      <c r="M6" s="20" t="s">
        <v>19</v>
      </c>
    </row>
    <row r="7" spans="1:13" ht="14.4" x14ac:dyDescent="0.3">
      <c r="A7" s="25">
        <v>7</v>
      </c>
      <c r="B7" s="26" t="s">
        <v>24</v>
      </c>
      <c r="C7" s="26">
        <v>50</v>
      </c>
      <c r="D7" s="26" t="s">
        <v>25</v>
      </c>
      <c r="E7" s="26">
        <v>35000197</v>
      </c>
      <c r="F7" s="27">
        <v>12.03</v>
      </c>
      <c r="G7" s="28">
        <v>10</v>
      </c>
      <c r="H7" s="28">
        <v>6.8</v>
      </c>
      <c r="I7" s="28">
        <v>11.39</v>
      </c>
      <c r="J7" s="28">
        <v>3.4</v>
      </c>
      <c r="K7" s="28">
        <v>4.97</v>
      </c>
      <c r="L7" s="29">
        <f>+SUM(F7:K7)</f>
        <v>48.589999999999996</v>
      </c>
      <c r="M7" s="26" t="s">
        <v>16</v>
      </c>
    </row>
    <row r="8" spans="1:13" ht="14.4" x14ac:dyDescent="0.3">
      <c r="A8" s="14">
        <v>9</v>
      </c>
      <c r="B8" s="15" t="s">
        <v>26</v>
      </c>
      <c r="C8" s="16">
        <v>1475</v>
      </c>
      <c r="D8" s="15" t="s">
        <v>27</v>
      </c>
      <c r="E8" s="15">
        <v>35000137</v>
      </c>
      <c r="F8" s="17">
        <v>16.59</v>
      </c>
      <c r="G8" s="18">
        <v>10.16</v>
      </c>
      <c r="H8" s="18">
        <v>4.51</v>
      </c>
      <c r="I8" s="18">
        <v>11.25</v>
      </c>
      <c r="J8" s="18">
        <v>3.2</v>
      </c>
      <c r="K8" s="18">
        <v>3.2</v>
      </c>
      <c r="L8" s="30">
        <f>+SUM(F8:K8)</f>
        <v>48.910000000000004</v>
      </c>
      <c r="M8" s="15" t="s">
        <v>16</v>
      </c>
    </row>
    <row r="9" spans="1:13" ht="14.4" x14ac:dyDescent="0.3">
      <c r="A9" s="1">
        <v>2</v>
      </c>
      <c r="B9" s="2" t="s">
        <v>28</v>
      </c>
      <c r="C9" s="2">
        <v>151</v>
      </c>
      <c r="D9" s="2" t="s">
        <v>29</v>
      </c>
      <c r="E9" s="2">
        <v>35000083</v>
      </c>
      <c r="F9" s="6">
        <v>12.05</v>
      </c>
      <c r="G9" s="7">
        <v>13.64</v>
      </c>
      <c r="H9" s="7">
        <v>7</v>
      </c>
      <c r="I9" s="7">
        <v>10.5</v>
      </c>
      <c r="J9" s="7">
        <v>3.5</v>
      </c>
      <c r="K9" s="7">
        <v>3</v>
      </c>
      <c r="L9" s="4">
        <f>+SUM(F9:K9)</f>
        <v>49.69</v>
      </c>
      <c r="M9" s="5" t="s">
        <v>30</v>
      </c>
    </row>
    <row r="10" spans="1:13" ht="14.4" x14ac:dyDescent="0.3">
      <c r="A10" s="14">
        <v>18</v>
      </c>
      <c r="B10" s="15" t="s">
        <v>31</v>
      </c>
      <c r="C10" s="16">
        <v>1476</v>
      </c>
      <c r="D10" s="15" t="s">
        <v>21</v>
      </c>
      <c r="E10" s="15">
        <v>35000147</v>
      </c>
      <c r="F10" s="17">
        <v>12.06</v>
      </c>
      <c r="G10" s="18">
        <v>12.97</v>
      </c>
      <c r="H10" s="18">
        <v>7.51</v>
      </c>
      <c r="I10" s="18">
        <v>10.4</v>
      </c>
      <c r="J10" s="18">
        <v>3.58</v>
      </c>
      <c r="K10" s="18">
        <v>3.2</v>
      </c>
      <c r="L10" s="4">
        <f>+SUM(F10:K10)</f>
        <v>49.72</v>
      </c>
      <c r="M10" s="5"/>
    </row>
    <row r="11" spans="1:13" s="31" customFormat="1" ht="14.4" x14ac:dyDescent="0.3">
      <c r="A11" s="19">
        <v>3</v>
      </c>
      <c r="B11" s="20" t="s">
        <v>32</v>
      </c>
      <c r="C11" s="21">
        <v>1212</v>
      </c>
      <c r="D11" s="20" t="s">
        <v>33</v>
      </c>
      <c r="E11" s="20">
        <v>35000003</v>
      </c>
      <c r="F11" s="22">
        <v>16.71</v>
      </c>
      <c r="G11" s="23">
        <v>14.34</v>
      </c>
      <c r="H11" s="23">
        <v>6</v>
      </c>
      <c r="I11" s="23">
        <v>6.5</v>
      </c>
      <c r="J11" s="23">
        <v>2.9</v>
      </c>
      <c r="K11" s="23">
        <v>3.99</v>
      </c>
      <c r="L11" s="24">
        <f>+SUM(F11:K11)</f>
        <v>50.44</v>
      </c>
      <c r="M11" s="20" t="s">
        <v>19</v>
      </c>
    </row>
    <row r="12" spans="1:13" ht="14.4" x14ac:dyDescent="0.3">
      <c r="A12" s="32">
        <v>20</v>
      </c>
      <c r="B12" s="33" t="s">
        <v>34</v>
      </c>
      <c r="C12" s="33">
        <v>1132</v>
      </c>
      <c r="D12" s="33" t="s">
        <v>13</v>
      </c>
      <c r="E12" s="33">
        <v>35000178</v>
      </c>
      <c r="F12" s="34">
        <v>31.11</v>
      </c>
      <c r="G12" s="35">
        <v>5.8</v>
      </c>
      <c r="H12" s="35">
        <v>3</v>
      </c>
      <c r="I12" s="35">
        <v>6.5</v>
      </c>
      <c r="J12" s="35">
        <v>1.5</v>
      </c>
      <c r="K12" s="35">
        <v>3</v>
      </c>
      <c r="L12" s="4">
        <f>+SUM(F12:K12)</f>
        <v>50.91</v>
      </c>
      <c r="M12" s="36"/>
    </row>
    <row r="13" spans="1:13" ht="14.4" x14ac:dyDescent="0.3">
      <c r="A13" s="37">
        <v>4</v>
      </c>
      <c r="B13" s="38" t="s">
        <v>35</v>
      </c>
      <c r="C13" s="39">
        <v>281</v>
      </c>
      <c r="D13" s="38" t="s">
        <v>36</v>
      </c>
      <c r="E13" s="38">
        <v>35000041</v>
      </c>
      <c r="F13" s="40">
        <v>16.149999999999999</v>
      </c>
      <c r="G13" s="41">
        <v>7.5</v>
      </c>
      <c r="H13" s="41">
        <v>7.52</v>
      </c>
      <c r="I13" s="41">
        <v>10.029999999999999</v>
      </c>
      <c r="J13" s="41">
        <v>3.45</v>
      </c>
      <c r="K13" s="41">
        <v>6.6</v>
      </c>
      <c r="L13" s="42">
        <f>+SUM(F13:K13)</f>
        <v>51.25</v>
      </c>
      <c r="M13" s="38" t="s">
        <v>37</v>
      </c>
    </row>
    <row r="14" spans="1:13" ht="14.4" x14ac:dyDescent="0.3">
      <c r="A14" s="25">
        <v>17</v>
      </c>
      <c r="B14" s="26" t="s">
        <v>38</v>
      </c>
      <c r="C14" s="26">
        <v>209</v>
      </c>
      <c r="D14" s="26" t="s">
        <v>39</v>
      </c>
      <c r="E14" s="26">
        <v>35000070</v>
      </c>
      <c r="F14" s="27">
        <v>15.05</v>
      </c>
      <c r="G14" s="28">
        <v>11</v>
      </c>
      <c r="H14" s="28">
        <v>7</v>
      </c>
      <c r="I14" s="28">
        <v>12.63</v>
      </c>
      <c r="J14" s="28">
        <v>3.5</v>
      </c>
      <c r="K14" s="28">
        <v>3</v>
      </c>
      <c r="L14" s="29">
        <f>+SUM(F14:K14)</f>
        <v>52.18</v>
      </c>
      <c r="M14" s="26" t="s">
        <v>16</v>
      </c>
    </row>
    <row r="15" spans="1:13" ht="14.4" x14ac:dyDescent="0.3">
      <c r="A15" s="1">
        <v>12</v>
      </c>
      <c r="B15" s="2" t="s">
        <v>40</v>
      </c>
      <c r="C15" s="2">
        <v>876</v>
      </c>
      <c r="D15" s="2" t="s">
        <v>41</v>
      </c>
      <c r="E15" s="2">
        <v>35000094</v>
      </c>
      <c r="F15" s="6">
        <v>26.13</v>
      </c>
      <c r="G15" s="7">
        <v>12.13</v>
      </c>
      <c r="H15" s="7">
        <v>3</v>
      </c>
      <c r="I15" s="7">
        <v>6.5</v>
      </c>
      <c r="J15" s="7">
        <v>1.65</v>
      </c>
      <c r="K15" s="7">
        <v>3</v>
      </c>
      <c r="L15" s="4">
        <f>+SUM(F15:K15)</f>
        <v>52.41</v>
      </c>
      <c r="M15" s="5"/>
    </row>
    <row r="16" spans="1:13" ht="15.75" customHeight="1" x14ac:dyDescent="0.3">
      <c r="A16" s="14">
        <v>16</v>
      </c>
      <c r="B16" s="15" t="s">
        <v>42</v>
      </c>
      <c r="C16" s="16">
        <v>1779</v>
      </c>
      <c r="D16" s="15" t="s">
        <v>43</v>
      </c>
      <c r="E16" s="15">
        <v>35000144</v>
      </c>
      <c r="F16" s="17">
        <v>14.54</v>
      </c>
      <c r="G16" s="18">
        <v>9.68</v>
      </c>
      <c r="H16" s="18">
        <v>7</v>
      </c>
      <c r="I16" s="18">
        <v>11.31</v>
      </c>
      <c r="J16" s="18">
        <v>3.5</v>
      </c>
      <c r="K16" s="18">
        <v>7.23</v>
      </c>
      <c r="L16" s="30">
        <f>+SUM(F16:K16)</f>
        <v>53.260000000000005</v>
      </c>
      <c r="M16" s="15" t="s">
        <v>16</v>
      </c>
    </row>
    <row r="17" spans="1:13" ht="15.75" customHeight="1" x14ac:dyDescent="0.3">
      <c r="A17" s="19">
        <v>15</v>
      </c>
      <c r="B17" s="20" t="s">
        <v>44</v>
      </c>
      <c r="C17" s="21">
        <v>455</v>
      </c>
      <c r="D17" s="20" t="s">
        <v>33</v>
      </c>
      <c r="E17" s="20">
        <v>35000015</v>
      </c>
      <c r="F17" s="22">
        <v>27.88</v>
      </c>
      <c r="G17" s="23">
        <v>11.42</v>
      </c>
      <c r="H17" s="23">
        <v>4.5</v>
      </c>
      <c r="I17" s="23">
        <v>6.1</v>
      </c>
      <c r="J17" s="23">
        <v>3.5</v>
      </c>
      <c r="K17" s="23">
        <v>0</v>
      </c>
      <c r="L17" s="24">
        <f>+SUM(F17:K17)</f>
        <v>53.4</v>
      </c>
      <c r="M17" s="20" t="s">
        <v>19</v>
      </c>
    </row>
    <row r="18" spans="1:13" ht="15.75" customHeight="1" x14ac:dyDescent="0.3">
      <c r="A18" s="19">
        <v>19</v>
      </c>
      <c r="B18" s="20" t="s">
        <v>45</v>
      </c>
      <c r="C18" s="21">
        <v>59</v>
      </c>
      <c r="D18" s="20" t="s">
        <v>33</v>
      </c>
      <c r="E18" s="20">
        <v>35000019</v>
      </c>
      <c r="F18" s="22">
        <v>21.83</v>
      </c>
      <c r="G18" s="23">
        <v>13.21</v>
      </c>
      <c r="H18" s="23">
        <v>6</v>
      </c>
      <c r="I18" s="23">
        <v>6.5</v>
      </c>
      <c r="J18" s="23">
        <v>3.1</v>
      </c>
      <c r="K18" s="23">
        <v>3</v>
      </c>
      <c r="L18" s="24">
        <f>+SUM(F18:K18)</f>
        <v>53.64</v>
      </c>
      <c r="M18" s="20" t="s">
        <v>19</v>
      </c>
    </row>
    <row r="19" spans="1:13" ht="15.75" customHeight="1" x14ac:dyDescent="0.3">
      <c r="A19" s="25">
        <v>14</v>
      </c>
      <c r="B19" s="26" t="s">
        <v>46</v>
      </c>
      <c r="C19" s="26">
        <v>629</v>
      </c>
      <c r="D19" s="26" t="s">
        <v>39</v>
      </c>
      <c r="E19" s="26">
        <v>35000067</v>
      </c>
      <c r="F19" s="27">
        <v>19.66</v>
      </c>
      <c r="G19" s="28">
        <v>7.3</v>
      </c>
      <c r="H19" s="28">
        <v>5.75</v>
      </c>
      <c r="I19" s="28">
        <v>10.050000000000001</v>
      </c>
      <c r="J19" s="28">
        <v>4.03</v>
      </c>
      <c r="K19" s="28">
        <v>7</v>
      </c>
      <c r="L19" s="29">
        <f>+SUM(F19:K19)</f>
        <v>53.790000000000006</v>
      </c>
      <c r="M19" s="26" t="s">
        <v>19</v>
      </c>
    </row>
    <row r="20" spans="1:13" ht="15.75" customHeight="1" x14ac:dyDescent="0.3">
      <c r="A20" s="25">
        <v>1</v>
      </c>
      <c r="B20" s="26" t="s">
        <v>47</v>
      </c>
      <c r="C20" s="26">
        <v>1232</v>
      </c>
      <c r="D20" s="26" t="s">
        <v>25</v>
      </c>
      <c r="E20" s="26">
        <v>35000055</v>
      </c>
      <c r="F20" s="27">
        <v>27.63</v>
      </c>
      <c r="G20" s="28">
        <v>11.6</v>
      </c>
      <c r="H20" s="28">
        <v>3.5</v>
      </c>
      <c r="I20" s="28">
        <v>4.5</v>
      </c>
      <c r="J20" s="28">
        <v>3.5</v>
      </c>
      <c r="K20" s="28">
        <v>3.2</v>
      </c>
      <c r="L20" s="29">
        <f>+SUM(F20:K20)</f>
        <v>53.93</v>
      </c>
      <c r="M20" s="26" t="s">
        <v>48</v>
      </c>
    </row>
    <row r="21" spans="1:13" ht="15.75" customHeight="1" x14ac:dyDescent="0.3">
      <c r="A21" s="25">
        <v>3</v>
      </c>
      <c r="B21" s="26" t="s">
        <v>49</v>
      </c>
      <c r="C21" s="26">
        <v>422</v>
      </c>
      <c r="D21" s="26" t="s">
        <v>25</v>
      </c>
      <c r="E21" s="26">
        <v>35000057</v>
      </c>
      <c r="F21" s="27">
        <v>22.5</v>
      </c>
      <c r="G21" s="28">
        <v>6.85</v>
      </c>
      <c r="H21" s="28">
        <v>5.08</v>
      </c>
      <c r="I21" s="28">
        <v>9.08</v>
      </c>
      <c r="J21" s="28">
        <v>3.65</v>
      </c>
      <c r="K21" s="28">
        <v>7.6</v>
      </c>
      <c r="L21" s="29">
        <f>+SUM(F21:K21)</f>
        <v>54.76</v>
      </c>
      <c r="M21" s="26" t="s">
        <v>16</v>
      </c>
    </row>
    <row r="22" spans="1:13" ht="15.75" customHeight="1" x14ac:dyDescent="0.3">
      <c r="A22" s="1">
        <v>9</v>
      </c>
      <c r="B22" s="2" t="s">
        <v>50</v>
      </c>
      <c r="C22" s="2">
        <v>463</v>
      </c>
      <c r="D22" s="2" t="s">
        <v>15</v>
      </c>
      <c r="E22" s="2">
        <v>35000091</v>
      </c>
      <c r="F22" s="6">
        <v>23.63</v>
      </c>
      <c r="G22" s="7">
        <v>6.15</v>
      </c>
      <c r="H22" s="7">
        <v>5.36</v>
      </c>
      <c r="I22" s="7">
        <v>8.5299999999999994</v>
      </c>
      <c r="J22" s="7">
        <v>3.35</v>
      </c>
      <c r="K22" s="7">
        <v>7.9</v>
      </c>
      <c r="L22" s="8">
        <f>+SUM(F22:K22)</f>
        <v>54.92</v>
      </c>
      <c r="M22" s="2" t="s">
        <v>51</v>
      </c>
    </row>
    <row r="23" spans="1:13" ht="15.75" customHeight="1" x14ac:dyDescent="0.3">
      <c r="A23" s="19">
        <v>17</v>
      </c>
      <c r="B23" s="20" t="s">
        <v>52</v>
      </c>
      <c r="C23" s="21">
        <v>32</v>
      </c>
      <c r="D23" s="20" t="s">
        <v>33</v>
      </c>
      <c r="E23" s="20">
        <v>35000017</v>
      </c>
      <c r="F23" s="22">
        <v>22.54</v>
      </c>
      <c r="G23" s="23">
        <v>13.5</v>
      </c>
      <c r="H23" s="23">
        <v>6.3</v>
      </c>
      <c r="I23" s="23">
        <v>6.5</v>
      </c>
      <c r="J23" s="23">
        <v>3.1</v>
      </c>
      <c r="K23" s="23">
        <v>3</v>
      </c>
      <c r="L23" s="24">
        <f>+SUM(F23:K23)</f>
        <v>54.94</v>
      </c>
      <c r="M23" s="20" t="s">
        <v>19</v>
      </c>
    </row>
    <row r="24" spans="1:13" ht="15.75" customHeight="1" x14ac:dyDescent="0.3">
      <c r="A24" s="19">
        <v>27</v>
      </c>
      <c r="B24" s="20" t="s">
        <v>53</v>
      </c>
      <c r="C24" s="21">
        <v>51</v>
      </c>
      <c r="D24" s="20" t="s">
        <v>23</v>
      </c>
      <c r="E24" s="20">
        <v>35000028</v>
      </c>
      <c r="F24" s="22">
        <v>13.8</v>
      </c>
      <c r="G24" s="23">
        <v>13.22</v>
      </c>
      <c r="H24" s="23">
        <v>7</v>
      </c>
      <c r="I24" s="23">
        <v>10.5</v>
      </c>
      <c r="J24" s="23">
        <v>3.5</v>
      </c>
      <c r="K24" s="23">
        <v>7</v>
      </c>
      <c r="L24" s="24">
        <f>+SUM(F24:K24)</f>
        <v>55.02</v>
      </c>
      <c r="M24" s="20" t="s">
        <v>19</v>
      </c>
    </row>
    <row r="25" spans="1:13" ht="15.75" customHeight="1" x14ac:dyDescent="0.3">
      <c r="A25" s="9">
        <v>11</v>
      </c>
      <c r="B25" s="10" t="s">
        <v>54</v>
      </c>
      <c r="C25" s="10">
        <v>1736</v>
      </c>
      <c r="D25" s="10" t="s">
        <v>55</v>
      </c>
      <c r="E25" s="10">
        <v>35000153</v>
      </c>
      <c r="F25" s="11">
        <v>24.43</v>
      </c>
      <c r="G25" s="12">
        <v>11.81</v>
      </c>
      <c r="H25" s="12">
        <v>4.2</v>
      </c>
      <c r="I25" s="12">
        <v>7.3</v>
      </c>
      <c r="J25" s="12">
        <v>3.58</v>
      </c>
      <c r="K25" s="12">
        <v>4.16</v>
      </c>
      <c r="L25" s="13">
        <f>+SUM(F25:K25)</f>
        <v>55.480000000000004</v>
      </c>
      <c r="M25" s="10" t="s">
        <v>19</v>
      </c>
    </row>
    <row r="26" spans="1:13" ht="15.75" customHeight="1" x14ac:dyDescent="0.3">
      <c r="A26" s="14">
        <v>6</v>
      </c>
      <c r="B26" s="15" t="s">
        <v>56</v>
      </c>
      <c r="C26" s="16">
        <v>1733</v>
      </c>
      <c r="D26" s="15" t="s">
        <v>57</v>
      </c>
      <c r="E26" s="15">
        <v>35000134</v>
      </c>
      <c r="F26" s="17">
        <v>12.4</v>
      </c>
      <c r="G26" s="18">
        <v>13.37</v>
      </c>
      <c r="H26" s="18">
        <v>7.21</v>
      </c>
      <c r="I26" s="18">
        <v>12.51</v>
      </c>
      <c r="J26" s="18">
        <v>3.5</v>
      </c>
      <c r="K26" s="18">
        <v>7</v>
      </c>
      <c r="L26" s="30">
        <f>+SUM(F26:K26)</f>
        <v>55.989999999999995</v>
      </c>
      <c r="M26" s="15" t="s">
        <v>16</v>
      </c>
    </row>
    <row r="27" spans="1:13" ht="15.75" customHeight="1" x14ac:dyDescent="0.3">
      <c r="A27" s="1">
        <v>3</v>
      </c>
      <c r="B27" s="2" t="s">
        <v>58</v>
      </c>
      <c r="C27" s="2">
        <v>62</v>
      </c>
      <c r="D27" s="2" t="s">
        <v>29</v>
      </c>
      <c r="E27" s="2">
        <v>35000084</v>
      </c>
      <c r="F27" s="6">
        <v>15.95</v>
      </c>
      <c r="G27" s="7">
        <v>12.99</v>
      </c>
      <c r="H27" s="7">
        <v>7.41</v>
      </c>
      <c r="I27" s="7">
        <v>12.75</v>
      </c>
      <c r="J27" s="7">
        <v>3.95</v>
      </c>
      <c r="K27" s="7">
        <v>3</v>
      </c>
      <c r="L27" s="4">
        <f>+SUM(F27:K27)</f>
        <v>56.05</v>
      </c>
      <c r="M27" s="5" t="s">
        <v>30</v>
      </c>
    </row>
    <row r="28" spans="1:13" ht="15.75" customHeight="1" x14ac:dyDescent="0.3">
      <c r="A28" s="19">
        <v>14</v>
      </c>
      <c r="B28" s="20" t="s">
        <v>59</v>
      </c>
      <c r="C28" s="21">
        <v>193</v>
      </c>
      <c r="D28" s="20" t="s">
        <v>33</v>
      </c>
      <c r="E28" s="20">
        <v>35000014</v>
      </c>
      <c r="F28" s="43">
        <v>27.55</v>
      </c>
      <c r="G28" s="43">
        <v>11.04</v>
      </c>
      <c r="H28" s="43">
        <v>6.95</v>
      </c>
      <c r="I28" s="43">
        <v>7.86</v>
      </c>
      <c r="J28" s="43">
        <v>3.45</v>
      </c>
      <c r="K28" s="43">
        <v>0</v>
      </c>
      <c r="L28" s="24">
        <f>+SUM(F28:K28)</f>
        <v>56.850000000000009</v>
      </c>
      <c r="M28" s="20" t="s">
        <v>19</v>
      </c>
    </row>
    <row r="29" spans="1:13" ht="15.75" customHeight="1" x14ac:dyDescent="0.3">
      <c r="A29" s="9">
        <v>8</v>
      </c>
      <c r="B29" s="10" t="s">
        <v>60</v>
      </c>
      <c r="C29" s="10">
        <v>1074</v>
      </c>
      <c r="D29" s="10" t="s">
        <v>61</v>
      </c>
      <c r="E29" s="10">
        <v>35000149</v>
      </c>
      <c r="F29" s="44">
        <v>23.65</v>
      </c>
      <c r="G29" s="44">
        <v>10.16</v>
      </c>
      <c r="H29" s="44">
        <v>5</v>
      </c>
      <c r="I29" s="44">
        <v>9.8000000000000007</v>
      </c>
      <c r="J29" s="44">
        <v>3.38</v>
      </c>
      <c r="K29" s="44">
        <v>5.16</v>
      </c>
      <c r="L29" s="13">
        <f>+SUM(F29:K29)</f>
        <v>57.150000000000006</v>
      </c>
      <c r="M29" s="10" t="s">
        <v>62</v>
      </c>
    </row>
    <row r="30" spans="1:13" ht="15.75" customHeight="1" x14ac:dyDescent="0.3">
      <c r="A30" s="37">
        <v>9</v>
      </c>
      <c r="B30" s="38" t="s">
        <v>63</v>
      </c>
      <c r="C30" s="39">
        <v>113</v>
      </c>
      <c r="D30" s="38" t="s">
        <v>36</v>
      </c>
      <c r="E30" s="38">
        <v>35000206</v>
      </c>
      <c r="F30" s="45">
        <v>13.38</v>
      </c>
      <c r="G30" s="45">
        <v>14.63</v>
      </c>
      <c r="H30" s="45">
        <v>7.77</v>
      </c>
      <c r="I30" s="45">
        <v>10.76</v>
      </c>
      <c r="J30" s="45">
        <v>3.73</v>
      </c>
      <c r="K30" s="45">
        <v>7</v>
      </c>
      <c r="L30" s="42">
        <f>+SUM(F30:K30)</f>
        <v>57.269999999999996</v>
      </c>
      <c r="M30" s="38" t="s">
        <v>37</v>
      </c>
    </row>
    <row r="31" spans="1:13" ht="15.75" customHeight="1" x14ac:dyDescent="0.3">
      <c r="A31" s="9">
        <v>4</v>
      </c>
      <c r="B31" s="10" t="s">
        <v>64</v>
      </c>
      <c r="C31" s="10">
        <v>350</v>
      </c>
      <c r="D31" s="10" t="s">
        <v>18</v>
      </c>
      <c r="E31" s="10">
        <v>35000079</v>
      </c>
      <c r="F31" s="44">
        <v>19.32</v>
      </c>
      <c r="G31" s="44">
        <v>4.95</v>
      </c>
      <c r="H31" s="44">
        <v>7.66</v>
      </c>
      <c r="I31" s="44">
        <v>12.75</v>
      </c>
      <c r="J31" s="44">
        <v>4.25</v>
      </c>
      <c r="K31" s="44">
        <v>8.41</v>
      </c>
      <c r="L31" s="13">
        <f>+SUM(F31:K31)</f>
        <v>57.34</v>
      </c>
      <c r="M31" s="10" t="s">
        <v>19</v>
      </c>
    </row>
    <row r="32" spans="1:13" ht="15.75" customHeight="1" x14ac:dyDescent="0.3">
      <c r="A32" s="1">
        <v>7</v>
      </c>
      <c r="B32" s="2" t="s">
        <v>65</v>
      </c>
      <c r="C32" s="2">
        <v>64</v>
      </c>
      <c r="D32" s="2" t="s">
        <v>29</v>
      </c>
      <c r="E32" s="2">
        <v>35000207</v>
      </c>
      <c r="F32" s="3">
        <v>28.94</v>
      </c>
      <c r="G32" s="3">
        <v>14.1</v>
      </c>
      <c r="H32" s="3">
        <v>4.0999999999999996</v>
      </c>
      <c r="I32" s="3">
        <v>4.5</v>
      </c>
      <c r="J32" s="3">
        <v>2.7</v>
      </c>
      <c r="K32" s="3">
        <v>3</v>
      </c>
      <c r="L32" s="4">
        <f>+SUM(F32:K32)</f>
        <v>57.34</v>
      </c>
      <c r="M32" s="5"/>
    </row>
    <row r="33" spans="1:13" ht="15.75" customHeight="1" x14ac:dyDescent="0.3">
      <c r="A33" s="25">
        <v>19</v>
      </c>
      <c r="B33" s="26" t="s">
        <v>66</v>
      </c>
      <c r="C33" s="26">
        <v>20</v>
      </c>
      <c r="D33" s="26" t="s">
        <v>39</v>
      </c>
      <c r="E33" s="26">
        <v>35000198</v>
      </c>
      <c r="F33" s="46">
        <v>28</v>
      </c>
      <c r="G33" s="46">
        <v>10</v>
      </c>
      <c r="H33" s="46">
        <v>4.5</v>
      </c>
      <c r="I33" s="46">
        <v>7.5</v>
      </c>
      <c r="J33" s="46">
        <v>2.5</v>
      </c>
      <c r="K33" s="46">
        <v>5</v>
      </c>
      <c r="L33" s="4">
        <f>+SUM(F33:K33)</f>
        <v>57.5</v>
      </c>
      <c r="M33" s="5"/>
    </row>
    <row r="34" spans="1:13" ht="15.75" customHeight="1" x14ac:dyDescent="0.3">
      <c r="A34" s="14">
        <v>13</v>
      </c>
      <c r="B34" s="15" t="s">
        <v>67</v>
      </c>
      <c r="C34" s="16">
        <v>1185</v>
      </c>
      <c r="D34" s="15" t="s">
        <v>43</v>
      </c>
      <c r="E34" s="15">
        <v>35000141</v>
      </c>
      <c r="F34" s="47">
        <v>26</v>
      </c>
      <c r="G34" s="47">
        <v>8.3000000000000007</v>
      </c>
      <c r="H34" s="47">
        <v>6.5</v>
      </c>
      <c r="I34" s="47">
        <v>8</v>
      </c>
      <c r="J34" s="47">
        <v>3</v>
      </c>
      <c r="K34" s="47">
        <v>6</v>
      </c>
      <c r="L34" s="4">
        <f>+SUM(F34:K34)</f>
        <v>57.8</v>
      </c>
      <c r="M34" s="5"/>
    </row>
    <row r="35" spans="1:13" ht="15.75" customHeight="1" x14ac:dyDescent="0.3">
      <c r="A35" s="48">
        <v>5</v>
      </c>
      <c r="B35" s="49" t="s">
        <v>68</v>
      </c>
      <c r="C35" s="50">
        <v>515</v>
      </c>
      <c r="D35" s="49" t="s">
        <v>69</v>
      </c>
      <c r="E35" s="49">
        <v>35000049</v>
      </c>
      <c r="F35" s="51">
        <v>28.99</v>
      </c>
      <c r="G35" s="51">
        <v>8.59</v>
      </c>
      <c r="H35" s="51">
        <v>6.15</v>
      </c>
      <c r="I35" s="51">
        <v>7.78</v>
      </c>
      <c r="J35" s="51">
        <v>2.9</v>
      </c>
      <c r="K35" s="51">
        <v>4.24</v>
      </c>
      <c r="L35" s="4">
        <f>+SUM(F35:K35)</f>
        <v>58.65</v>
      </c>
      <c r="M35" s="49" t="s">
        <v>70</v>
      </c>
    </row>
    <row r="36" spans="1:13" ht="15.75" customHeight="1" x14ac:dyDescent="0.3">
      <c r="A36" s="25">
        <v>11</v>
      </c>
      <c r="B36" s="26" t="s">
        <v>71</v>
      </c>
      <c r="C36" s="26">
        <v>367</v>
      </c>
      <c r="D36" s="26" t="s">
        <v>39</v>
      </c>
      <c r="E36" s="26">
        <v>35000064</v>
      </c>
      <c r="F36" s="46">
        <v>20.94</v>
      </c>
      <c r="G36" s="46">
        <v>11.4</v>
      </c>
      <c r="H36" s="46">
        <v>7</v>
      </c>
      <c r="I36" s="46">
        <v>12.63</v>
      </c>
      <c r="J36" s="46">
        <v>3.5</v>
      </c>
      <c r="K36" s="46">
        <v>3.2</v>
      </c>
      <c r="L36" s="29">
        <f>+SUM(F36:K36)</f>
        <v>58.670000000000009</v>
      </c>
      <c r="M36" s="26" t="s">
        <v>16</v>
      </c>
    </row>
    <row r="37" spans="1:13" ht="15.75" customHeight="1" x14ac:dyDescent="0.3">
      <c r="A37" s="25">
        <v>34</v>
      </c>
      <c r="B37" s="26" t="s">
        <v>72</v>
      </c>
      <c r="C37" s="26">
        <v>1593</v>
      </c>
      <c r="D37" s="26" t="s">
        <v>73</v>
      </c>
      <c r="E37" s="26">
        <v>35000126</v>
      </c>
      <c r="F37" s="27">
        <v>19.649999999999999</v>
      </c>
      <c r="G37" s="28">
        <v>10</v>
      </c>
      <c r="H37" s="28">
        <v>6.8</v>
      </c>
      <c r="I37" s="28">
        <v>12.63</v>
      </c>
      <c r="J37" s="28">
        <v>3.5</v>
      </c>
      <c r="K37" s="28">
        <v>6.16</v>
      </c>
      <c r="L37" s="29">
        <f>+SUM(F37:K37)</f>
        <v>58.739999999999995</v>
      </c>
      <c r="M37" s="26" t="s">
        <v>16</v>
      </c>
    </row>
    <row r="38" spans="1:13" s="31" customFormat="1" ht="15.75" customHeight="1" x14ac:dyDescent="0.3">
      <c r="A38" s="19">
        <v>31</v>
      </c>
      <c r="B38" s="20" t="s">
        <v>74</v>
      </c>
      <c r="C38" s="21">
        <v>38</v>
      </c>
      <c r="D38" s="20" t="s">
        <v>23</v>
      </c>
      <c r="E38" s="20">
        <v>35000033</v>
      </c>
      <c r="F38" s="43">
        <v>17.25</v>
      </c>
      <c r="G38" s="43">
        <v>13.58</v>
      </c>
      <c r="H38" s="43">
        <v>7</v>
      </c>
      <c r="I38" s="43">
        <v>10.5</v>
      </c>
      <c r="J38" s="43">
        <v>3.5</v>
      </c>
      <c r="K38" s="43">
        <v>7</v>
      </c>
      <c r="L38" s="24">
        <f>+SUM(F38:K38)</f>
        <v>58.83</v>
      </c>
      <c r="M38" s="20" t="s">
        <v>19</v>
      </c>
    </row>
    <row r="39" spans="1:13" ht="15.75" customHeight="1" x14ac:dyDescent="0.3">
      <c r="A39" s="14">
        <v>19</v>
      </c>
      <c r="B39" s="15" t="s">
        <v>75</v>
      </c>
      <c r="C39" s="16">
        <v>1430</v>
      </c>
      <c r="D39" s="15" t="s">
        <v>21</v>
      </c>
      <c r="E39" s="15">
        <v>35000148</v>
      </c>
      <c r="F39" s="47">
        <v>19.53</v>
      </c>
      <c r="G39" s="47">
        <v>13.74</v>
      </c>
      <c r="H39" s="47">
        <v>7.51</v>
      </c>
      <c r="I39" s="47">
        <v>10.09</v>
      </c>
      <c r="J39" s="47">
        <v>3.2</v>
      </c>
      <c r="K39" s="47">
        <v>5</v>
      </c>
      <c r="L39" s="4">
        <f>+SUM(F39:K39)</f>
        <v>59.070000000000007</v>
      </c>
      <c r="M39" s="5"/>
    </row>
    <row r="40" spans="1:13" ht="15.75" customHeight="1" x14ac:dyDescent="0.3">
      <c r="A40" s="52">
        <v>2</v>
      </c>
      <c r="B40" s="53" t="s">
        <v>76</v>
      </c>
      <c r="C40" s="54">
        <v>2946</v>
      </c>
      <c r="D40" s="53" t="s">
        <v>77</v>
      </c>
      <c r="E40" s="53">
        <v>35000023</v>
      </c>
      <c r="F40" s="55">
        <v>28.33</v>
      </c>
      <c r="G40" s="55">
        <v>12.09</v>
      </c>
      <c r="H40" s="55">
        <v>4.34</v>
      </c>
      <c r="I40" s="55">
        <v>6.66</v>
      </c>
      <c r="J40" s="55">
        <v>2.9</v>
      </c>
      <c r="K40" s="55">
        <v>4.76</v>
      </c>
      <c r="L40" s="56">
        <f>+SUM(F40:K40)</f>
        <v>59.08</v>
      </c>
      <c r="M40" s="53" t="s">
        <v>37</v>
      </c>
    </row>
    <row r="41" spans="1:13" ht="15.75" customHeight="1" x14ac:dyDescent="0.3">
      <c r="A41" s="14">
        <v>4</v>
      </c>
      <c r="B41" s="15" t="s">
        <v>78</v>
      </c>
      <c r="C41" s="16">
        <v>1144</v>
      </c>
      <c r="D41" s="15" t="s">
        <v>57</v>
      </c>
      <c r="E41" s="15">
        <v>35000132</v>
      </c>
      <c r="F41" s="47">
        <v>25.16</v>
      </c>
      <c r="G41" s="47">
        <v>13.3</v>
      </c>
      <c r="H41" s="47">
        <v>4.5199999999999996</v>
      </c>
      <c r="I41" s="47">
        <v>10.220000000000001</v>
      </c>
      <c r="J41" s="47">
        <v>2.85</v>
      </c>
      <c r="K41" s="47">
        <v>3.5</v>
      </c>
      <c r="L41" s="30">
        <f>+SUM(F41:K41)</f>
        <v>59.550000000000004</v>
      </c>
      <c r="M41" s="15" t="s">
        <v>16</v>
      </c>
    </row>
    <row r="42" spans="1:13" ht="15.75" customHeight="1" x14ac:dyDescent="0.3">
      <c r="A42" s="19">
        <v>16</v>
      </c>
      <c r="B42" s="20" t="s">
        <v>79</v>
      </c>
      <c r="C42" s="21">
        <v>16</v>
      </c>
      <c r="D42" s="20" t="s">
        <v>33</v>
      </c>
      <c r="E42" s="20">
        <v>35000016</v>
      </c>
      <c r="F42" s="43">
        <v>27.18</v>
      </c>
      <c r="G42" s="43">
        <v>13.4</v>
      </c>
      <c r="H42" s="43">
        <v>6</v>
      </c>
      <c r="I42" s="43">
        <v>6.9</v>
      </c>
      <c r="J42" s="43">
        <v>3.1</v>
      </c>
      <c r="K42" s="43">
        <v>3</v>
      </c>
      <c r="L42" s="24">
        <f>+SUM(F42:K42)</f>
        <v>59.58</v>
      </c>
      <c r="M42" s="20" t="s">
        <v>19</v>
      </c>
    </row>
    <row r="43" spans="1:13" ht="15.75" customHeight="1" x14ac:dyDescent="0.3">
      <c r="A43" s="25">
        <v>24</v>
      </c>
      <c r="B43" s="26" t="s">
        <v>80</v>
      </c>
      <c r="C43" s="26">
        <v>1273</v>
      </c>
      <c r="D43" s="26" t="s">
        <v>81</v>
      </c>
      <c r="E43" s="26">
        <v>35000116</v>
      </c>
      <c r="F43" s="46">
        <v>23.58</v>
      </c>
      <c r="G43" s="46">
        <v>7.9</v>
      </c>
      <c r="H43" s="46">
        <v>6.48</v>
      </c>
      <c r="I43" s="46">
        <v>10.66</v>
      </c>
      <c r="J43" s="46">
        <v>4.03</v>
      </c>
      <c r="K43" s="46">
        <v>7</v>
      </c>
      <c r="L43" s="29">
        <f>+SUM(F43:K43)</f>
        <v>59.649999999999991</v>
      </c>
      <c r="M43" s="26" t="s">
        <v>16</v>
      </c>
    </row>
    <row r="44" spans="1:13" ht="15.75" customHeight="1" x14ac:dyDescent="0.3">
      <c r="A44" s="19">
        <v>35</v>
      </c>
      <c r="B44" s="20" t="s">
        <v>82</v>
      </c>
      <c r="C44" s="21">
        <v>1378</v>
      </c>
      <c r="D44" s="20" t="s">
        <v>83</v>
      </c>
      <c r="E44" s="20">
        <v>35000095</v>
      </c>
      <c r="F44" s="43">
        <v>20.68</v>
      </c>
      <c r="G44" s="43">
        <v>9.25</v>
      </c>
      <c r="H44" s="43">
        <v>8.0500000000000007</v>
      </c>
      <c r="I44" s="43">
        <v>11.19</v>
      </c>
      <c r="J44" s="43">
        <v>3.5</v>
      </c>
      <c r="K44" s="43">
        <v>7</v>
      </c>
      <c r="L44" s="24">
        <f>+SUM(F44:K44)</f>
        <v>59.67</v>
      </c>
      <c r="M44" s="20" t="s">
        <v>19</v>
      </c>
    </row>
    <row r="45" spans="1:13" ht="15.75" customHeight="1" x14ac:dyDescent="0.3">
      <c r="A45" s="19">
        <v>6</v>
      </c>
      <c r="B45" s="20" t="s">
        <v>84</v>
      </c>
      <c r="C45" s="21">
        <v>457</v>
      </c>
      <c r="D45" s="20" t="s">
        <v>85</v>
      </c>
      <c r="E45" s="20">
        <v>35000006</v>
      </c>
      <c r="F45" s="43">
        <v>23.97</v>
      </c>
      <c r="G45" s="43">
        <v>13.65</v>
      </c>
      <c r="H45" s="43">
        <v>4.5999999999999996</v>
      </c>
      <c r="I45" s="43">
        <v>8.26</v>
      </c>
      <c r="J45" s="43">
        <v>3.1</v>
      </c>
      <c r="K45" s="43">
        <v>6.3</v>
      </c>
      <c r="L45" s="24">
        <f>+SUM(F45:K45)</f>
        <v>59.879999999999995</v>
      </c>
      <c r="M45" s="20" t="s">
        <v>19</v>
      </c>
    </row>
    <row r="46" spans="1:13" ht="15.75" customHeight="1" x14ac:dyDescent="0.3">
      <c r="A46" s="25">
        <v>12</v>
      </c>
      <c r="B46" s="26" t="s">
        <v>86</v>
      </c>
      <c r="C46" s="26">
        <v>215</v>
      </c>
      <c r="D46" s="26" t="s">
        <v>39</v>
      </c>
      <c r="E46" s="26">
        <v>35000065</v>
      </c>
      <c r="F46" s="46">
        <v>24.17</v>
      </c>
      <c r="G46" s="46">
        <v>5.95</v>
      </c>
      <c r="H46" s="46">
        <v>7</v>
      </c>
      <c r="I46" s="46">
        <v>12.27</v>
      </c>
      <c r="J46" s="46">
        <v>3.5</v>
      </c>
      <c r="K46" s="46">
        <v>7</v>
      </c>
      <c r="L46" s="29">
        <f>+SUM(F46:K46)</f>
        <v>59.89</v>
      </c>
      <c r="M46" s="26" t="s">
        <v>16</v>
      </c>
    </row>
    <row r="47" spans="1:13" ht="15.75" customHeight="1" x14ac:dyDescent="0.3">
      <c r="A47" s="19">
        <v>13</v>
      </c>
      <c r="B47" s="20" t="s">
        <v>87</v>
      </c>
      <c r="C47" s="21">
        <v>53</v>
      </c>
      <c r="D47" s="20" t="s">
        <v>33</v>
      </c>
      <c r="E47" s="20">
        <v>35000013</v>
      </c>
      <c r="F47" s="43">
        <v>22.16</v>
      </c>
      <c r="G47" s="43">
        <v>14.81</v>
      </c>
      <c r="H47" s="43">
        <v>6.2</v>
      </c>
      <c r="I47" s="43">
        <v>9.8800000000000008</v>
      </c>
      <c r="J47" s="43">
        <v>2.7</v>
      </c>
      <c r="K47" s="43">
        <v>4.16</v>
      </c>
      <c r="L47" s="24">
        <f>+SUM(F47:K47)</f>
        <v>59.910000000000011</v>
      </c>
      <c r="M47" s="20" t="s">
        <v>37</v>
      </c>
    </row>
    <row r="48" spans="1:13" ht="15.75" customHeight="1" x14ac:dyDescent="0.3">
      <c r="A48" s="25">
        <v>30</v>
      </c>
      <c r="B48" s="26" t="s">
        <v>88</v>
      </c>
      <c r="C48" s="26">
        <v>1787</v>
      </c>
      <c r="D48" s="26" t="s">
        <v>89</v>
      </c>
      <c r="E48" s="26">
        <v>35000122</v>
      </c>
      <c r="F48" s="46">
        <v>27.97</v>
      </c>
      <c r="G48" s="46">
        <v>12.78</v>
      </c>
      <c r="H48" s="46">
        <v>4.1399999999999997</v>
      </c>
      <c r="I48" s="46">
        <v>7.22</v>
      </c>
      <c r="J48" s="46">
        <v>2.9</v>
      </c>
      <c r="K48" s="46">
        <v>4.96</v>
      </c>
      <c r="L48" s="29">
        <f>+SUM(F48:K48)</f>
        <v>59.97</v>
      </c>
      <c r="M48" s="26" t="s">
        <v>51</v>
      </c>
    </row>
    <row r="49" spans="1:13" ht="15.75" customHeight="1" x14ac:dyDescent="0.3">
      <c r="A49" s="37">
        <v>1</v>
      </c>
      <c r="B49" s="38" t="s">
        <v>90</v>
      </c>
      <c r="C49" s="38">
        <v>1085</v>
      </c>
      <c r="D49" s="38" t="s">
        <v>91</v>
      </c>
      <c r="E49" s="38">
        <v>35000184</v>
      </c>
      <c r="F49" s="45">
        <v>27.01</v>
      </c>
      <c r="G49" s="45">
        <v>12.95</v>
      </c>
      <c r="H49" s="45">
        <v>5.4</v>
      </c>
      <c r="I49" s="45">
        <v>7.14</v>
      </c>
      <c r="J49" s="45">
        <v>2.7</v>
      </c>
      <c r="K49" s="45">
        <v>5</v>
      </c>
      <c r="L49" s="42">
        <f>+SUM(F49:K49)</f>
        <v>60.2</v>
      </c>
      <c r="M49" s="38" t="s">
        <v>70</v>
      </c>
    </row>
    <row r="50" spans="1:13" ht="15.75" customHeight="1" x14ac:dyDescent="0.3">
      <c r="A50" s="19">
        <v>11</v>
      </c>
      <c r="B50" s="20" t="s">
        <v>92</v>
      </c>
      <c r="C50" s="21">
        <v>63</v>
      </c>
      <c r="D50" s="20" t="s">
        <v>33</v>
      </c>
      <c r="E50" s="20">
        <v>35000011</v>
      </c>
      <c r="F50" s="43">
        <v>27.57</v>
      </c>
      <c r="G50" s="43">
        <v>13.46</v>
      </c>
      <c r="H50" s="43">
        <v>6.5</v>
      </c>
      <c r="I50" s="43">
        <v>6.5</v>
      </c>
      <c r="J50" s="43">
        <v>3.1</v>
      </c>
      <c r="K50" s="43">
        <v>3.2</v>
      </c>
      <c r="L50" s="24">
        <f>+SUM(F50:K50)</f>
        <v>60.330000000000005</v>
      </c>
      <c r="M50" s="20" t="s">
        <v>19</v>
      </c>
    </row>
    <row r="51" spans="1:13" s="31" customFormat="1" ht="15.75" customHeight="1" x14ac:dyDescent="0.3">
      <c r="A51" s="52">
        <v>15</v>
      </c>
      <c r="B51" s="53" t="s">
        <v>93</v>
      </c>
      <c r="C51" s="54">
        <v>1470</v>
      </c>
      <c r="D51" s="53" t="s">
        <v>94</v>
      </c>
      <c r="E51" s="53">
        <v>35000108</v>
      </c>
      <c r="F51" s="55">
        <v>28.84</v>
      </c>
      <c r="G51" s="55">
        <v>12.13</v>
      </c>
      <c r="H51" s="55">
        <v>4.34</v>
      </c>
      <c r="I51" s="55">
        <v>8.58</v>
      </c>
      <c r="J51" s="55">
        <v>2.9</v>
      </c>
      <c r="K51" s="55">
        <v>3.84</v>
      </c>
      <c r="L51" s="56">
        <f>+SUM(F51:K51)</f>
        <v>60.629999999999995</v>
      </c>
      <c r="M51" s="53" t="s">
        <v>70</v>
      </c>
    </row>
    <row r="52" spans="1:13" ht="15.75" customHeight="1" x14ac:dyDescent="0.3">
      <c r="A52" s="19">
        <v>4</v>
      </c>
      <c r="B52" s="20" t="s">
        <v>95</v>
      </c>
      <c r="C52" s="21">
        <v>20</v>
      </c>
      <c r="D52" s="20" t="s">
        <v>33</v>
      </c>
      <c r="E52" s="20">
        <v>35000004</v>
      </c>
      <c r="F52" s="43">
        <v>28.65</v>
      </c>
      <c r="G52" s="43">
        <v>13.53</v>
      </c>
      <c r="H52" s="43">
        <v>6</v>
      </c>
      <c r="I52" s="43">
        <v>6.5</v>
      </c>
      <c r="J52" s="43">
        <v>3.1</v>
      </c>
      <c r="K52" s="43">
        <v>3.2</v>
      </c>
      <c r="L52" s="24">
        <f>+SUM(F52:K52)</f>
        <v>60.980000000000004</v>
      </c>
      <c r="M52" s="20" t="s">
        <v>19</v>
      </c>
    </row>
    <row r="53" spans="1:13" s="31" customFormat="1" ht="15.75" customHeight="1" x14ac:dyDescent="0.3">
      <c r="A53" s="14">
        <v>1</v>
      </c>
      <c r="B53" s="15" t="s">
        <v>96</v>
      </c>
      <c r="C53" s="16">
        <v>2143</v>
      </c>
      <c r="D53" s="15" t="s">
        <v>97</v>
      </c>
      <c r="E53" s="15">
        <v>35000073</v>
      </c>
      <c r="F53" s="47">
        <v>24.34</v>
      </c>
      <c r="G53" s="47">
        <v>7.5</v>
      </c>
      <c r="H53" s="47">
        <v>7</v>
      </c>
      <c r="I53" s="47">
        <v>11.27</v>
      </c>
      <c r="J53" s="47">
        <v>3.5</v>
      </c>
      <c r="K53" s="47">
        <v>7.54</v>
      </c>
      <c r="L53" s="30">
        <f>+SUM(F53:K53)</f>
        <v>61.15</v>
      </c>
      <c r="M53" s="15" t="s">
        <v>16</v>
      </c>
    </row>
    <row r="54" spans="1:13" s="31" customFormat="1" ht="15.75" customHeight="1" x14ac:dyDescent="0.3">
      <c r="A54" s="19">
        <v>8</v>
      </c>
      <c r="B54" s="20" t="s">
        <v>98</v>
      </c>
      <c r="C54" s="21">
        <v>39</v>
      </c>
      <c r="D54" s="20" t="s">
        <v>33</v>
      </c>
      <c r="E54" s="20">
        <v>35000008</v>
      </c>
      <c r="F54" s="43">
        <v>28.57</v>
      </c>
      <c r="G54" s="43">
        <v>14.35</v>
      </c>
      <c r="H54" s="43">
        <v>4.5999999999999996</v>
      </c>
      <c r="I54" s="43">
        <v>7.7</v>
      </c>
      <c r="J54" s="43">
        <v>3.1</v>
      </c>
      <c r="K54" s="43">
        <v>3</v>
      </c>
      <c r="L54" s="24">
        <f>+SUM(F54:K54)</f>
        <v>61.320000000000007</v>
      </c>
      <c r="M54" s="20" t="s">
        <v>19</v>
      </c>
    </row>
    <row r="55" spans="1:13" s="31" customFormat="1" ht="15.75" customHeight="1" x14ac:dyDescent="0.3">
      <c r="A55" s="19">
        <v>33</v>
      </c>
      <c r="B55" s="20" t="s">
        <v>99</v>
      </c>
      <c r="C55" s="21">
        <v>461</v>
      </c>
      <c r="D55" s="20" t="s">
        <v>100</v>
      </c>
      <c r="E55" s="20">
        <v>35000039</v>
      </c>
      <c r="F55" s="43">
        <v>22.88</v>
      </c>
      <c r="G55" s="43">
        <v>9.35</v>
      </c>
      <c r="H55" s="43">
        <v>7.46</v>
      </c>
      <c r="I55" s="43">
        <v>11.28</v>
      </c>
      <c r="J55" s="43">
        <v>3.48</v>
      </c>
      <c r="K55" s="43">
        <v>7</v>
      </c>
      <c r="L55" s="24">
        <f>+SUM(F55:K55)</f>
        <v>61.449999999999996</v>
      </c>
      <c r="M55" s="20" t="s">
        <v>19</v>
      </c>
    </row>
    <row r="56" spans="1:13" ht="15.75" customHeight="1" x14ac:dyDescent="0.3">
      <c r="A56" s="1">
        <v>1</v>
      </c>
      <c r="B56" s="2" t="s">
        <v>101</v>
      </c>
      <c r="C56" s="2">
        <v>190</v>
      </c>
      <c r="D56" s="2" t="s">
        <v>29</v>
      </c>
      <c r="E56" s="2">
        <v>35000082</v>
      </c>
      <c r="F56" s="3">
        <v>26.75</v>
      </c>
      <c r="G56" s="3">
        <v>14.63</v>
      </c>
      <c r="H56" s="3">
        <v>4.3</v>
      </c>
      <c r="I56" s="3">
        <v>9.3000000000000007</v>
      </c>
      <c r="J56" s="3">
        <v>3.5</v>
      </c>
      <c r="K56" s="3">
        <v>3</v>
      </c>
      <c r="L56" s="4">
        <f>+SUM(F56:K56)</f>
        <v>61.480000000000004</v>
      </c>
      <c r="M56" s="5"/>
    </row>
    <row r="57" spans="1:13" ht="15.75" customHeight="1" x14ac:dyDescent="0.3">
      <c r="A57" s="19">
        <v>9</v>
      </c>
      <c r="B57" s="20" t="s">
        <v>102</v>
      </c>
      <c r="C57" s="21">
        <v>282</v>
      </c>
      <c r="D57" s="20" t="s">
        <v>85</v>
      </c>
      <c r="E57" s="20">
        <v>35000009</v>
      </c>
      <c r="F57" s="43">
        <v>28.48</v>
      </c>
      <c r="G57" s="43">
        <v>13.54</v>
      </c>
      <c r="H57" s="43">
        <v>3.9</v>
      </c>
      <c r="I57" s="43">
        <v>9.6999999999999993</v>
      </c>
      <c r="J57" s="43">
        <v>3</v>
      </c>
      <c r="K57" s="43">
        <v>3</v>
      </c>
      <c r="L57" s="24">
        <f>+SUM(F57:K57)</f>
        <v>61.61999999999999</v>
      </c>
      <c r="M57" s="20" t="s">
        <v>19</v>
      </c>
    </row>
    <row r="58" spans="1:13" ht="15.75" customHeight="1" x14ac:dyDescent="0.3">
      <c r="A58" s="1">
        <v>17</v>
      </c>
      <c r="B58" s="2" t="s">
        <v>103</v>
      </c>
      <c r="C58" s="2">
        <v>1909</v>
      </c>
      <c r="D58" s="2" t="s">
        <v>104</v>
      </c>
      <c r="E58" s="2">
        <v>35000175</v>
      </c>
      <c r="F58" s="3">
        <v>30.32</v>
      </c>
      <c r="G58" s="3">
        <v>11.22</v>
      </c>
      <c r="H58" s="3">
        <v>4.3600000000000003</v>
      </c>
      <c r="I58" s="3">
        <v>8.58</v>
      </c>
      <c r="J58" s="3">
        <v>3.1</v>
      </c>
      <c r="K58" s="3">
        <v>4.04</v>
      </c>
      <c r="L58" s="8">
        <f>+SUM(F58:K58)</f>
        <v>61.62</v>
      </c>
      <c r="M58" s="2" t="s">
        <v>105</v>
      </c>
    </row>
    <row r="59" spans="1:13" ht="15.75" customHeight="1" x14ac:dyDescent="0.3">
      <c r="A59" s="19">
        <v>7</v>
      </c>
      <c r="B59" s="20" t="s">
        <v>106</v>
      </c>
      <c r="C59" s="21">
        <v>107</v>
      </c>
      <c r="D59" s="20" t="s">
        <v>33</v>
      </c>
      <c r="E59" s="20">
        <v>35000007</v>
      </c>
      <c r="F59" s="43">
        <v>29.45</v>
      </c>
      <c r="G59" s="43">
        <v>13.38</v>
      </c>
      <c r="H59" s="43">
        <v>6</v>
      </c>
      <c r="I59" s="43">
        <v>6.5</v>
      </c>
      <c r="J59" s="43">
        <v>3.1</v>
      </c>
      <c r="K59" s="43">
        <v>3.2</v>
      </c>
      <c r="L59" s="24">
        <f>+SUM(F59:K59)</f>
        <v>61.63</v>
      </c>
      <c r="M59" s="20" t="s">
        <v>19</v>
      </c>
    </row>
    <row r="60" spans="1:13" ht="15.75" customHeight="1" x14ac:dyDescent="0.3">
      <c r="A60" s="1">
        <v>11</v>
      </c>
      <c r="B60" s="2" t="s">
        <v>107</v>
      </c>
      <c r="C60" s="2">
        <v>2581</v>
      </c>
      <c r="D60" s="2" t="s">
        <v>15</v>
      </c>
      <c r="E60" s="2">
        <v>35000093</v>
      </c>
      <c r="F60" s="3">
        <v>31.17</v>
      </c>
      <c r="G60" s="3">
        <v>11.95</v>
      </c>
      <c r="H60" s="3">
        <v>4</v>
      </c>
      <c r="I60" s="3">
        <v>7.54</v>
      </c>
      <c r="J60" s="3">
        <v>2.7</v>
      </c>
      <c r="K60" s="3">
        <v>4.3600000000000003</v>
      </c>
      <c r="L60" s="8">
        <f>+SUM(F60:K60)</f>
        <v>61.720000000000006</v>
      </c>
      <c r="M60" s="2" t="s">
        <v>37</v>
      </c>
    </row>
    <row r="61" spans="1:13" ht="15.75" customHeight="1" x14ac:dyDescent="0.3">
      <c r="A61" s="19">
        <v>18</v>
      </c>
      <c r="B61" s="20" t="s">
        <v>108</v>
      </c>
      <c r="C61" s="21">
        <v>46</v>
      </c>
      <c r="D61" s="20" t="s">
        <v>33</v>
      </c>
      <c r="E61" s="20">
        <v>35000018</v>
      </c>
      <c r="F61" s="43">
        <v>27.43</v>
      </c>
      <c r="G61" s="43">
        <v>15</v>
      </c>
      <c r="H61" s="43">
        <v>5.9</v>
      </c>
      <c r="I61" s="43">
        <v>7.3</v>
      </c>
      <c r="J61" s="43">
        <v>3.1</v>
      </c>
      <c r="K61" s="43">
        <v>3</v>
      </c>
      <c r="L61" s="24">
        <f>+SUM(F61:K61)</f>
        <v>61.73</v>
      </c>
      <c r="M61" s="20" t="s">
        <v>19</v>
      </c>
    </row>
    <row r="62" spans="1:13" ht="15.75" customHeight="1" x14ac:dyDescent="0.3">
      <c r="A62" s="19">
        <v>20</v>
      </c>
      <c r="B62" s="20" t="s">
        <v>71</v>
      </c>
      <c r="C62" s="21">
        <v>119</v>
      </c>
      <c r="D62" s="20" t="s">
        <v>33</v>
      </c>
      <c r="E62" s="20">
        <v>35003010</v>
      </c>
      <c r="F62" s="43">
        <v>28.83</v>
      </c>
      <c r="G62" s="43">
        <v>14.56</v>
      </c>
      <c r="H62" s="43">
        <v>6</v>
      </c>
      <c r="I62" s="43">
        <v>6.5</v>
      </c>
      <c r="J62" s="43">
        <v>2.9</v>
      </c>
      <c r="K62" s="43">
        <v>3</v>
      </c>
      <c r="L62" s="24">
        <f>+SUM(F62:K62)</f>
        <v>61.79</v>
      </c>
      <c r="M62" s="20" t="s">
        <v>19</v>
      </c>
    </row>
    <row r="63" spans="1:13" ht="15.75" customHeight="1" x14ac:dyDescent="0.3">
      <c r="A63" s="19">
        <v>2</v>
      </c>
      <c r="B63" s="20" t="s">
        <v>109</v>
      </c>
      <c r="C63" s="21">
        <v>156</v>
      </c>
      <c r="D63" s="20" t="s">
        <v>33</v>
      </c>
      <c r="E63" s="20">
        <v>35000002</v>
      </c>
      <c r="F63" s="43">
        <v>29.92</v>
      </c>
      <c r="G63" s="43">
        <v>13.36</v>
      </c>
      <c r="H63" s="43">
        <v>6</v>
      </c>
      <c r="I63" s="43">
        <v>6.5</v>
      </c>
      <c r="J63" s="43">
        <v>3.1</v>
      </c>
      <c r="K63" s="43">
        <v>3</v>
      </c>
      <c r="L63" s="24">
        <f>+SUM(F63:K63)</f>
        <v>61.88</v>
      </c>
      <c r="M63" s="20" t="s">
        <v>19</v>
      </c>
    </row>
    <row r="64" spans="1:13" ht="15.75" customHeight="1" x14ac:dyDescent="0.3">
      <c r="A64" s="37">
        <v>1</v>
      </c>
      <c r="B64" s="38" t="s">
        <v>110</v>
      </c>
      <c r="C64" s="39">
        <v>1926</v>
      </c>
      <c r="D64" s="38" t="s">
        <v>77</v>
      </c>
      <c r="E64" s="38">
        <v>35000020</v>
      </c>
      <c r="F64" s="45">
        <v>29.94</v>
      </c>
      <c r="G64" s="45">
        <v>11.67</v>
      </c>
      <c r="H64" s="45">
        <v>4.5</v>
      </c>
      <c r="I64" s="45">
        <v>7.62</v>
      </c>
      <c r="J64" s="45">
        <v>3.5</v>
      </c>
      <c r="K64" s="45">
        <v>4.76</v>
      </c>
      <c r="L64" s="42">
        <f>+SUM(F64:K64)</f>
        <v>61.989999999999995</v>
      </c>
      <c r="M64" s="38" t="s">
        <v>70</v>
      </c>
    </row>
    <row r="65" spans="1:13" ht="15.75" customHeight="1" x14ac:dyDescent="0.3">
      <c r="A65" s="48">
        <v>7</v>
      </c>
      <c r="B65" s="49" t="s">
        <v>111</v>
      </c>
      <c r="C65" s="50">
        <v>971</v>
      </c>
      <c r="D65" s="49" t="s">
        <v>69</v>
      </c>
      <c r="E65" s="49">
        <v>35000051</v>
      </c>
      <c r="F65" s="51">
        <v>32.36</v>
      </c>
      <c r="G65" s="51">
        <v>11.79</v>
      </c>
      <c r="H65" s="51">
        <v>4.5</v>
      </c>
      <c r="I65" s="51">
        <v>6.74</v>
      </c>
      <c r="J65" s="51">
        <v>2.9</v>
      </c>
      <c r="K65" s="51">
        <v>3.8</v>
      </c>
      <c r="L65" s="4">
        <f>+SUM(F65:K65)</f>
        <v>62.089999999999996</v>
      </c>
      <c r="M65" s="49" t="s">
        <v>70</v>
      </c>
    </row>
    <row r="66" spans="1:13" ht="15.75" customHeight="1" x14ac:dyDescent="0.3">
      <c r="A66" s="25">
        <v>13</v>
      </c>
      <c r="B66" s="26" t="s">
        <v>112</v>
      </c>
      <c r="C66" s="26">
        <v>165</v>
      </c>
      <c r="D66" s="26" t="s">
        <v>39</v>
      </c>
      <c r="E66" s="26">
        <v>35000066</v>
      </c>
      <c r="F66" s="46">
        <v>20.22</v>
      </c>
      <c r="G66" s="46">
        <v>11.76</v>
      </c>
      <c r="H66" s="46">
        <v>7</v>
      </c>
      <c r="I66" s="46">
        <v>12.63</v>
      </c>
      <c r="J66" s="46">
        <v>3.5</v>
      </c>
      <c r="K66" s="46">
        <v>7</v>
      </c>
      <c r="L66" s="29">
        <f>+SUM(F66:K66)</f>
        <v>62.11</v>
      </c>
      <c r="M66" s="26" t="s">
        <v>70</v>
      </c>
    </row>
    <row r="67" spans="1:13" ht="15.75" customHeight="1" x14ac:dyDescent="0.3">
      <c r="A67" s="19">
        <v>12</v>
      </c>
      <c r="B67" s="20" t="s">
        <v>113</v>
      </c>
      <c r="C67" s="21">
        <v>70</v>
      </c>
      <c r="D67" s="20" t="s">
        <v>33</v>
      </c>
      <c r="E67" s="20">
        <v>35000012</v>
      </c>
      <c r="F67" s="43">
        <v>28.39</v>
      </c>
      <c r="G67" s="43">
        <v>15</v>
      </c>
      <c r="H67" s="43">
        <v>5.5</v>
      </c>
      <c r="I67" s="43">
        <v>7.14</v>
      </c>
      <c r="J67" s="43">
        <v>3.1</v>
      </c>
      <c r="K67" s="43">
        <v>3</v>
      </c>
      <c r="L67" s="24">
        <f>+SUM(F67:K67)</f>
        <v>62.13</v>
      </c>
      <c r="M67" s="20" t="s">
        <v>19</v>
      </c>
    </row>
    <row r="68" spans="1:13" ht="15.75" customHeight="1" x14ac:dyDescent="0.3">
      <c r="A68" s="19">
        <v>1</v>
      </c>
      <c r="B68" s="20" t="s">
        <v>114</v>
      </c>
      <c r="C68" s="21">
        <v>148</v>
      </c>
      <c r="D68" s="20" t="s">
        <v>33</v>
      </c>
      <c r="E68" s="20">
        <v>35000001</v>
      </c>
      <c r="F68" s="43">
        <v>29.82</v>
      </c>
      <c r="G68" s="43">
        <v>13.38</v>
      </c>
      <c r="H68" s="43">
        <v>6</v>
      </c>
      <c r="I68" s="43">
        <v>6.5</v>
      </c>
      <c r="J68" s="43">
        <v>3.1</v>
      </c>
      <c r="K68" s="43">
        <v>3.4</v>
      </c>
      <c r="L68" s="24">
        <f>+SUM(F68:K68)</f>
        <v>62.2</v>
      </c>
      <c r="M68" s="20" t="s">
        <v>19</v>
      </c>
    </row>
    <row r="69" spans="1:13" ht="15.75" customHeight="1" x14ac:dyDescent="0.3">
      <c r="A69" s="1">
        <v>16</v>
      </c>
      <c r="B69" s="2" t="s">
        <v>115</v>
      </c>
      <c r="C69" s="2">
        <v>1744</v>
      </c>
      <c r="D69" s="2" t="s">
        <v>104</v>
      </c>
      <c r="E69" s="2">
        <v>35000174</v>
      </c>
      <c r="F69" s="3">
        <v>31.21</v>
      </c>
      <c r="G69" s="3">
        <v>11.54</v>
      </c>
      <c r="H69" s="3">
        <v>4.54</v>
      </c>
      <c r="I69" s="3">
        <v>7.66</v>
      </c>
      <c r="J69" s="3">
        <v>2.2999999999999998</v>
      </c>
      <c r="K69" s="3">
        <v>5.16</v>
      </c>
      <c r="L69" s="8">
        <f>+SUM(F69:K69)</f>
        <v>62.41</v>
      </c>
      <c r="M69" s="2" t="s">
        <v>19</v>
      </c>
    </row>
    <row r="70" spans="1:13" ht="15.75" customHeight="1" x14ac:dyDescent="0.3">
      <c r="A70" s="57">
        <v>12</v>
      </c>
      <c r="B70" s="58" t="s">
        <v>116</v>
      </c>
      <c r="C70" s="59">
        <v>1120</v>
      </c>
      <c r="D70" s="58" t="s">
        <v>43</v>
      </c>
      <c r="E70" s="58">
        <v>35000140</v>
      </c>
      <c r="F70" s="60">
        <v>27.14</v>
      </c>
      <c r="G70" s="60">
        <v>14.29</v>
      </c>
      <c r="H70" s="60">
        <v>4.21</v>
      </c>
      <c r="I70" s="60">
        <v>10.5</v>
      </c>
      <c r="J70" s="60">
        <v>2.1800000000000002</v>
      </c>
      <c r="K70" s="60">
        <v>4.4000000000000004</v>
      </c>
      <c r="L70" s="61">
        <f>+SUM(F70:K70)</f>
        <v>62.72</v>
      </c>
      <c r="M70" s="62" t="s">
        <v>62</v>
      </c>
    </row>
    <row r="71" spans="1:13" ht="15.75" customHeight="1" x14ac:dyDescent="0.3">
      <c r="A71" s="1">
        <v>21</v>
      </c>
      <c r="B71" s="2" t="s">
        <v>117</v>
      </c>
      <c r="C71" s="2">
        <v>1090</v>
      </c>
      <c r="D71" s="2" t="s">
        <v>13</v>
      </c>
      <c r="E71" s="2">
        <v>35000179</v>
      </c>
      <c r="F71" s="3">
        <v>30.5</v>
      </c>
      <c r="G71" s="3">
        <v>12.88</v>
      </c>
      <c r="H71" s="3">
        <v>3.94</v>
      </c>
      <c r="I71" s="3">
        <v>7.3</v>
      </c>
      <c r="J71" s="3">
        <v>3.18</v>
      </c>
      <c r="K71" s="3">
        <v>5</v>
      </c>
      <c r="L71" s="8">
        <f>+SUM(F71:K71)</f>
        <v>62.8</v>
      </c>
      <c r="M71" s="2" t="s">
        <v>19</v>
      </c>
    </row>
    <row r="72" spans="1:13" ht="15.75" customHeight="1" x14ac:dyDescent="0.3">
      <c r="A72" s="52">
        <v>3</v>
      </c>
      <c r="B72" s="53" t="s">
        <v>118</v>
      </c>
      <c r="C72" s="53">
        <v>1799</v>
      </c>
      <c r="D72" s="53" t="s">
        <v>119</v>
      </c>
      <c r="E72" s="53">
        <v>35000186</v>
      </c>
      <c r="F72" s="55">
        <v>26.68</v>
      </c>
      <c r="G72" s="55">
        <v>13.02</v>
      </c>
      <c r="H72" s="55">
        <v>4.68</v>
      </c>
      <c r="I72" s="55">
        <v>10.78</v>
      </c>
      <c r="J72" s="55">
        <v>3.65</v>
      </c>
      <c r="K72" s="55">
        <v>4.16</v>
      </c>
      <c r="L72" s="4">
        <f>+SUM(F72:K72)</f>
        <v>62.97</v>
      </c>
      <c r="M72" s="62" t="s">
        <v>62</v>
      </c>
    </row>
    <row r="73" spans="1:13" ht="15.75" customHeight="1" x14ac:dyDescent="0.3">
      <c r="A73" s="1">
        <v>18</v>
      </c>
      <c r="B73" s="2" t="s">
        <v>120</v>
      </c>
      <c r="C73" s="2">
        <v>1008</v>
      </c>
      <c r="D73" s="2" t="s">
        <v>13</v>
      </c>
      <c r="E73" s="2">
        <v>35000176</v>
      </c>
      <c r="F73" s="3">
        <v>30.41</v>
      </c>
      <c r="G73" s="3">
        <v>12.27</v>
      </c>
      <c r="H73" s="3">
        <v>4.5999999999999996</v>
      </c>
      <c r="I73" s="3">
        <v>7.54</v>
      </c>
      <c r="J73" s="3">
        <v>3.18</v>
      </c>
      <c r="K73" s="3">
        <v>5</v>
      </c>
      <c r="L73" s="8">
        <f>+SUM(F73:K73)</f>
        <v>63</v>
      </c>
      <c r="M73" s="2" t="s">
        <v>19</v>
      </c>
    </row>
    <row r="74" spans="1:13" ht="15.75" customHeight="1" x14ac:dyDescent="0.3">
      <c r="A74" s="19">
        <v>5</v>
      </c>
      <c r="B74" s="20" t="s">
        <v>121</v>
      </c>
      <c r="C74" s="21">
        <v>527</v>
      </c>
      <c r="D74" s="20" t="s">
        <v>33</v>
      </c>
      <c r="E74" s="20">
        <v>35000005</v>
      </c>
      <c r="F74" s="43">
        <v>28.25</v>
      </c>
      <c r="G74" s="43">
        <v>12.75</v>
      </c>
      <c r="H74" s="43">
        <v>4.5999999999999996</v>
      </c>
      <c r="I74" s="43">
        <v>10.28</v>
      </c>
      <c r="J74" s="43">
        <v>2.98</v>
      </c>
      <c r="K74" s="43">
        <v>4.2</v>
      </c>
      <c r="L74" s="24">
        <f>+SUM(F74:K74)</f>
        <v>63.06</v>
      </c>
      <c r="M74" s="20" t="s">
        <v>62</v>
      </c>
    </row>
    <row r="75" spans="1:13" ht="15.75" customHeight="1" x14ac:dyDescent="0.3">
      <c r="A75" s="25">
        <v>37</v>
      </c>
      <c r="B75" s="26" t="s">
        <v>122</v>
      </c>
      <c r="C75" s="26">
        <v>1337</v>
      </c>
      <c r="D75" s="26" t="s">
        <v>73</v>
      </c>
      <c r="E75" s="26">
        <v>35000128</v>
      </c>
      <c r="F75" s="46">
        <v>26.07</v>
      </c>
      <c r="G75" s="46">
        <v>7.85</v>
      </c>
      <c r="H75" s="46">
        <v>6.78</v>
      </c>
      <c r="I75" s="46">
        <v>11.57</v>
      </c>
      <c r="J75" s="46">
        <v>4.18</v>
      </c>
      <c r="K75" s="46">
        <v>7.15</v>
      </c>
      <c r="L75" s="29">
        <f>+SUM(F75:K75)</f>
        <v>63.6</v>
      </c>
      <c r="M75" s="26" t="s">
        <v>19</v>
      </c>
    </row>
    <row r="76" spans="1:13" ht="15.75" customHeight="1" x14ac:dyDescent="0.3">
      <c r="A76" s="25">
        <v>20</v>
      </c>
      <c r="B76" s="26" t="s">
        <v>123</v>
      </c>
      <c r="C76" s="26">
        <v>54</v>
      </c>
      <c r="D76" s="26" t="s">
        <v>124</v>
      </c>
      <c r="E76" s="26">
        <v>35000199</v>
      </c>
      <c r="F76" s="46">
        <v>24.64</v>
      </c>
      <c r="G76" s="46">
        <v>13.4</v>
      </c>
      <c r="H76" s="46">
        <v>4.28</v>
      </c>
      <c r="I76" s="46">
        <v>10.3</v>
      </c>
      <c r="J76" s="46">
        <v>4.25</v>
      </c>
      <c r="K76" s="46">
        <v>7</v>
      </c>
      <c r="L76" s="29">
        <f>+SUM(F76:K76)</f>
        <v>63.870000000000005</v>
      </c>
      <c r="M76" s="26" t="s">
        <v>19</v>
      </c>
    </row>
    <row r="77" spans="1:13" s="31" customFormat="1" ht="15.75" customHeight="1" x14ac:dyDescent="0.3">
      <c r="A77" s="25">
        <v>33</v>
      </c>
      <c r="B77" s="26" t="s">
        <v>125</v>
      </c>
      <c r="C77" s="26">
        <v>1046</v>
      </c>
      <c r="D77" s="26" t="s">
        <v>73</v>
      </c>
      <c r="E77" s="26">
        <v>35000125</v>
      </c>
      <c r="F77" s="46">
        <v>24.59</v>
      </c>
      <c r="G77" s="46">
        <v>9.84</v>
      </c>
      <c r="H77" s="46">
        <v>7.23</v>
      </c>
      <c r="I77" s="46">
        <v>11.13</v>
      </c>
      <c r="J77" s="46">
        <v>3.83</v>
      </c>
      <c r="K77" s="46">
        <v>7.3</v>
      </c>
      <c r="L77" s="29">
        <f>+SUM(F77:K77)</f>
        <v>63.919999999999995</v>
      </c>
      <c r="M77" s="26" t="s">
        <v>16</v>
      </c>
    </row>
    <row r="78" spans="1:13" ht="15.75" customHeight="1" x14ac:dyDescent="0.3">
      <c r="A78" s="14">
        <v>11</v>
      </c>
      <c r="B78" s="15" t="s">
        <v>126</v>
      </c>
      <c r="C78" s="16">
        <v>1044</v>
      </c>
      <c r="D78" s="15" t="s">
        <v>43</v>
      </c>
      <c r="E78" s="15">
        <v>35000139</v>
      </c>
      <c r="F78" s="47">
        <v>20.72</v>
      </c>
      <c r="G78" s="47">
        <v>10.77</v>
      </c>
      <c r="H78" s="47">
        <v>8.5</v>
      </c>
      <c r="I78" s="47">
        <v>12.31</v>
      </c>
      <c r="J78" s="47">
        <v>4.25</v>
      </c>
      <c r="K78" s="47">
        <v>7.4</v>
      </c>
      <c r="L78" s="30">
        <f>+SUM(F78:K78)</f>
        <v>63.949999999999996</v>
      </c>
      <c r="M78" s="15" t="s">
        <v>16</v>
      </c>
    </row>
    <row r="79" spans="1:13" ht="15.75" customHeight="1" x14ac:dyDescent="0.3">
      <c r="A79" s="48">
        <v>2</v>
      </c>
      <c r="B79" s="49" t="s">
        <v>127</v>
      </c>
      <c r="C79" s="50">
        <v>288</v>
      </c>
      <c r="D79" s="49" t="s">
        <v>128</v>
      </c>
      <c r="E79" s="49">
        <v>35000046</v>
      </c>
      <c r="F79" s="51">
        <v>21.67</v>
      </c>
      <c r="G79" s="51">
        <v>11.75</v>
      </c>
      <c r="H79" s="51">
        <v>7.71</v>
      </c>
      <c r="I79" s="51">
        <v>11.64</v>
      </c>
      <c r="J79" s="51">
        <v>3.95</v>
      </c>
      <c r="K79" s="51">
        <v>7.3</v>
      </c>
      <c r="L79" s="4">
        <f>+SUM(F79:K79)</f>
        <v>64.02000000000001</v>
      </c>
      <c r="M79" s="49" t="s">
        <v>37</v>
      </c>
    </row>
    <row r="80" spans="1:13" ht="15.75" customHeight="1" x14ac:dyDescent="0.3">
      <c r="A80" s="25">
        <v>21</v>
      </c>
      <c r="B80" s="26" t="s">
        <v>129</v>
      </c>
      <c r="C80" s="26">
        <v>1332</v>
      </c>
      <c r="D80" s="26" t="s">
        <v>81</v>
      </c>
      <c r="E80" s="26">
        <v>35000113</v>
      </c>
      <c r="F80" s="46">
        <v>23.17</v>
      </c>
      <c r="G80" s="46">
        <v>11.2</v>
      </c>
      <c r="H80" s="46">
        <v>6.48</v>
      </c>
      <c r="I80" s="46">
        <v>11.18</v>
      </c>
      <c r="J80" s="46">
        <v>4.03</v>
      </c>
      <c r="K80" s="46">
        <v>8.0500000000000007</v>
      </c>
      <c r="L80" s="29">
        <f>+SUM(F80:K80)</f>
        <v>64.110000000000014</v>
      </c>
      <c r="M80" s="26" t="s">
        <v>16</v>
      </c>
    </row>
    <row r="81" spans="1:13" ht="15.75" customHeight="1" x14ac:dyDescent="0.3">
      <c r="A81" s="63">
        <v>39</v>
      </c>
      <c r="B81" s="64" t="s">
        <v>130</v>
      </c>
      <c r="C81" s="64">
        <v>1372</v>
      </c>
      <c r="D81" s="64" t="s">
        <v>73</v>
      </c>
      <c r="E81" s="64">
        <v>35000131</v>
      </c>
      <c r="F81" s="65">
        <v>28.3</v>
      </c>
      <c r="G81" s="65">
        <v>6.63</v>
      </c>
      <c r="H81" s="65">
        <v>6.8</v>
      </c>
      <c r="I81" s="65">
        <v>11.31</v>
      </c>
      <c r="J81" s="65">
        <v>4.0999999999999996</v>
      </c>
      <c r="K81" s="65">
        <v>7</v>
      </c>
      <c r="L81" s="66">
        <f>+SUM(F81:K81)</f>
        <v>64.14</v>
      </c>
      <c r="M81" s="64" t="s">
        <v>16</v>
      </c>
    </row>
    <row r="82" spans="1:13" ht="15.75" customHeight="1" x14ac:dyDescent="0.3">
      <c r="A82" s="1">
        <v>22</v>
      </c>
      <c r="B82" s="2" t="s">
        <v>131</v>
      </c>
      <c r="C82" s="2">
        <v>1613</v>
      </c>
      <c r="D82" s="2" t="s">
        <v>13</v>
      </c>
      <c r="E82" s="2">
        <v>35000180</v>
      </c>
      <c r="F82" s="3">
        <v>36.08</v>
      </c>
      <c r="G82" s="3">
        <v>14.12</v>
      </c>
      <c r="H82" s="3">
        <v>3</v>
      </c>
      <c r="I82" s="3">
        <v>6.5</v>
      </c>
      <c r="J82" s="3">
        <v>1.5</v>
      </c>
      <c r="K82" s="3">
        <v>3</v>
      </c>
      <c r="L82" s="4">
        <f>+SUM(F82:K82)</f>
        <v>64.199999999999989</v>
      </c>
      <c r="M82" s="5"/>
    </row>
    <row r="83" spans="1:13" ht="15.75" customHeight="1" x14ac:dyDescent="0.3">
      <c r="A83" s="48">
        <v>1</v>
      </c>
      <c r="B83" s="49" t="s">
        <v>132</v>
      </c>
      <c r="C83" s="50">
        <v>62</v>
      </c>
      <c r="D83" s="49" t="s">
        <v>128</v>
      </c>
      <c r="E83" s="49">
        <v>35000045</v>
      </c>
      <c r="F83" s="51">
        <v>21.06</v>
      </c>
      <c r="G83" s="51">
        <v>12.8</v>
      </c>
      <c r="H83" s="51">
        <v>7.65</v>
      </c>
      <c r="I83" s="51">
        <v>11.4</v>
      </c>
      <c r="J83" s="51">
        <v>3.88</v>
      </c>
      <c r="K83" s="51">
        <v>7.68</v>
      </c>
      <c r="L83" s="4">
        <f>+SUM(F83:K83)</f>
        <v>64.47</v>
      </c>
      <c r="M83" s="49" t="s">
        <v>37</v>
      </c>
    </row>
    <row r="84" spans="1:13" ht="15.75" customHeight="1" x14ac:dyDescent="0.3">
      <c r="A84" s="48">
        <v>3</v>
      </c>
      <c r="B84" s="49" t="s">
        <v>133</v>
      </c>
      <c r="C84" s="50">
        <v>69</v>
      </c>
      <c r="D84" s="49" t="s">
        <v>128</v>
      </c>
      <c r="E84" s="49">
        <v>35000047</v>
      </c>
      <c r="F84" s="51">
        <v>21.16</v>
      </c>
      <c r="G84" s="51">
        <v>13.72</v>
      </c>
      <c r="H84" s="51">
        <v>7.48</v>
      </c>
      <c r="I84" s="51">
        <v>11.22</v>
      </c>
      <c r="J84" s="51">
        <v>3.8</v>
      </c>
      <c r="K84" s="51">
        <v>7.23</v>
      </c>
      <c r="L84" s="4">
        <f>+SUM(F84:K84)</f>
        <v>64.61</v>
      </c>
      <c r="M84" s="49" t="s">
        <v>37</v>
      </c>
    </row>
    <row r="85" spans="1:13" ht="15.75" customHeight="1" x14ac:dyDescent="0.3">
      <c r="A85" s="25">
        <v>32</v>
      </c>
      <c r="B85" s="26" t="s">
        <v>134</v>
      </c>
      <c r="C85" s="26">
        <v>1341</v>
      </c>
      <c r="D85" s="26" t="s">
        <v>73</v>
      </c>
      <c r="E85" s="26">
        <v>35000124</v>
      </c>
      <c r="F85" s="46">
        <v>23.22</v>
      </c>
      <c r="G85" s="46">
        <v>11.71</v>
      </c>
      <c r="H85" s="46">
        <v>6.4</v>
      </c>
      <c r="I85" s="46">
        <v>12.63</v>
      </c>
      <c r="J85" s="46">
        <v>3.5</v>
      </c>
      <c r="K85" s="46">
        <v>7.17</v>
      </c>
      <c r="L85" s="29">
        <f>+SUM(F85:K85)</f>
        <v>64.63</v>
      </c>
      <c r="M85" s="26" t="s">
        <v>16</v>
      </c>
    </row>
    <row r="86" spans="1:13" ht="15.75" customHeight="1" x14ac:dyDescent="0.3">
      <c r="A86" s="14">
        <v>3</v>
      </c>
      <c r="B86" s="15" t="s">
        <v>135</v>
      </c>
      <c r="C86" s="16">
        <v>1146</v>
      </c>
      <c r="D86" s="15" t="s">
        <v>136</v>
      </c>
      <c r="E86" s="15">
        <v>35000075</v>
      </c>
      <c r="F86" s="47">
        <v>23.24</v>
      </c>
      <c r="G86" s="47">
        <v>13.67</v>
      </c>
      <c r="H86" s="47">
        <v>7</v>
      </c>
      <c r="I86" s="47">
        <v>10.5</v>
      </c>
      <c r="J86" s="47">
        <v>3.5</v>
      </c>
      <c r="K86" s="47">
        <v>7</v>
      </c>
      <c r="L86" s="30">
        <f>+SUM(F86:K86)</f>
        <v>64.91</v>
      </c>
      <c r="M86" s="15" t="s">
        <v>16</v>
      </c>
    </row>
    <row r="87" spans="1:13" ht="15.75" customHeight="1" x14ac:dyDescent="0.3">
      <c r="A87" s="1">
        <v>24</v>
      </c>
      <c r="B87" s="2" t="s">
        <v>137</v>
      </c>
      <c r="C87" s="2">
        <v>1843</v>
      </c>
      <c r="D87" s="2" t="s">
        <v>13</v>
      </c>
      <c r="E87" s="2">
        <v>35000182</v>
      </c>
      <c r="F87" s="3">
        <v>31</v>
      </c>
      <c r="G87" s="3">
        <v>12.03</v>
      </c>
      <c r="H87" s="3">
        <v>4.5999999999999996</v>
      </c>
      <c r="I87" s="3">
        <v>8.18</v>
      </c>
      <c r="J87" s="3">
        <v>3.5</v>
      </c>
      <c r="K87" s="3">
        <v>5.64</v>
      </c>
      <c r="L87" s="8">
        <f>+SUM(F87:K87)</f>
        <v>64.95</v>
      </c>
      <c r="M87" s="2" t="s">
        <v>105</v>
      </c>
    </row>
    <row r="88" spans="1:13" ht="15.75" customHeight="1" x14ac:dyDescent="0.3">
      <c r="A88" s="19">
        <v>21</v>
      </c>
      <c r="B88" s="20" t="s">
        <v>138</v>
      </c>
      <c r="C88" s="21">
        <v>165</v>
      </c>
      <c r="D88" s="20" t="s">
        <v>139</v>
      </c>
      <c r="E88" s="20">
        <v>35000021</v>
      </c>
      <c r="F88" s="43">
        <v>21.53</v>
      </c>
      <c r="G88" s="43">
        <v>13.86</v>
      </c>
      <c r="H88" s="43">
        <v>7.15</v>
      </c>
      <c r="I88" s="43">
        <v>11.1</v>
      </c>
      <c r="J88" s="43">
        <v>3.65</v>
      </c>
      <c r="K88" s="43">
        <v>7.75</v>
      </c>
      <c r="L88" s="24">
        <f>+SUM(F88:K88)</f>
        <v>65.039999999999992</v>
      </c>
      <c r="M88" s="20" t="s">
        <v>19</v>
      </c>
    </row>
    <row r="89" spans="1:13" ht="15.75" customHeight="1" x14ac:dyDescent="0.3">
      <c r="A89" s="19">
        <v>23</v>
      </c>
      <c r="B89" s="20" t="s">
        <v>140</v>
      </c>
      <c r="C89" s="21">
        <v>69</v>
      </c>
      <c r="D89" s="20" t="s">
        <v>23</v>
      </c>
      <c r="E89" s="20">
        <v>35000024</v>
      </c>
      <c r="F89" s="43">
        <v>24.75</v>
      </c>
      <c r="G89" s="43">
        <v>14.28</v>
      </c>
      <c r="H89" s="43">
        <v>7.1</v>
      </c>
      <c r="I89" s="43">
        <v>10.75</v>
      </c>
      <c r="J89" s="43">
        <v>4.03</v>
      </c>
      <c r="K89" s="43">
        <v>4.26</v>
      </c>
      <c r="L89" s="24">
        <f>+SUM(F89:K89)</f>
        <v>65.17</v>
      </c>
      <c r="M89" s="20" t="s">
        <v>19</v>
      </c>
    </row>
    <row r="90" spans="1:13" ht="15.75" customHeight="1" x14ac:dyDescent="0.3">
      <c r="A90" s="25">
        <v>29</v>
      </c>
      <c r="B90" s="26" t="s">
        <v>141</v>
      </c>
      <c r="C90" s="26">
        <v>1096</v>
      </c>
      <c r="D90" s="26" t="s">
        <v>89</v>
      </c>
      <c r="E90" s="26">
        <v>35000121</v>
      </c>
      <c r="F90" s="46">
        <v>25.69</v>
      </c>
      <c r="G90" s="46">
        <v>13</v>
      </c>
      <c r="H90" s="46">
        <v>6.15</v>
      </c>
      <c r="I90" s="46">
        <v>9.64</v>
      </c>
      <c r="J90" s="46">
        <v>3.8</v>
      </c>
      <c r="K90" s="46">
        <v>7</v>
      </c>
      <c r="L90" s="29">
        <f>+SUM(F90:K90)</f>
        <v>65.28</v>
      </c>
      <c r="M90" s="26" t="s">
        <v>37</v>
      </c>
    </row>
    <row r="91" spans="1:13" ht="15.75" customHeight="1" x14ac:dyDescent="0.3">
      <c r="A91" s="67">
        <v>9</v>
      </c>
      <c r="B91" s="68" t="s">
        <v>142</v>
      </c>
      <c r="C91" s="68">
        <v>1920</v>
      </c>
      <c r="D91" s="68" t="s">
        <v>143</v>
      </c>
      <c r="E91" s="68">
        <v>35000165</v>
      </c>
      <c r="F91" s="69">
        <v>30.51</v>
      </c>
      <c r="G91" s="69">
        <v>12.05</v>
      </c>
      <c r="H91" s="69">
        <v>5.2</v>
      </c>
      <c r="I91" s="69">
        <v>10.01</v>
      </c>
      <c r="J91" s="69">
        <v>3.65</v>
      </c>
      <c r="K91" s="69">
        <v>4.16</v>
      </c>
      <c r="L91" s="70">
        <f>+SUM(F91:K91)</f>
        <v>65.58</v>
      </c>
      <c r="M91" s="68" t="s">
        <v>144</v>
      </c>
    </row>
    <row r="92" spans="1:13" ht="15.75" customHeight="1" x14ac:dyDescent="0.3">
      <c r="A92" s="25">
        <v>2</v>
      </c>
      <c r="B92" s="26" t="s">
        <v>145</v>
      </c>
      <c r="C92" s="26">
        <v>1155</v>
      </c>
      <c r="D92" s="26" t="s">
        <v>25</v>
      </c>
      <c r="E92" s="26">
        <v>35000056</v>
      </c>
      <c r="F92" s="46">
        <v>30.33</v>
      </c>
      <c r="G92" s="46">
        <v>11.34</v>
      </c>
      <c r="H92" s="46">
        <v>5.2</v>
      </c>
      <c r="I92" s="46">
        <v>9.8000000000000007</v>
      </c>
      <c r="J92" s="46">
        <v>3.58</v>
      </c>
      <c r="K92" s="46">
        <v>5.56</v>
      </c>
      <c r="L92" s="29">
        <f>+SUM(F92:K92)</f>
        <v>65.81</v>
      </c>
      <c r="M92" s="26" t="s">
        <v>62</v>
      </c>
    </row>
    <row r="93" spans="1:13" ht="15.75" customHeight="1" x14ac:dyDescent="0.3">
      <c r="A93" s="25">
        <v>28</v>
      </c>
      <c r="B93" s="26" t="s">
        <v>146</v>
      </c>
      <c r="C93" s="26">
        <v>1727</v>
      </c>
      <c r="D93" s="26" t="s">
        <v>89</v>
      </c>
      <c r="E93" s="26">
        <v>35000120</v>
      </c>
      <c r="F93" s="46">
        <v>29.38</v>
      </c>
      <c r="G93" s="46">
        <v>13.2</v>
      </c>
      <c r="H93" s="46">
        <v>5.14</v>
      </c>
      <c r="I93" s="46">
        <v>9.1300000000000008</v>
      </c>
      <c r="J93" s="46">
        <v>3.33</v>
      </c>
      <c r="K93" s="46">
        <v>5.7</v>
      </c>
      <c r="L93" s="4">
        <f>+SUM(F93:K93)</f>
        <v>65.88</v>
      </c>
      <c r="M93" s="5"/>
    </row>
    <row r="94" spans="1:13" ht="15.75" customHeight="1" x14ac:dyDescent="0.3">
      <c r="A94" s="25">
        <v>15</v>
      </c>
      <c r="B94" s="26" t="s">
        <v>147</v>
      </c>
      <c r="C94" s="26">
        <v>2340</v>
      </c>
      <c r="D94" s="26" t="s">
        <v>39</v>
      </c>
      <c r="E94" s="26">
        <v>35000068</v>
      </c>
      <c r="F94" s="46">
        <v>33.06</v>
      </c>
      <c r="G94" s="46">
        <v>11.7</v>
      </c>
      <c r="H94" s="46">
        <v>4.5</v>
      </c>
      <c r="I94" s="46">
        <v>7.3</v>
      </c>
      <c r="J94" s="46">
        <v>3.58</v>
      </c>
      <c r="K94" s="46">
        <v>5.8</v>
      </c>
      <c r="L94" s="29">
        <f>+SUM(F94:K94)</f>
        <v>65.94</v>
      </c>
      <c r="M94" s="26" t="s">
        <v>19</v>
      </c>
    </row>
    <row r="95" spans="1:13" ht="15.75" customHeight="1" x14ac:dyDescent="0.3">
      <c r="A95" s="37">
        <v>3</v>
      </c>
      <c r="B95" s="38" t="s">
        <v>148</v>
      </c>
      <c r="C95" s="39">
        <v>369</v>
      </c>
      <c r="D95" s="38" t="s">
        <v>36</v>
      </c>
      <c r="E95" s="38">
        <v>35000040</v>
      </c>
      <c r="F95" s="45">
        <v>30.28</v>
      </c>
      <c r="G95" s="45">
        <v>12.7</v>
      </c>
      <c r="H95" s="45">
        <v>5.8</v>
      </c>
      <c r="I95" s="45">
        <v>10.15</v>
      </c>
      <c r="J95" s="45">
        <v>3.18</v>
      </c>
      <c r="K95" s="45">
        <v>3.96</v>
      </c>
      <c r="L95" s="42">
        <f>+SUM(F95:K95)</f>
        <v>66.069999999999993</v>
      </c>
      <c r="M95" s="38" t="s">
        <v>37</v>
      </c>
    </row>
    <row r="96" spans="1:13" ht="15.75" customHeight="1" x14ac:dyDescent="0.3">
      <c r="A96" s="19">
        <v>29</v>
      </c>
      <c r="B96" s="20" t="s">
        <v>149</v>
      </c>
      <c r="C96" s="21">
        <v>62</v>
      </c>
      <c r="D96" s="20" t="s">
        <v>23</v>
      </c>
      <c r="E96" s="20">
        <v>35000030</v>
      </c>
      <c r="F96" s="43">
        <v>24.65</v>
      </c>
      <c r="G96" s="43">
        <v>13.57</v>
      </c>
      <c r="H96" s="43">
        <v>7</v>
      </c>
      <c r="I96" s="43">
        <v>10.5</v>
      </c>
      <c r="J96" s="43">
        <v>3.5</v>
      </c>
      <c r="K96" s="43">
        <v>7</v>
      </c>
      <c r="L96" s="24">
        <f>+SUM(F96:K96)</f>
        <v>66.22</v>
      </c>
      <c r="M96" s="20" t="s">
        <v>19</v>
      </c>
    </row>
    <row r="97" spans="1:13" ht="15.75" customHeight="1" x14ac:dyDescent="0.3">
      <c r="A97" s="25">
        <v>23</v>
      </c>
      <c r="B97" s="26" t="s">
        <v>150</v>
      </c>
      <c r="C97" s="26">
        <v>1045</v>
      </c>
      <c r="D97" s="26" t="s">
        <v>81</v>
      </c>
      <c r="E97" s="26">
        <v>35000115</v>
      </c>
      <c r="F97" s="46">
        <v>27.22</v>
      </c>
      <c r="G97" s="46">
        <v>13.31</v>
      </c>
      <c r="H97" s="46">
        <v>6</v>
      </c>
      <c r="I97" s="46">
        <v>8.68</v>
      </c>
      <c r="J97" s="46">
        <v>4.03</v>
      </c>
      <c r="K97" s="46">
        <v>7.08</v>
      </c>
      <c r="L97" s="29">
        <f>+SUM(F97:K97)</f>
        <v>66.320000000000007</v>
      </c>
      <c r="M97" s="26" t="s">
        <v>19</v>
      </c>
    </row>
    <row r="98" spans="1:13" ht="15.75" customHeight="1" x14ac:dyDescent="0.3">
      <c r="A98" s="48">
        <v>6</v>
      </c>
      <c r="B98" s="49" t="s">
        <v>151</v>
      </c>
      <c r="C98" s="50">
        <v>293</v>
      </c>
      <c r="D98" s="49" t="s">
        <v>69</v>
      </c>
      <c r="E98" s="49">
        <v>35000050</v>
      </c>
      <c r="F98" s="51">
        <v>29.84</v>
      </c>
      <c r="G98" s="51">
        <v>13.45</v>
      </c>
      <c r="H98" s="51">
        <v>5.7</v>
      </c>
      <c r="I98" s="51">
        <v>8.5500000000000007</v>
      </c>
      <c r="J98" s="51">
        <v>3.88</v>
      </c>
      <c r="K98" s="51">
        <v>5.13</v>
      </c>
      <c r="L98" s="4">
        <f>+SUM(F98:K98)</f>
        <v>66.550000000000011</v>
      </c>
      <c r="M98" s="49" t="s">
        <v>70</v>
      </c>
    </row>
    <row r="99" spans="1:13" ht="15.75" customHeight="1" x14ac:dyDescent="0.3">
      <c r="A99" s="37">
        <v>8</v>
      </c>
      <c r="B99" s="38" t="s">
        <v>152</v>
      </c>
      <c r="C99" s="39">
        <v>245</v>
      </c>
      <c r="D99" s="38" t="s">
        <v>36</v>
      </c>
      <c r="E99" s="38">
        <v>35000200</v>
      </c>
      <c r="F99" s="45">
        <v>23.13</v>
      </c>
      <c r="G99" s="45">
        <v>14.04</v>
      </c>
      <c r="H99" s="45">
        <v>7.44</v>
      </c>
      <c r="I99" s="45">
        <v>11.1</v>
      </c>
      <c r="J99" s="45">
        <v>3.88</v>
      </c>
      <c r="K99" s="45">
        <v>7</v>
      </c>
      <c r="L99" s="42">
        <f>+SUM(F99:K99)</f>
        <v>66.59</v>
      </c>
      <c r="M99" s="38" t="s">
        <v>37</v>
      </c>
    </row>
    <row r="100" spans="1:13" ht="15.75" customHeight="1" x14ac:dyDescent="0.3">
      <c r="A100" s="9">
        <v>2</v>
      </c>
      <c r="B100" s="10" t="s">
        <v>153</v>
      </c>
      <c r="C100" s="10">
        <v>319</v>
      </c>
      <c r="D100" s="10" t="s">
        <v>154</v>
      </c>
      <c r="E100" s="10">
        <v>35000077</v>
      </c>
      <c r="F100" s="44">
        <v>25.97</v>
      </c>
      <c r="G100" s="44">
        <v>13.4</v>
      </c>
      <c r="H100" s="44">
        <v>5.0599999999999996</v>
      </c>
      <c r="I100" s="44">
        <v>10.71</v>
      </c>
      <c r="J100" s="44">
        <v>3.5</v>
      </c>
      <c r="K100" s="44">
        <v>7.95</v>
      </c>
      <c r="L100" s="13">
        <f>+SUM(F100:K100)</f>
        <v>66.59</v>
      </c>
      <c r="M100" s="10" t="s">
        <v>19</v>
      </c>
    </row>
    <row r="101" spans="1:13" ht="15.75" customHeight="1" x14ac:dyDescent="0.3">
      <c r="A101" s="1">
        <v>4</v>
      </c>
      <c r="B101" s="2" t="s">
        <v>155</v>
      </c>
      <c r="C101" s="2">
        <v>696</v>
      </c>
      <c r="D101" s="2" t="s">
        <v>29</v>
      </c>
      <c r="E101" s="2">
        <v>35000085</v>
      </c>
      <c r="F101" s="3">
        <v>29.64</v>
      </c>
      <c r="G101" s="3">
        <v>14.5</v>
      </c>
      <c r="H101" s="3">
        <v>7.41</v>
      </c>
      <c r="I101" s="3">
        <v>4.55</v>
      </c>
      <c r="J101" s="3">
        <v>2</v>
      </c>
      <c r="K101" s="3">
        <v>8.5</v>
      </c>
      <c r="L101" s="4">
        <f>+SUM(F101:K101)</f>
        <v>66.599999999999994</v>
      </c>
      <c r="M101" s="5" t="s">
        <v>30</v>
      </c>
    </row>
    <row r="102" spans="1:13" ht="15.75" customHeight="1" x14ac:dyDescent="0.3">
      <c r="A102" s="25">
        <v>9</v>
      </c>
      <c r="B102" s="26" t="s">
        <v>156</v>
      </c>
      <c r="C102" s="26">
        <v>745</v>
      </c>
      <c r="D102" s="26" t="s">
        <v>157</v>
      </c>
      <c r="E102" s="26">
        <v>35000062</v>
      </c>
      <c r="F102" s="46">
        <v>28.63</v>
      </c>
      <c r="G102" s="46">
        <v>10.16</v>
      </c>
      <c r="H102" s="46">
        <v>5.34</v>
      </c>
      <c r="I102" s="46">
        <v>11.53</v>
      </c>
      <c r="J102" s="46">
        <v>4.0999999999999996</v>
      </c>
      <c r="K102" s="46">
        <v>7</v>
      </c>
      <c r="L102" s="29">
        <f>+SUM(F102:K102)</f>
        <v>66.759999999999991</v>
      </c>
      <c r="M102" s="26" t="s">
        <v>19</v>
      </c>
    </row>
    <row r="103" spans="1:13" ht="15.75" customHeight="1" x14ac:dyDescent="0.3">
      <c r="A103" s="25">
        <v>35</v>
      </c>
      <c r="B103" s="26" t="s">
        <v>158</v>
      </c>
      <c r="C103" s="26">
        <v>1921</v>
      </c>
      <c r="D103" s="26" t="s">
        <v>73</v>
      </c>
      <c r="E103" s="26">
        <v>35000127</v>
      </c>
      <c r="F103" s="46">
        <v>22.88</v>
      </c>
      <c r="G103" s="46">
        <v>13.76</v>
      </c>
      <c r="H103" s="46">
        <v>7</v>
      </c>
      <c r="I103" s="46">
        <v>12.63</v>
      </c>
      <c r="J103" s="46">
        <v>3.5</v>
      </c>
      <c r="K103" s="46">
        <v>7</v>
      </c>
      <c r="L103" s="29">
        <f>+SUM(F103:K103)</f>
        <v>66.77000000000001</v>
      </c>
      <c r="M103" s="26" t="s">
        <v>16</v>
      </c>
    </row>
    <row r="104" spans="1:13" ht="15.75" customHeight="1" x14ac:dyDescent="0.3">
      <c r="A104" s="25">
        <v>5</v>
      </c>
      <c r="B104" s="26" t="s">
        <v>159</v>
      </c>
      <c r="C104" s="26">
        <v>684</v>
      </c>
      <c r="D104" s="26" t="s">
        <v>25</v>
      </c>
      <c r="E104" s="26">
        <v>35000059</v>
      </c>
      <c r="F104" s="46">
        <v>32.549999999999997</v>
      </c>
      <c r="G104" s="46">
        <v>12.16</v>
      </c>
      <c r="H104" s="46">
        <v>5.14</v>
      </c>
      <c r="I104" s="46">
        <v>7.1</v>
      </c>
      <c r="J104" s="46">
        <v>3.2</v>
      </c>
      <c r="K104" s="46">
        <v>6.64</v>
      </c>
      <c r="L104" s="29">
        <f>+SUM(F104:K104)</f>
        <v>66.789999999999992</v>
      </c>
      <c r="M104" s="26" t="s">
        <v>19</v>
      </c>
    </row>
    <row r="105" spans="1:13" ht="15.75" customHeight="1" x14ac:dyDescent="0.3">
      <c r="A105" s="25">
        <v>26</v>
      </c>
      <c r="B105" s="26" t="s">
        <v>160</v>
      </c>
      <c r="C105" s="26">
        <v>1403</v>
      </c>
      <c r="D105" s="26" t="s">
        <v>89</v>
      </c>
      <c r="E105" s="26">
        <v>35000118</v>
      </c>
      <c r="F105" s="46">
        <v>21.53</v>
      </c>
      <c r="G105" s="46">
        <v>14.91</v>
      </c>
      <c r="H105" s="46">
        <v>8.5</v>
      </c>
      <c r="I105" s="46">
        <v>11.1</v>
      </c>
      <c r="J105" s="46">
        <v>4.25</v>
      </c>
      <c r="K105" s="46">
        <v>6.55</v>
      </c>
      <c r="L105" s="29">
        <f>+SUM(F105:K105)</f>
        <v>66.84</v>
      </c>
      <c r="M105" s="26" t="s">
        <v>19</v>
      </c>
    </row>
    <row r="106" spans="1:13" ht="15.75" customHeight="1" x14ac:dyDescent="0.3">
      <c r="A106" s="25">
        <v>4</v>
      </c>
      <c r="B106" s="26" t="s">
        <v>161</v>
      </c>
      <c r="C106" s="26">
        <v>194</v>
      </c>
      <c r="D106" s="26" t="s">
        <v>25</v>
      </c>
      <c r="E106" s="26">
        <v>35000058</v>
      </c>
      <c r="F106" s="46">
        <v>32.479999999999997</v>
      </c>
      <c r="G106" s="46">
        <v>10.26</v>
      </c>
      <c r="H106" s="46">
        <v>5.6</v>
      </c>
      <c r="I106" s="46">
        <v>9.2200000000000006</v>
      </c>
      <c r="J106" s="46">
        <v>3.5</v>
      </c>
      <c r="K106" s="46">
        <v>5.8</v>
      </c>
      <c r="L106" s="29">
        <f>+SUM(F106:K106)</f>
        <v>66.86</v>
      </c>
      <c r="M106" s="26" t="s">
        <v>37</v>
      </c>
    </row>
    <row r="107" spans="1:13" ht="15.75" customHeight="1" x14ac:dyDescent="0.3">
      <c r="A107" s="37">
        <v>10</v>
      </c>
      <c r="B107" s="38" t="s">
        <v>162</v>
      </c>
      <c r="C107" s="39">
        <v>69</v>
      </c>
      <c r="D107" s="38" t="s">
        <v>36</v>
      </c>
      <c r="E107" s="38">
        <v>35000202</v>
      </c>
      <c r="F107" s="45">
        <v>23.57</v>
      </c>
      <c r="G107" s="45">
        <v>13.47</v>
      </c>
      <c r="H107" s="45">
        <v>7.59</v>
      </c>
      <c r="I107" s="45">
        <v>11.34</v>
      </c>
      <c r="J107" s="45">
        <v>3.8</v>
      </c>
      <c r="K107" s="45">
        <v>7.45</v>
      </c>
      <c r="L107" s="42">
        <f>+SUM(F107:K107)</f>
        <v>67.22</v>
      </c>
      <c r="M107" s="38" t="s">
        <v>37</v>
      </c>
    </row>
    <row r="108" spans="1:13" ht="15.75" customHeight="1" x14ac:dyDescent="0.3">
      <c r="A108" s="48">
        <v>8</v>
      </c>
      <c r="B108" s="49" t="s">
        <v>163</v>
      </c>
      <c r="C108" s="50">
        <v>638</v>
      </c>
      <c r="D108" s="49" t="s">
        <v>69</v>
      </c>
      <c r="E108" s="49">
        <v>35000052</v>
      </c>
      <c r="F108" s="51">
        <v>30.12</v>
      </c>
      <c r="G108" s="51">
        <v>12.8</v>
      </c>
      <c r="H108" s="51">
        <v>7</v>
      </c>
      <c r="I108" s="51">
        <v>11.2</v>
      </c>
      <c r="J108" s="51">
        <v>3</v>
      </c>
      <c r="K108" s="51">
        <v>3.2</v>
      </c>
      <c r="L108" s="4">
        <f>+SUM(F108:K108)</f>
        <v>67.320000000000007</v>
      </c>
      <c r="M108" s="5"/>
    </row>
    <row r="109" spans="1:13" ht="15.75" customHeight="1" x14ac:dyDescent="0.3">
      <c r="A109" s="71">
        <v>2</v>
      </c>
      <c r="B109" s="72" t="s">
        <v>164</v>
      </c>
      <c r="C109" s="72">
        <v>1447</v>
      </c>
      <c r="D109" s="72" t="s">
        <v>165</v>
      </c>
      <c r="E109" s="72">
        <v>35000157</v>
      </c>
      <c r="F109" s="73">
        <v>25.8</v>
      </c>
      <c r="G109" s="73">
        <v>11.53</v>
      </c>
      <c r="H109" s="73">
        <v>7.56</v>
      </c>
      <c r="I109" s="73">
        <v>11.25</v>
      </c>
      <c r="J109" s="73">
        <v>3.73</v>
      </c>
      <c r="K109" s="73">
        <v>7.53</v>
      </c>
      <c r="L109" s="74">
        <f>+SUM(F109:K109)</f>
        <v>67.399999999999991</v>
      </c>
      <c r="M109" s="72" t="s">
        <v>37</v>
      </c>
    </row>
    <row r="110" spans="1:13" ht="15.75" customHeight="1" x14ac:dyDescent="0.3">
      <c r="A110" s="48">
        <v>9</v>
      </c>
      <c r="B110" s="49" t="s">
        <v>166</v>
      </c>
      <c r="C110" s="50">
        <v>1911</v>
      </c>
      <c r="D110" s="49" t="s">
        <v>69</v>
      </c>
      <c r="E110" s="49">
        <v>35000053</v>
      </c>
      <c r="F110" s="51">
        <v>34</v>
      </c>
      <c r="G110" s="51">
        <v>12.5</v>
      </c>
      <c r="H110" s="51">
        <v>4.9000000000000004</v>
      </c>
      <c r="I110" s="51">
        <v>8.1</v>
      </c>
      <c r="J110" s="51">
        <v>3.5</v>
      </c>
      <c r="K110" s="51">
        <v>4.4400000000000004</v>
      </c>
      <c r="L110" s="4">
        <f>+SUM(F110:K110)</f>
        <v>67.44</v>
      </c>
      <c r="M110" s="49" t="s">
        <v>70</v>
      </c>
    </row>
    <row r="111" spans="1:13" ht="15.75" customHeight="1" x14ac:dyDescent="0.3">
      <c r="A111" s="25">
        <v>25</v>
      </c>
      <c r="B111" s="26" t="s">
        <v>167</v>
      </c>
      <c r="C111" s="26">
        <v>2433</v>
      </c>
      <c r="D111" s="26" t="s">
        <v>81</v>
      </c>
      <c r="E111" s="26">
        <v>35000117</v>
      </c>
      <c r="F111" s="46">
        <v>33.46</v>
      </c>
      <c r="G111" s="46">
        <v>12.33</v>
      </c>
      <c r="H111" s="46">
        <v>4.46</v>
      </c>
      <c r="I111" s="46">
        <v>8.02</v>
      </c>
      <c r="J111" s="46">
        <v>3.65</v>
      </c>
      <c r="K111" s="46">
        <v>5.56</v>
      </c>
      <c r="L111" s="29">
        <f>+SUM(F111:K111)</f>
        <v>67.47999999999999</v>
      </c>
      <c r="M111" s="26" t="s">
        <v>19</v>
      </c>
    </row>
    <row r="112" spans="1:13" ht="15.75" customHeight="1" x14ac:dyDescent="0.3">
      <c r="A112" s="37">
        <v>7</v>
      </c>
      <c r="B112" s="38" t="s">
        <v>168</v>
      </c>
      <c r="C112" s="39">
        <v>98</v>
      </c>
      <c r="D112" s="38" t="s">
        <v>36</v>
      </c>
      <c r="E112" s="38">
        <v>35000044</v>
      </c>
      <c r="F112" s="45">
        <v>24.05</v>
      </c>
      <c r="G112" s="45">
        <v>13.96</v>
      </c>
      <c r="H112" s="45">
        <v>7.62</v>
      </c>
      <c r="I112" s="45">
        <v>11.06</v>
      </c>
      <c r="J112" s="45">
        <v>3.8</v>
      </c>
      <c r="K112" s="45">
        <v>7</v>
      </c>
      <c r="L112" s="42">
        <f>+SUM(F112:K112)</f>
        <v>67.490000000000009</v>
      </c>
      <c r="M112" s="38" t="s">
        <v>37</v>
      </c>
    </row>
    <row r="113" spans="1:13" ht="15.75" customHeight="1" x14ac:dyDescent="0.3">
      <c r="A113" s="19">
        <v>30</v>
      </c>
      <c r="B113" s="20" t="s">
        <v>169</v>
      </c>
      <c r="C113" s="21">
        <v>56</v>
      </c>
      <c r="D113" s="20" t="s">
        <v>23</v>
      </c>
      <c r="E113" s="20">
        <v>35000032</v>
      </c>
      <c r="F113" s="43">
        <v>26.65</v>
      </c>
      <c r="G113" s="43">
        <v>13.17</v>
      </c>
      <c r="H113" s="43">
        <v>7</v>
      </c>
      <c r="I113" s="43">
        <v>10.5</v>
      </c>
      <c r="J113" s="43">
        <v>3.5</v>
      </c>
      <c r="K113" s="43">
        <v>7</v>
      </c>
      <c r="L113" s="24">
        <f>+SUM(F113:K113)</f>
        <v>67.819999999999993</v>
      </c>
      <c r="M113" s="20" t="s">
        <v>19</v>
      </c>
    </row>
    <row r="114" spans="1:13" ht="15.75" customHeight="1" x14ac:dyDescent="0.3">
      <c r="A114" s="25">
        <v>10</v>
      </c>
      <c r="B114" s="26" t="s">
        <v>170</v>
      </c>
      <c r="C114" s="26">
        <v>230</v>
      </c>
      <c r="D114" s="26" t="s">
        <v>124</v>
      </c>
      <c r="E114" s="26">
        <v>35000063</v>
      </c>
      <c r="F114" s="46">
        <v>26.37</v>
      </c>
      <c r="G114" s="46">
        <v>13.38</v>
      </c>
      <c r="H114" s="46">
        <v>4.5</v>
      </c>
      <c r="I114" s="46">
        <v>12.11</v>
      </c>
      <c r="J114" s="46">
        <v>4.25</v>
      </c>
      <c r="K114" s="46">
        <v>7.38</v>
      </c>
      <c r="L114" s="29">
        <f>+SUM(F114:K114)</f>
        <v>67.989999999999995</v>
      </c>
      <c r="M114" s="26" t="s">
        <v>19</v>
      </c>
    </row>
    <row r="115" spans="1:13" ht="15.75" customHeight="1" x14ac:dyDescent="0.3">
      <c r="A115" s="1">
        <v>8</v>
      </c>
      <c r="B115" s="2" t="s">
        <v>171</v>
      </c>
      <c r="C115" s="2">
        <v>695</v>
      </c>
      <c r="D115" s="2" t="s">
        <v>15</v>
      </c>
      <c r="E115" s="2">
        <v>35000090</v>
      </c>
      <c r="F115" s="3">
        <v>27.51</v>
      </c>
      <c r="G115" s="3">
        <v>14.96</v>
      </c>
      <c r="H115" s="3">
        <v>6.88</v>
      </c>
      <c r="I115" s="3">
        <v>9.68</v>
      </c>
      <c r="J115" s="3">
        <v>2.9</v>
      </c>
      <c r="K115" s="3">
        <v>6.1</v>
      </c>
      <c r="L115" s="8">
        <f>+SUM(F115:K115)</f>
        <v>68.03</v>
      </c>
      <c r="M115" s="2" t="s">
        <v>16</v>
      </c>
    </row>
    <row r="116" spans="1:13" ht="15.75" customHeight="1" x14ac:dyDescent="0.3">
      <c r="A116" s="14">
        <v>10</v>
      </c>
      <c r="B116" s="15" t="s">
        <v>172</v>
      </c>
      <c r="C116" s="16">
        <v>2522</v>
      </c>
      <c r="D116" s="15" t="s">
        <v>27</v>
      </c>
      <c r="E116" s="15">
        <v>35000195</v>
      </c>
      <c r="F116" s="47">
        <v>34.270000000000003</v>
      </c>
      <c r="G116" s="47">
        <v>12.25</v>
      </c>
      <c r="H116" s="47">
        <v>4.9000000000000004</v>
      </c>
      <c r="I116" s="47">
        <v>8.1</v>
      </c>
      <c r="J116" s="47">
        <v>3.65</v>
      </c>
      <c r="K116" s="47">
        <v>4.96</v>
      </c>
      <c r="L116" s="30">
        <f>+SUM(F116:K116)</f>
        <v>68.13</v>
      </c>
      <c r="M116" s="15" t="s">
        <v>16</v>
      </c>
    </row>
    <row r="117" spans="1:13" ht="15.75" customHeight="1" x14ac:dyDescent="0.3">
      <c r="A117" s="37">
        <v>11</v>
      </c>
      <c r="B117" s="38" t="s">
        <v>173</v>
      </c>
      <c r="C117" s="39">
        <v>38</v>
      </c>
      <c r="D117" s="38" t="s">
        <v>36</v>
      </c>
      <c r="E117" s="38">
        <v>35000203</v>
      </c>
      <c r="F117" s="45">
        <v>24.48</v>
      </c>
      <c r="G117" s="45">
        <v>13.36</v>
      </c>
      <c r="H117" s="45">
        <v>7.54</v>
      </c>
      <c r="I117" s="45">
        <v>11.4</v>
      </c>
      <c r="J117" s="45">
        <v>3.88</v>
      </c>
      <c r="K117" s="45">
        <v>7.6</v>
      </c>
      <c r="L117" s="42">
        <f>+SUM(F117:K117)</f>
        <v>68.260000000000005</v>
      </c>
      <c r="M117" s="38" t="s">
        <v>37</v>
      </c>
    </row>
    <row r="118" spans="1:13" ht="15.75" customHeight="1" x14ac:dyDescent="0.3">
      <c r="A118" s="37">
        <v>6</v>
      </c>
      <c r="B118" s="38" t="s">
        <v>174</v>
      </c>
      <c r="C118" s="39">
        <v>108</v>
      </c>
      <c r="D118" s="38" t="s">
        <v>36</v>
      </c>
      <c r="E118" s="38">
        <v>35000043</v>
      </c>
      <c r="F118" s="45">
        <v>28.53</v>
      </c>
      <c r="G118" s="45">
        <v>10.52</v>
      </c>
      <c r="H118" s="45">
        <v>7.37</v>
      </c>
      <c r="I118" s="45">
        <v>11.15</v>
      </c>
      <c r="J118" s="45">
        <v>3.8</v>
      </c>
      <c r="K118" s="45">
        <v>7</v>
      </c>
      <c r="L118" s="42">
        <f>+SUM(F118:K118)</f>
        <v>68.36999999999999</v>
      </c>
      <c r="M118" s="38" t="s">
        <v>37</v>
      </c>
    </row>
    <row r="119" spans="1:13" ht="15.75" customHeight="1" x14ac:dyDescent="0.3">
      <c r="A119" s="48">
        <v>4</v>
      </c>
      <c r="B119" s="49" t="s">
        <v>175</v>
      </c>
      <c r="C119" s="50">
        <v>661</v>
      </c>
      <c r="D119" s="49" t="s">
        <v>176</v>
      </c>
      <c r="E119" s="49">
        <v>35000048</v>
      </c>
      <c r="F119" s="51">
        <v>27.21</v>
      </c>
      <c r="G119" s="51">
        <v>10.97</v>
      </c>
      <c r="H119" s="51">
        <v>7.71</v>
      </c>
      <c r="I119" s="51">
        <v>11.27</v>
      </c>
      <c r="J119" s="51">
        <v>3.73</v>
      </c>
      <c r="K119" s="51">
        <v>7.53</v>
      </c>
      <c r="L119" s="4">
        <f>+SUM(F119:K119)</f>
        <v>68.419999999999987</v>
      </c>
      <c r="M119" s="49" t="s">
        <v>37</v>
      </c>
    </row>
    <row r="120" spans="1:13" ht="15.75" customHeight="1" x14ac:dyDescent="0.3">
      <c r="A120" s="25">
        <v>36</v>
      </c>
      <c r="B120" s="26" t="s">
        <v>177</v>
      </c>
      <c r="C120" s="26">
        <v>1884</v>
      </c>
      <c r="D120" s="26" t="s">
        <v>73</v>
      </c>
      <c r="E120" s="26">
        <v>35000129</v>
      </c>
      <c r="F120" s="46">
        <v>27.13</v>
      </c>
      <c r="G120" s="46">
        <v>8.9</v>
      </c>
      <c r="H120" s="46">
        <v>7.68</v>
      </c>
      <c r="I120" s="46">
        <v>12.05</v>
      </c>
      <c r="J120" s="46">
        <v>4.25</v>
      </c>
      <c r="K120" s="46">
        <v>8.5</v>
      </c>
      <c r="L120" s="29">
        <f>+SUM(F120:K120)</f>
        <v>68.510000000000005</v>
      </c>
      <c r="M120" s="26" t="s">
        <v>16</v>
      </c>
    </row>
    <row r="121" spans="1:13" ht="15.75" customHeight="1" x14ac:dyDescent="0.3">
      <c r="A121" s="25">
        <v>6</v>
      </c>
      <c r="B121" s="26" t="s">
        <v>178</v>
      </c>
      <c r="C121" s="26">
        <v>461</v>
      </c>
      <c r="D121" s="26" t="s">
        <v>25</v>
      </c>
      <c r="E121" s="26">
        <v>35000060</v>
      </c>
      <c r="F121" s="46">
        <v>29.73</v>
      </c>
      <c r="G121" s="46">
        <v>10.18</v>
      </c>
      <c r="H121" s="46">
        <v>7.71</v>
      </c>
      <c r="I121" s="46">
        <v>10.25</v>
      </c>
      <c r="J121" s="46">
        <v>3.5</v>
      </c>
      <c r="K121" s="46">
        <v>7.15</v>
      </c>
      <c r="L121" s="29">
        <f>+SUM(F121:K121)</f>
        <v>68.52</v>
      </c>
      <c r="M121" s="26" t="s">
        <v>16</v>
      </c>
    </row>
    <row r="122" spans="1:13" ht="15.75" customHeight="1" x14ac:dyDescent="0.3">
      <c r="A122" s="14">
        <v>5</v>
      </c>
      <c r="B122" s="15" t="s">
        <v>179</v>
      </c>
      <c r="C122" s="16">
        <v>1347</v>
      </c>
      <c r="D122" s="15" t="s">
        <v>57</v>
      </c>
      <c r="E122" s="15">
        <v>35000133</v>
      </c>
      <c r="F122" s="47">
        <v>26.61</v>
      </c>
      <c r="G122" s="47">
        <v>11.74</v>
      </c>
      <c r="H122" s="47">
        <v>7.21</v>
      </c>
      <c r="I122" s="47">
        <v>12.63</v>
      </c>
      <c r="J122" s="47">
        <v>3.5</v>
      </c>
      <c r="K122" s="47">
        <v>7</v>
      </c>
      <c r="L122" s="30">
        <f>+SUM(F122:K122)</f>
        <v>68.69</v>
      </c>
      <c r="M122" s="15" t="s">
        <v>48</v>
      </c>
    </row>
    <row r="123" spans="1:13" s="31" customFormat="1" ht="15.75" customHeight="1" x14ac:dyDescent="0.3">
      <c r="A123" s="14">
        <v>14</v>
      </c>
      <c r="B123" s="15" t="s">
        <v>180</v>
      </c>
      <c r="C123" s="16">
        <v>1274</v>
      </c>
      <c r="D123" s="15" t="s">
        <v>43</v>
      </c>
      <c r="E123" s="15">
        <v>35000142</v>
      </c>
      <c r="F123" s="47">
        <v>30.14</v>
      </c>
      <c r="G123" s="47">
        <v>10.42</v>
      </c>
      <c r="H123" s="47">
        <v>7</v>
      </c>
      <c r="I123" s="47">
        <v>10.5</v>
      </c>
      <c r="J123" s="47">
        <v>3.5</v>
      </c>
      <c r="K123" s="47">
        <v>7.23</v>
      </c>
      <c r="L123" s="30">
        <f>+SUM(F123:K123)</f>
        <v>68.790000000000006</v>
      </c>
      <c r="M123" s="15" t="s">
        <v>19</v>
      </c>
    </row>
    <row r="124" spans="1:13" ht="15.75" customHeight="1" x14ac:dyDescent="0.3">
      <c r="A124" s="25">
        <v>18</v>
      </c>
      <c r="B124" s="26" t="s">
        <v>181</v>
      </c>
      <c r="C124" s="26">
        <v>13</v>
      </c>
      <c r="D124" s="26" t="s">
        <v>182</v>
      </c>
      <c r="E124" s="26">
        <v>35000071</v>
      </c>
      <c r="F124" s="46">
        <v>24.34</v>
      </c>
      <c r="G124" s="46">
        <v>14.25</v>
      </c>
      <c r="H124" s="46">
        <v>7.08</v>
      </c>
      <c r="I124" s="46">
        <v>12.63</v>
      </c>
      <c r="J124" s="46">
        <v>3.5</v>
      </c>
      <c r="K124" s="46">
        <v>7</v>
      </c>
      <c r="L124" s="29">
        <f>+SUM(F124:K124)</f>
        <v>68.800000000000011</v>
      </c>
      <c r="M124" s="26" t="s">
        <v>16</v>
      </c>
    </row>
    <row r="125" spans="1:13" ht="15.75" customHeight="1" x14ac:dyDescent="0.3">
      <c r="A125" s="14">
        <v>7</v>
      </c>
      <c r="B125" s="15" t="s">
        <v>183</v>
      </c>
      <c r="C125" s="16">
        <v>1229</v>
      </c>
      <c r="D125" s="15" t="s">
        <v>27</v>
      </c>
      <c r="E125" s="15">
        <v>35000135</v>
      </c>
      <c r="F125" s="47">
        <v>32.15</v>
      </c>
      <c r="G125" s="47">
        <v>9</v>
      </c>
      <c r="H125" s="47">
        <v>7.21</v>
      </c>
      <c r="I125" s="47">
        <v>12.63</v>
      </c>
      <c r="J125" s="47">
        <v>3.5</v>
      </c>
      <c r="K125" s="47">
        <v>4.43</v>
      </c>
      <c r="L125" s="30">
        <f>+SUM(F125:K125)</f>
        <v>68.920000000000016</v>
      </c>
      <c r="M125" s="15" t="s">
        <v>37</v>
      </c>
    </row>
    <row r="126" spans="1:13" ht="15.75" customHeight="1" x14ac:dyDescent="0.3">
      <c r="A126" s="14">
        <v>15</v>
      </c>
      <c r="B126" s="15" t="s">
        <v>184</v>
      </c>
      <c r="C126" s="16">
        <v>1661</v>
      </c>
      <c r="D126" s="15" t="s">
        <v>43</v>
      </c>
      <c r="E126" s="15">
        <v>35000143</v>
      </c>
      <c r="F126" s="47">
        <v>31.54</v>
      </c>
      <c r="G126" s="47">
        <v>10</v>
      </c>
      <c r="H126" s="47">
        <v>7</v>
      </c>
      <c r="I126" s="47">
        <v>10.5</v>
      </c>
      <c r="J126" s="47">
        <v>3.5</v>
      </c>
      <c r="K126" s="47">
        <v>6.4</v>
      </c>
      <c r="L126" s="30">
        <f>+SUM(F126:K126)</f>
        <v>68.94</v>
      </c>
      <c r="M126" s="15" t="s">
        <v>19</v>
      </c>
    </row>
    <row r="127" spans="1:13" ht="15.75" customHeight="1" x14ac:dyDescent="0.3">
      <c r="A127" s="32">
        <v>14</v>
      </c>
      <c r="B127" s="33" t="s">
        <v>185</v>
      </c>
      <c r="C127" s="33">
        <v>1513</v>
      </c>
      <c r="D127" s="33" t="s">
        <v>104</v>
      </c>
      <c r="E127" s="33">
        <v>35000172</v>
      </c>
      <c r="F127" s="75">
        <v>30.56</v>
      </c>
      <c r="G127" s="75">
        <v>14.58</v>
      </c>
      <c r="H127" s="75">
        <v>7.35</v>
      </c>
      <c r="I127" s="75">
        <v>4.5</v>
      </c>
      <c r="J127" s="75">
        <v>3.5</v>
      </c>
      <c r="K127" s="75">
        <v>8.5</v>
      </c>
      <c r="L127" s="4">
        <f>+SUM(F127:K127)</f>
        <v>68.990000000000009</v>
      </c>
      <c r="M127" s="36"/>
    </row>
    <row r="128" spans="1:13" ht="15.75" customHeight="1" x14ac:dyDescent="0.3">
      <c r="A128" s="19">
        <v>28</v>
      </c>
      <c r="B128" s="20" t="s">
        <v>186</v>
      </c>
      <c r="C128" s="21">
        <v>82</v>
      </c>
      <c r="D128" s="20" t="s">
        <v>23</v>
      </c>
      <c r="E128" s="20">
        <v>35000029</v>
      </c>
      <c r="F128" s="43">
        <v>27.48</v>
      </c>
      <c r="G128" s="43">
        <v>13.52</v>
      </c>
      <c r="H128" s="43">
        <v>7</v>
      </c>
      <c r="I128" s="43">
        <v>10.5</v>
      </c>
      <c r="J128" s="43">
        <v>3.5</v>
      </c>
      <c r="K128" s="43">
        <v>7</v>
      </c>
      <c r="L128" s="24">
        <f>+SUM(F128:K128)</f>
        <v>69</v>
      </c>
      <c r="M128" s="20" t="s">
        <v>19</v>
      </c>
    </row>
    <row r="129" spans="1:13" ht="15.75" customHeight="1" x14ac:dyDescent="0.3">
      <c r="A129" s="37">
        <v>5</v>
      </c>
      <c r="B129" s="38" t="s">
        <v>187</v>
      </c>
      <c r="C129" s="38">
        <v>1424</v>
      </c>
      <c r="D129" s="38" t="s">
        <v>188</v>
      </c>
      <c r="E129" s="38">
        <v>35000188</v>
      </c>
      <c r="F129" s="45">
        <v>35.369999999999997</v>
      </c>
      <c r="G129" s="45">
        <v>12.62</v>
      </c>
      <c r="H129" s="45">
        <v>4.4000000000000004</v>
      </c>
      <c r="I129" s="45">
        <v>7.46</v>
      </c>
      <c r="J129" s="45">
        <v>3.73</v>
      </c>
      <c r="K129" s="45">
        <v>5.8</v>
      </c>
      <c r="L129" s="42">
        <f>+SUM(F129:K129)</f>
        <v>69.38</v>
      </c>
      <c r="M129" s="38" t="s">
        <v>19</v>
      </c>
    </row>
    <row r="130" spans="1:13" ht="15.75" customHeight="1" x14ac:dyDescent="0.3">
      <c r="A130" s="48">
        <v>10</v>
      </c>
      <c r="B130" s="49" t="s">
        <v>189</v>
      </c>
      <c r="C130" s="50">
        <v>1055</v>
      </c>
      <c r="D130" s="49" t="s">
        <v>190</v>
      </c>
      <c r="E130" s="49">
        <v>35000112</v>
      </c>
      <c r="F130" s="51">
        <v>32.380000000000003</v>
      </c>
      <c r="G130" s="51">
        <v>14.96</v>
      </c>
      <c r="H130" s="51">
        <v>5</v>
      </c>
      <c r="I130" s="51">
        <v>9.6999999999999993</v>
      </c>
      <c r="J130" s="51">
        <v>3</v>
      </c>
      <c r="K130" s="51">
        <v>4.3600000000000003</v>
      </c>
      <c r="L130" s="76">
        <f>+SUM(F130:K130)</f>
        <v>69.400000000000006</v>
      </c>
      <c r="M130" s="77" t="s">
        <v>62</v>
      </c>
    </row>
    <row r="131" spans="1:13" ht="15.75" customHeight="1" x14ac:dyDescent="0.3">
      <c r="A131" s="25">
        <v>16</v>
      </c>
      <c r="B131" s="26" t="s">
        <v>191</v>
      </c>
      <c r="C131" s="26">
        <v>789</v>
      </c>
      <c r="D131" s="26" t="s">
        <v>39</v>
      </c>
      <c r="E131" s="26">
        <v>35000069</v>
      </c>
      <c r="F131" s="46">
        <v>28.8</v>
      </c>
      <c r="G131" s="46">
        <v>12.1</v>
      </c>
      <c r="H131" s="46">
        <v>6.93</v>
      </c>
      <c r="I131" s="46">
        <v>10.79</v>
      </c>
      <c r="J131" s="46">
        <v>4.0999999999999996</v>
      </c>
      <c r="K131" s="46">
        <v>6.84</v>
      </c>
      <c r="L131" s="29">
        <f>+SUM(F131:K131)</f>
        <v>69.56</v>
      </c>
      <c r="M131" s="26" t="s">
        <v>16</v>
      </c>
    </row>
    <row r="132" spans="1:13" ht="15.75" customHeight="1" x14ac:dyDescent="0.3">
      <c r="A132" s="37">
        <v>2</v>
      </c>
      <c r="B132" s="38" t="s">
        <v>192</v>
      </c>
      <c r="C132" s="38">
        <v>1807</v>
      </c>
      <c r="D132" s="38" t="s">
        <v>91</v>
      </c>
      <c r="E132" s="38">
        <v>35000185</v>
      </c>
      <c r="F132" s="45">
        <v>39.49</v>
      </c>
      <c r="G132" s="45">
        <v>12.64</v>
      </c>
      <c r="H132" s="45">
        <v>3.94</v>
      </c>
      <c r="I132" s="45">
        <v>7.46</v>
      </c>
      <c r="J132" s="45">
        <v>2.78</v>
      </c>
      <c r="K132" s="45">
        <v>3.4</v>
      </c>
      <c r="L132" s="42">
        <f>+SUM(F132:K132)</f>
        <v>69.710000000000008</v>
      </c>
      <c r="M132" s="38" t="s">
        <v>19</v>
      </c>
    </row>
    <row r="133" spans="1:13" ht="15.75" customHeight="1" x14ac:dyDescent="0.3">
      <c r="A133" s="1">
        <v>13</v>
      </c>
      <c r="B133" s="2" t="s">
        <v>193</v>
      </c>
      <c r="C133" s="2">
        <v>1126</v>
      </c>
      <c r="D133" s="2" t="s">
        <v>104</v>
      </c>
      <c r="E133" s="2">
        <v>35000171</v>
      </c>
      <c r="F133" s="3">
        <v>32.32</v>
      </c>
      <c r="G133" s="3">
        <v>13.28</v>
      </c>
      <c r="H133" s="3">
        <v>5.08</v>
      </c>
      <c r="I133" s="3">
        <v>10.6</v>
      </c>
      <c r="J133" s="3">
        <v>3.18</v>
      </c>
      <c r="K133" s="3">
        <v>5.31</v>
      </c>
      <c r="L133" s="8">
        <f>+SUM(F133:K133)</f>
        <v>69.77000000000001</v>
      </c>
      <c r="M133" s="2" t="s">
        <v>62</v>
      </c>
    </row>
    <row r="134" spans="1:13" ht="15.75" customHeight="1" x14ac:dyDescent="0.3">
      <c r="A134" s="71">
        <v>3</v>
      </c>
      <c r="B134" s="72" t="s">
        <v>194</v>
      </c>
      <c r="C134" s="72">
        <v>1239</v>
      </c>
      <c r="D134" s="72" t="s">
        <v>165</v>
      </c>
      <c r="E134" s="72">
        <v>35000158</v>
      </c>
      <c r="F134" s="73">
        <v>24.54</v>
      </c>
      <c r="G134" s="73">
        <v>14.53</v>
      </c>
      <c r="H134" s="73">
        <v>8.0500000000000007</v>
      </c>
      <c r="I134" s="73">
        <v>11.9</v>
      </c>
      <c r="J134" s="73">
        <v>3.88</v>
      </c>
      <c r="K134" s="73">
        <v>7.06</v>
      </c>
      <c r="L134" s="74">
        <f>+SUM(F134:K134)</f>
        <v>69.960000000000008</v>
      </c>
      <c r="M134" s="72" t="s">
        <v>195</v>
      </c>
    </row>
    <row r="135" spans="1:13" ht="15.75" customHeight="1" x14ac:dyDescent="0.3">
      <c r="A135" s="25">
        <v>27</v>
      </c>
      <c r="B135" s="26" t="s">
        <v>196</v>
      </c>
      <c r="C135" s="26">
        <v>1000</v>
      </c>
      <c r="D135" s="26" t="s">
        <v>89</v>
      </c>
      <c r="E135" s="26">
        <v>35000119</v>
      </c>
      <c r="F135" s="46">
        <v>30</v>
      </c>
      <c r="G135" s="46">
        <v>9.85</v>
      </c>
      <c r="H135" s="46">
        <v>7.23</v>
      </c>
      <c r="I135" s="46">
        <v>11.72</v>
      </c>
      <c r="J135" s="46">
        <v>4.18</v>
      </c>
      <c r="K135" s="46">
        <v>7</v>
      </c>
      <c r="L135" s="29">
        <f>+SUM(F135:K135)</f>
        <v>69.97999999999999</v>
      </c>
      <c r="M135" s="26" t="s">
        <v>19</v>
      </c>
    </row>
    <row r="136" spans="1:13" ht="15.75" customHeight="1" x14ac:dyDescent="0.3">
      <c r="A136" s="19">
        <v>26</v>
      </c>
      <c r="B136" s="20" t="s">
        <v>197</v>
      </c>
      <c r="C136" s="21">
        <v>42</v>
      </c>
      <c r="D136" s="20" t="s">
        <v>23</v>
      </c>
      <c r="E136" s="20">
        <v>35000027</v>
      </c>
      <c r="F136" s="43">
        <v>28.87</v>
      </c>
      <c r="G136" s="43">
        <v>13.15</v>
      </c>
      <c r="H136" s="43">
        <v>7</v>
      </c>
      <c r="I136" s="43">
        <v>10.5</v>
      </c>
      <c r="J136" s="43">
        <v>3.5</v>
      </c>
      <c r="K136" s="43">
        <v>7</v>
      </c>
      <c r="L136" s="24">
        <f>+SUM(F136:K136)</f>
        <v>70.02000000000001</v>
      </c>
      <c r="M136" s="20" t="s">
        <v>19</v>
      </c>
    </row>
    <row r="137" spans="1:13" s="31" customFormat="1" ht="15.75" customHeight="1" x14ac:dyDescent="0.3">
      <c r="A137" s="19">
        <v>24</v>
      </c>
      <c r="B137" s="20" t="s">
        <v>198</v>
      </c>
      <c r="C137" s="21">
        <v>54</v>
      </c>
      <c r="D137" s="20" t="s">
        <v>23</v>
      </c>
      <c r="E137" s="20">
        <v>35000025</v>
      </c>
      <c r="F137" s="43">
        <v>29.82</v>
      </c>
      <c r="G137" s="43">
        <v>13.51</v>
      </c>
      <c r="H137" s="43">
        <v>6</v>
      </c>
      <c r="I137" s="43">
        <v>10.5</v>
      </c>
      <c r="J137" s="43">
        <v>3.5</v>
      </c>
      <c r="K137" s="43">
        <v>7</v>
      </c>
      <c r="L137" s="24">
        <f>+SUM(F137:K137)</f>
        <v>70.33</v>
      </c>
      <c r="M137" s="20" t="s">
        <v>19</v>
      </c>
    </row>
    <row r="138" spans="1:13" ht="15.75" customHeight="1" x14ac:dyDescent="0.3">
      <c r="A138" s="71">
        <v>4</v>
      </c>
      <c r="B138" s="72" t="s">
        <v>199</v>
      </c>
      <c r="C138" s="72">
        <v>1244</v>
      </c>
      <c r="D138" s="72" t="s">
        <v>165</v>
      </c>
      <c r="E138" s="72">
        <v>35000159</v>
      </c>
      <c r="F138" s="73">
        <v>25.45</v>
      </c>
      <c r="G138" s="73">
        <v>14.69</v>
      </c>
      <c r="H138" s="73">
        <v>7.88</v>
      </c>
      <c r="I138" s="73">
        <v>11.13</v>
      </c>
      <c r="J138" s="73">
        <v>4.03</v>
      </c>
      <c r="K138" s="73">
        <v>7.53</v>
      </c>
      <c r="L138" s="74">
        <f>+SUM(F138:K138)</f>
        <v>70.710000000000008</v>
      </c>
      <c r="M138" s="72" t="s">
        <v>37</v>
      </c>
    </row>
    <row r="139" spans="1:13" ht="15.75" customHeight="1" x14ac:dyDescent="0.3">
      <c r="A139" s="71">
        <v>12</v>
      </c>
      <c r="B139" s="72" t="s">
        <v>200</v>
      </c>
      <c r="C139" s="72">
        <v>1094</v>
      </c>
      <c r="D139" s="72" t="s">
        <v>143</v>
      </c>
      <c r="E139" s="72">
        <v>35000168</v>
      </c>
      <c r="F139" s="73">
        <v>32.119999999999997</v>
      </c>
      <c r="G139" s="73">
        <v>10.7</v>
      </c>
      <c r="H139" s="73">
        <v>7</v>
      </c>
      <c r="I139" s="73">
        <v>10.5</v>
      </c>
      <c r="J139" s="73">
        <v>3.5</v>
      </c>
      <c r="K139" s="73">
        <v>7</v>
      </c>
      <c r="L139" s="74">
        <f>+SUM(F139:K139)</f>
        <v>70.819999999999993</v>
      </c>
      <c r="M139" s="72" t="s">
        <v>19</v>
      </c>
    </row>
    <row r="140" spans="1:13" ht="15.75" customHeight="1" x14ac:dyDescent="0.3">
      <c r="A140" s="71">
        <v>1</v>
      </c>
      <c r="B140" s="72" t="s">
        <v>201</v>
      </c>
      <c r="C140" s="72">
        <v>1393</v>
      </c>
      <c r="D140" s="72" t="s">
        <v>165</v>
      </c>
      <c r="E140" s="72">
        <v>35000156</v>
      </c>
      <c r="F140" s="73">
        <v>25.9</v>
      </c>
      <c r="G140" s="73">
        <v>14.2</v>
      </c>
      <c r="H140" s="73">
        <v>8.15</v>
      </c>
      <c r="I140" s="73">
        <v>11.51</v>
      </c>
      <c r="J140" s="73">
        <v>3.88</v>
      </c>
      <c r="K140" s="73">
        <v>7.23</v>
      </c>
      <c r="L140" s="74">
        <f>+SUM(F140:K140)</f>
        <v>70.86999999999999</v>
      </c>
      <c r="M140" s="72" t="s">
        <v>195</v>
      </c>
    </row>
    <row r="141" spans="1:13" ht="15.75" customHeight="1" x14ac:dyDescent="0.3">
      <c r="A141" s="9">
        <v>10</v>
      </c>
      <c r="B141" s="10" t="s">
        <v>202</v>
      </c>
      <c r="C141" s="10">
        <v>2184</v>
      </c>
      <c r="D141" s="10" t="s">
        <v>203</v>
      </c>
      <c r="E141" s="10">
        <v>35000151</v>
      </c>
      <c r="F141" s="44">
        <v>34</v>
      </c>
      <c r="G141" s="44">
        <v>13</v>
      </c>
      <c r="H141" s="44">
        <v>6</v>
      </c>
      <c r="I141" s="44">
        <v>9.5</v>
      </c>
      <c r="J141" s="44">
        <v>3.1</v>
      </c>
      <c r="K141" s="44">
        <v>5.56</v>
      </c>
      <c r="L141" s="13">
        <f>+SUM(F141:K141)</f>
        <v>71.16</v>
      </c>
      <c r="M141" s="10" t="s">
        <v>19</v>
      </c>
    </row>
    <row r="142" spans="1:13" ht="15.75" customHeight="1" x14ac:dyDescent="0.3">
      <c r="A142" s="19">
        <v>25</v>
      </c>
      <c r="B142" s="20" t="s">
        <v>204</v>
      </c>
      <c r="C142" s="21">
        <v>23</v>
      </c>
      <c r="D142" s="20" t="s">
        <v>23</v>
      </c>
      <c r="E142" s="20">
        <v>35000026</v>
      </c>
      <c r="F142" s="43">
        <v>29.66</v>
      </c>
      <c r="G142" s="43">
        <v>13.53</v>
      </c>
      <c r="H142" s="43">
        <v>7</v>
      </c>
      <c r="I142" s="43">
        <v>10.5</v>
      </c>
      <c r="J142" s="43">
        <v>3.5</v>
      </c>
      <c r="K142" s="43">
        <v>7</v>
      </c>
      <c r="L142" s="24">
        <f>SUM(F142:K142)</f>
        <v>71.19</v>
      </c>
      <c r="M142" s="20" t="s">
        <v>19</v>
      </c>
    </row>
    <row r="143" spans="1:13" s="31" customFormat="1" ht="15.75" customHeight="1" x14ac:dyDescent="0.3">
      <c r="A143" s="52">
        <v>19</v>
      </c>
      <c r="B143" s="53" t="s">
        <v>205</v>
      </c>
      <c r="C143" s="54">
        <v>445</v>
      </c>
      <c r="D143" s="53" t="s">
        <v>206</v>
      </c>
      <c r="E143" s="53">
        <v>35000193</v>
      </c>
      <c r="F143" s="55">
        <v>28</v>
      </c>
      <c r="G143" s="55">
        <v>13.22</v>
      </c>
      <c r="H143" s="55">
        <v>7.81</v>
      </c>
      <c r="I143" s="55">
        <v>11.64</v>
      </c>
      <c r="J143" s="55">
        <v>3.8</v>
      </c>
      <c r="K143" s="55">
        <v>7</v>
      </c>
      <c r="L143" s="56">
        <f>+SUM(F143:K143)</f>
        <v>71.47</v>
      </c>
      <c r="M143" s="53" t="s">
        <v>37</v>
      </c>
    </row>
    <row r="144" spans="1:13" ht="15.75" customHeight="1" x14ac:dyDescent="0.3">
      <c r="A144" s="9">
        <v>6</v>
      </c>
      <c r="B144" s="10" t="s">
        <v>207</v>
      </c>
      <c r="C144" s="10">
        <v>777</v>
      </c>
      <c r="D144" s="10" t="s">
        <v>208</v>
      </c>
      <c r="E144" s="10">
        <v>35000081</v>
      </c>
      <c r="F144" s="44">
        <v>32.61</v>
      </c>
      <c r="G144" s="44">
        <v>11.01</v>
      </c>
      <c r="H144" s="44">
        <v>6</v>
      </c>
      <c r="I144" s="44">
        <v>12.12</v>
      </c>
      <c r="J144" s="44">
        <v>3.4</v>
      </c>
      <c r="K144" s="44">
        <v>6.35</v>
      </c>
      <c r="L144" s="76">
        <f>+SUM(F144:K144)</f>
        <v>71.489999999999995</v>
      </c>
      <c r="M144" s="77" t="s">
        <v>19</v>
      </c>
    </row>
    <row r="145" spans="1:13" ht="15.75" customHeight="1" x14ac:dyDescent="0.3">
      <c r="A145" s="71">
        <v>7</v>
      </c>
      <c r="B145" s="72" t="s">
        <v>209</v>
      </c>
      <c r="C145" s="72">
        <v>2056</v>
      </c>
      <c r="D145" s="72" t="s">
        <v>165</v>
      </c>
      <c r="E145" s="72">
        <v>35000162</v>
      </c>
      <c r="F145" s="73">
        <v>25.74</v>
      </c>
      <c r="G145" s="73">
        <v>14.58</v>
      </c>
      <c r="H145" s="73">
        <v>7.8</v>
      </c>
      <c r="I145" s="73">
        <v>11.61</v>
      </c>
      <c r="J145" s="73">
        <v>4.25</v>
      </c>
      <c r="K145" s="73">
        <v>7.74</v>
      </c>
      <c r="L145" s="74">
        <f>+SUM(F145:K145)</f>
        <v>71.72</v>
      </c>
      <c r="M145" s="72" t="s">
        <v>37</v>
      </c>
    </row>
    <row r="146" spans="1:13" ht="15.75" customHeight="1" x14ac:dyDescent="0.3">
      <c r="A146" s="25">
        <v>38</v>
      </c>
      <c r="B146" s="26" t="s">
        <v>210</v>
      </c>
      <c r="C146" s="26">
        <v>1246</v>
      </c>
      <c r="D146" s="26" t="s">
        <v>73</v>
      </c>
      <c r="E146" s="26">
        <v>35000130</v>
      </c>
      <c r="F146" s="46">
        <v>31.44</v>
      </c>
      <c r="G146" s="46">
        <v>7.5</v>
      </c>
      <c r="H146" s="46">
        <v>8.2799999999999994</v>
      </c>
      <c r="I146" s="46">
        <v>12.75</v>
      </c>
      <c r="J146" s="46">
        <v>3.9</v>
      </c>
      <c r="K146" s="46">
        <v>7.99</v>
      </c>
      <c r="L146" s="29">
        <f>+SUM(F146:K146)</f>
        <v>71.86</v>
      </c>
      <c r="M146" s="26" t="s">
        <v>62</v>
      </c>
    </row>
    <row r="147" spans="1:13" ht="15.75" customHeight="1" x14ac:dyDescent="0.3">
      <c r="A147" s="37">
        <v>16</v>
      </c>
      <c r="B147" s="38" t="s">
        <v>211</v>
      </c>
      <c r="C147" s="39">
        <v>1185</v>
      </c>
      <c r="D147" s="38" t="s">
        <v>94</v>
      </c>
      <c r="E147" s="38">
        <v>35000109</v>
      </c>
      <c r="F147" s="45">
        <v>33.78</v>
      </c>
      <c r="G147" s="45">
        <v>11.34</v>
      </c>
      <c r="H147" s="45">
        <v>7</v>
      </c>
      <c r="I147" s="45">
        <v>11.2</v>
      </c>
      <c r="J147" s="45">
        <v>4.0999999999999996</v>
      </c>
      <c r="K147" s="45">
        <v>4.5999999999999996</v>
      </c>
      <c r="L147" s="42">
        <f>+SUM(F147:K147)</f>
        <v>72.02</v>
      </c>
      <c r="M147" s="38"/>
    </row>
    <row r="148" spans="1:13" ht="15.75" customHeight="1" x14ac:dyDescent="0.3">
      <c r="A148" s="19">
        <v>22</v>
      </c>
      <c r="B148" s="20" t="s">
        <v>212</v>
      </c>
      <c r="C148" s="21">
        <v>551</v>
      </c>
      <c r="D148" s="20" t="s">
        <v>77</v>
      </c>
      <c r="E148" s="20">
        <v>35000022</v>
      </c>
      <c r="F148" s="43">
        <v>33.729999999999997</v>
      </c>
      <c r="G148" s="43">
        <v>12.53</v>
      </c>
      <c r="H148" s="43">
        <v>6.25</v>
      </c>
      <c r="I148" s="43">
        <v>9.3000000000000007</v>
      </c>
      <c r="J148" s="43">
        <v>3.85</v>
      </c>
      <c r="K148" s="43">
        <v>6.4</v>
      </c>
      <c r="L148" s="24">
        <f>+SUM(F148:K148)</f>
        <v>72.06</v>
      </c>
      <c r="M148" s="20" t="s">
        <v>19</v>
      </c>
    </row>
    <row r="149" spans="1:13" ht="15.75" customHeight="1" x14ac:dyDescent="0.3">
      <c r="A149" s="1">
        <v>15</v>
      </c>
      <c r="B149" s="2" t="s">
        <v>213</v>
      </c>
      <c r="C149" s="2">
        <v>1523</v>
      </c>
      <c r="D149" s="2" t="s">
        <v>104</v>
      </c>
      <c r="E149" s="2">
        <v>35000173</v>
      </c>
      <c r="F149" s="3">
        <v>31.88</v>
      </c>
      <c r="G149" s="3">
        <v>13</v>
      </c>
      <c r="H149" s="3">
        <v>6</v>
      </c>
      <c r="I149" s="3">
        <v>11</v>
      </c>
      <c r="J149" s="3">
        <v>3.8</v>
      </c>
      <c r="K149" s="3">
        <v>6.41</v>
      </c>
      <c r="L149" s="8">
        <f>+SUM(F149:K149)</f>
        <v>72.089999999999989</v>
      </c>
      <c r="M149" s="2" t="s">
        <v>214</v>
      </c>
    </row>
    <row r="150" spans="1:13" ht="15.75" customHeight="1" x14ac:dyDescent="0.3">
      <c r="A150" s="78">
        <v>10</v>
      </c>
      <c r="B150" s="79" t="s">
        <v>215</v>
      </c>
      <c r="C150" s="80">
        <v>726</v>
      </c>
      <c r="D150" s="79" t="s">
        <v>33</v>
      </c>
      <c r="E150" s="79">
        <v>35000010</v>
      </c>
      <c r="F150" s="81">
        <v>33.159999999999997</v>
      </c>
      <c r="G150" s="81">
        <v>12.66</v>
      </c>
      <c r="H150" s="81">
        <v>6.6</v>
      </c>
      <c r="I150" s="81">
        <v>9.7200000000000006</v>
      </c>
      <c r="J150" s="81">
        <v>3.73</v>
      </c>
      <c r="K150" s="81">
        <v>6.4</v>
      </c>
      <c r="L150" s="82">
        <f>+SUM(F150:K150)</f>
        <v>72.27</v>
      </c>
      <c r="M150" s="79" t="s">
        <v>19</v>
      </c>
    </row>
    <row r="151" spans="1:13" ht="15.75" customHeight="1" x14ac:dyDescent="0.3">
      <c r="A151" s="14">
        <v>8</v>
      </c>
      <c r="B151" s="15" t="s">
        <v>216</v>
      </c>
      <c r="C151" s="16">
        <v>1292</v>
      </c>
      <c r="D151" s="15" t="s">
        <v>27</v>
      </c>
      <c r="E151" s="15">
        <v>35000136</v>
      </c>
      <c r="F151" s="47">
        <v>28.93</v>
      </c>
      <c r="G151" s="47">
        <v>13.87</v>
      </c>
      <c r="H151" s="47">
        <v>8.9</v>
      </c>
      <c r="I151" s="47">
        <v>11.01</v>
      </c>
      <c r="J151" s="47">
        <v>3.5</v>
      </c>
      <c r="K151" s="47">
        <v>6.11</v>
      </c>
      <c r="L151" s="30">
        <f>+SUM(F151:K151)</f>
        <v>72.319999999999993</v>
      </c>
      <c r="M151" s="15" t="s">
        <v>37</v>
      </c>
    </row>
    <row r="152" spans="1:13" ht="15.75" customHeight="1" x14ac:dyDescent="0.3">
      <c r="A152" s="19">
        <v>34</v>
      </c>
      <c r="B152" s="20" t="s">
        <v>217</v>
      </c>
      <c r="C152" s="21">
        <v>1763</v>
      </c>
      <c r="D152" s="20" t="s">
        <v>218</v>
      </c>
      <c r="E152" s="20">
        <v>35000194</v>
      </c>
      <c r="F152" s="43">
        <v>33.18</v>
      </c>
      <c r="G152" s="43">
        <v>14.47</v>
      </c>
      <c r="H152" s="43">
        <v>7</v>
      </c>
      <c r="I152" s="43">
        <v>8.1999999999999993</v>
      </c>
      <c r="J152" s="43">
        <v>3.3</v>
      </c>
      <c r="K152" s="43">
        <v>6.6</v>
      </c>
      <c r="L152" s="24">
        <f>+SUM(F152:K152)</f>
        <v>72.749999999999986</v>
      </c>
      <c r="M152" s="20" t="s">
        <v>37</v>
      </c>
    </row>
    <row r="153" spans="1:13" ht="15.75" customHeight="1" x14ac:dyDescent="0.3">
      <c r="A153" s="37">
        <v>4</v>
      </c>
      <c r="B153" s="38" t="s">
        <v>219</v>
      </c>
      <c r="C153" s="38">
        <v>2462</v>
      </c>
      <c r="D153" s="38" t="s">
        <v>220</v>
      </c>
      <c r="E153" s="38">
        <v>35000187</v>
      </c>
      <c r="F153" s="45">
        <v>33.450000000000003</v>
      </c>
      <c r="G153" s="45">
        <v>11.15</v>
      </c>
      <c r="H153" s="45">
        <v>6.5</v>
      </c>
      <c r="I153" s="45">
        <v>11.2</v>
      </c>
      <c r="J153" s="45">
        <v>3.5</v>
      </c>
      <c r="K153" s="45">
        <v>7</v>
      </c>
      <c r="L153" s="42">
        <f>+SUM(F153:K153)</f>
        <v>72.8</v>
      </c>
      <c r="M153" s="38" t="s">
        <v>37</v>
      </c>
    </row>
    <row r="154" spans="1:13" ht="15.75" customHeight="1" x14ac:dyDescent="0.3">
      <c r="A154" s="52">
        <v>18</v>
      </c>
      <c r="B154" s="53" t="s">
        <v>221</v>
      </c>
      <c r="C154" s="54">
        <v>1182</v>
      </c>
      <c r="D154" s="53" t="s">
        <v>222</v>
      </c>
      <c r="E154" s="53">
        <v>35000110</v>
      </c>
      <c r="F154" s="55">
        <v>28.55</v>
      </c>
      <c r="G154" s="55">
        <v>13.51</v>
      </c>
      <c r="H154" s="55">
        <v>7.74</v>
      </c>
      <c r="I154" s="55">
        <v>11.45</v>
      </c>
      <c r="J154" s="55">
        <v>3.8</v>
      </c>
      <c r="K154" s="55">
        <v>7.84</v>
      </c>
      <c r="L154" s="56">
        <f>+SUM(F154:K154)</f>
        <v>72.89</v>
      </c>
      <c r="M154" s="53" t="s">
        <v>37</v>
      </c>
    </row>
    <row r="155" spans="1:13" ht="15.75" customHeight="1" x14ac:dyDescent="0.3">
      <c r="A155" s="67">
        <v>13</v>
      </c>
      <c r="B155" s="68" t="s">
        <v>223</v>
      </c>
      <c r="C155" s="68">
        <v>1088</v>
      </c>
      <c r="D155" s="68" t="s">
        <v>143</v>
      </c>
      <c r="E155" s="68">
        <v>35000169</v>
      </c>
      <c r="F155" s="69">
        <v>27.52</v>
      </c>
      <c r="G155" s="69">
        <v>14.86</v>
      </c>
      <c r="H155" s="69">
        <v>7.7</v>
      </c>
      <c r="I155" s="69">
        <v>11.15</v>
      </c>
      <c r="J155" s="69">
        <v>3.95</v>
      </c>
      <c r="K155" s="69">
        <v>7.8</v>
      </c>
      <c r="L155" s="70">
        <f>+SUM(F155:K155)</f>
        <v>72.97999999999999</v>
      </c>
      <c r="M155" s="68" t="s">
        <v>70</v>
      </c>
    </row>
    <row r="156" spans="1:13" s="31" customFormat="1" ht="15.75" customHeight="1" x14ac:dyDescent="0.3">
      <c r="A156" s="71">
        <v>11</v>
      </c>
      <c r="B156" s="72" t="s">
        <v>224</v>
      </c>
      <c r="C156" s="72">
        <v>1262</v>
      </c>
      <c r="D156" s="72" t="s">
        <v>143</v>
      </c>
      <c r="E156" s="72">
        <v>35000167</v>
      </c>
      <c r="F156" s="73">
        <v>28.09</v>
      </c>
      <c r="G156" s="73">
        <v>13.36</v>
      </c>
      <c r="H156" s="73">
        <v>7.88</v>
      </c>
      <c r="I156" s="73">
        <v>12.03</v>
      </c>
      <c r="J156" s="73">
        <v>4.03</v>
      </c>
      <c r="K156" s="73">
        <v>7.62</v>
      </c>
      <c r="L156" s="74">
        <f>+SUM(F156:K156)</f>
        <v>73.010000000000005</v>
      </c>
      <c r="M156" s="72" t="s">
        <v>70</v>
      </c>
    </row>
    <row r="157" spans="1:13" s="31" customFormat="1" ht="15.75" customHeight="1" x14ac:dyDescent="0.3">
      <c r="A157" s="37">
        <v>14</v>
      </c>
      <c r="B157" s="38" t="s">
        <v>225</v>
      </c>
      <c r="C157" s="39">
        <v>1211</v>
      </c>
      <c r="D157" s="38" t="s">
        <v>94</v>
      </c>
      <c r="E157" s="38">
        <v>35000107</v>
      </c>
      <c r="F157" s="45">
        <v>32.61</v>
      </c>
      <c r="G157" s="45">
        <v>15</v>
      </c>
      <c r="H157" s="45">
        <v>7</v>
      </c>
      <c r="I157" s="45">
        <v>9.9499999999999993</v>
      </c>
      <c r="J157" s="45">
        <v>4.3</v>
      </c>
      <c r="K157" s="45">
        <v>4.5999999999999996</v>
      </c>
      <c r="L157" s="42">
        <f>+SUM(F157:K157)</f>
        <v>73.459999999999994</v>
      </c>
      <c r="M157" s="38" t="s">
        <v>19</v>
      </c>
    </row>
    <row r="158" spans="1:13" ht="15.75" customHeight="1" x14ac:dyDescent="0.3">
      <c r="A158" s="25">
        <v>8</v>
      </c>
      <c r="B158" s="26" t="s">
        <v>226</v>
      </c>
      <c r="C158" s="26">
        <v>1554</v>
      </c>
      <c r="D158" s="26" t="s">
        <v>227</v>
      </c>
      <c r="E158" s="26">
        <v>35000061</v>
      </c>
      <c r="F158" s="46">
        <v>32.68</v>
      </c>
      <c r="G158" s="46">
        <v>10.130000000000001</v>
      </c>
      <c r="H158" s="46">
        <v>7.69</v>
      </c>
      <c r="I158" s="46">
        <v>11.18</v>
      </c>
      <c r="J158" s="46">
        <v>3.5</v>
      </c>
      <c r="K158" s="46">
        <v>8.2799999999999994</v>
      </c>
      <c r="L158" s="29">
        <f>+SUM(F158:K158)</f>
        <v>73.460000000000008</v>
      </c>
      <c r="M158" s="26" t="s">
        <v>16</v>
      </c>
    </row>
    <row r="159" spans="1:13" ht="15.75" customHeight="1" x14ac:dyDescent="0.3">
      <c r="A159" s="71">
        <v>6</v>
      </c>
      <c r="B159" s="72" t="s">
        <v>228</v>
      </c>
      <c r="C159" s="72">
        <v>2188</v>
      </c>
      <c r="D159" s="72" t="s">
        <v>165</v>
      </c>
      <c r="E159" s="72">
        <v>35000161</v>
      </c>
      <c r="F159" s="73">
        <v>30.39</v>
      </c>
      <c r="G159" s="73">
        <v>13.02</v>
      </c>
      <c r="H159" s="73">
        <v>7.77</v>
      </c>
      <c r="I159" s="73">
        <v>11.61</v>
      </c>
      <c r="J159" s="73">
        <v>3.95</v>
      </c>
      <c r="K159" s="73">
        <v>7</v>
      </c>
      <c r="L159" s="74">
        <f>+SUM(F159:K159)</f>
        <v>73.739999999999995</v>
      </c>
      <c r="M159" s="72" t="s">
        <v>37</v>
      </c>
    </row>
    <row r="160" spans="1:13" ht="15.75" customHeight="1" x14ac:dyDescent="0.3">
      <c r="A160" s="37">
        <v>13</v>
      </c>
      <c r="B160" s="38" t="s">
        <v>229</v>
      </c>
      <c r="C160" s="39">
        <v>1086</v>
      </c>
      <c r="D160" s="38" t="s">
        <v>230</v>
      </c>
      <c r="E160" s="38">
        <v>35000097</v>
      </c>
      <c r="F160" s="45">
        <v>30</v>
      </c>
      <c r="G160" s="45">
        <v>13.42</v>
      </c>
      <c r="H160" s="45">
        <v>7.71</v>
      </c>
      <c r="I160" s="45">
        <v>11.42</v>
      </c>
      <c r="J160" s="45">
        <v>3.88</v>
      </c>
      <c r="K160" s="45">
        <v>7.39</v>
      </c>
      <c r="L160" s="42">
        <f>+SUM(F160:K160)</f>
        <v>73.820000000000007</v>
      </c>
      <c r="M160" s="38" t="s">
        <v>37</v>
      </c>
    </row>
    <row r="161" spans="1:13" s="31" customFormat="1" ht="15.75" customHeight="1" x14ac:dyDescent="0.3">
      <c r="A161" s="67">
        <v>8</v>
      </c>
      <c r="B161" s="68" t="s">
        <v>231</v>
      </c>
      <c r="C161" s="68">
        <v>2323</v>
      </c>
      <c r="D161" s="68" t="s">
        <v>165</v>
      </c>
      <c r="E161" s="68">
        <v>35000163</v>
      </c>
      <c r="F161" s="69">
        <v>31.22</v>
      </c>
      <c r="G161" s="69">
        <v>12.05</v>
      </c>
      <c r="H161" s="69">
        <v>7.56</v>
      </c>
      <c r="I161" s="69">
        <v>11.37</v>
      </c>
      <c r="J161" s="69">
        <v>3.65</v>
      </c>
      <c r="K161" s="69">
        <v>8.0500000000000007</v>
      </c>
      <c r="L161" s="70">
        <f>+SUM(F161:K161)</f>
        <v>73.899999999999991</v>
      </c>
      <c r="M161" s="68" t="s">
        <v>37</v>
      </c>
    </row>
    <row r="162" spans="1:13" ht="15.75" customHeight="1" x14ac:dyDescent="0.3">
      <c r="A162" s="9">
        <v>5</v>
      </c>
      <c r="B162" s="10" t="s">
        <v>232</v>
      </c>
      <c r="C162" s="10">
        <v>63</v>
      </c>
      <c r="D162" s="10" t="s">
        <v>18</v>
      </c>
      <c r="E162" s="10">
        <v>35000080</v>
      </c>
      <c r="F162" s="44">
        <v>25.13</v>
      </c>
      <c r="G162" s="44">
        <v>14.94</v>
      </c>
      <c r="H162" s="44">
        <v>8.6999999999999993</v>
      </c>
      <c r="I162" s="44">
        <v>12.75</v>
      </c>
      <c r="J162" s="44">
        <v>4.75</v>
      </c>
      <c r="K162" s="44">
        <v>7.7</v>
      </c>
      <c r="L162" s="13">
        <f>+SUM(F162:K162)</f>
        <v>73.97</v>
      </c>
      <c r="M162" s="10" t="s">
        <v>19</v>
      </c>
    </row>
    <row r="163" spans="1:13" ht="15.75" customHeight="1" x14ac:dyDescent="0.3">
      <c r="A163" s="52">
        <v>17</v>
      </c>
      <c r="B163" s="53" t="s">
        <v>233</v>
      </c>
      <c r="C163" s="54">
        <v>1812</v>
      </c>
      <c r="D163" s="53" t="s">
        <v>222</v>
      </c>
      <c r="E163" s="53">
        <v>35000111</v>
      </c>
      <c r="F163" s="55">
        <v>30.13</v>
      </c>
      <c r="G163" s="55">
        <v>14.34</v>
      </c>
      <c r="H163" s="55">
        <v>7.3</v>
      </c>
      <c r="I163" s="55">
        <v>11.16</v>
      </c>
      <c r="J163" s="55">
        <v>4.03</v>
      </c>
      <c r="K163" s="55">
        <v>7.59</v>
      </c>
      <c r="L163" s="56">
        <f>+SUM(F163:K163)</f>
        <v>74.55</v>
      </c>
      <c r="M163" s="53" t="s">
        <v>37</v>
      </c>
    </row>
    <row r="164" spans="1:13" ht="15.75" customHeight="1" x14ac:dyDescent="0.3">
      <c r="A164" s="9">
        <v>3</v>
      </c>
      <c r="B164" s="10" t="s">
        <v>234</v>
      </c>
      <c r="C164" s="10">
        <v>309</v>
      </c>
      <c r="D164" s="10" t="s">
        <v>18</v>
      </c>
      <c r="E164" s="10">
        <v>35000078</v>
      </c>
      <c r="F164" s="44">
        <v>28.42</v>
      </c>
      <c r="G164" s="44">
        <v>14.97</v>
      </c>
      <c r="H164" s="44">
        <v>6.31</v>
      </c>
      <c r="I164" s="44">
        <v>13.15</v>
      </c>
      <c r="J164" s="44">
        <v>4.25</v>
      </c>
      <c r="K164" s="44">
        <v>7.46</v>
      </c>
      <c r="L164" s="13">
        <f>+SUM(F164:K164)</f>
        <v>74.559999999999988</v>
      </c>
      <c r="M164" s="10" t="s">
        <v>19</v>
      </c>
    </row>
    <row r="165" spans="1:13" ht="15.75" customHeight="1" x14ac:dyDescent="0.3">
      <c r="A165" s="37">
        <v>5</v>
      </c>
      <c r="B165" s="38" t="s">
        <v>235</v>
      </c>
      <c r="C165" s="39">
        <v>332</v>
      </c>
      <c r="D165" s="38" t="s">
        <v>36</v>
      </c>
      <c r="E165" s="38">
        <v>35000042</v>
      </c>
      <c r="F165" s="45">
        <v>29.52</v>
      </c>
      <c r="G165" s="45">
        <v>14.49</v>
      </c>
      <c r="H165" s="45">
        <v>7.64</v>
      </c>
      <c r="I165" s="45">
        <v>11.66</v>
      </c>
      <c r="J165" s="45">
        <v>3.88</v>
      </c>
      <c r="K165" s="45">
        <v>7.69</v>
      </c>
      <c r="L165" s="42">
        <f>+SUM(F165:K165)</f>
        <v>74.88</v>
      </c>
      <c r="M165" s="38" t="s">
        <v>19</v>
      </c>
    </row>
    <row r="166" spans="1:13" ht="15.75" customHeight="1" x14ac:dyDescent="0.3">
      <c r="A166" s="1">
        <v>25</v>
      </c>
      <c r="B166" s="2" t="s">
        <v>236</v>
      </c>
      <c r="C166" s="2">
        <v>1057</v>
      </c>
      <c r="D166" s="2" t="s">
        <v>13</v>
      </c>
      <c r="E166" s="2">
        <v>35000183</v>
      </c>
      <c r="F166" s="3">
        <v>34.049999999999997</v>
      </c>
      <c r="G166" s="3">
        <v>13.68</v>
      </c>
      <c r="H166" s="3">
        <v>6.48</v>
      </c>
      <c r="I166" s="3">
        <v>8.5299999999999994</v>
      </c>
      <c r="J166" s="3">
        <v>4.25</v>
      </c>
      <c r="K166" s="3">
        <v>7.9</v>
      </c>
      <c r="L166" s="8">
        <f>+SUM(F166:K166)</f>
        <v>74.89</v>
      </c>
      <c r="M166" s="2" t="s">
        <v>19</v>
      </c>
    </row>
    <row r="167" spans="1:13" ht="15.75" customHeight="1" x14ac:dyDescent="0.3">
      <c r="A167" s="1">
        <v>5</v>
      </c>
      <c r="B167" s="2" t="s">
        <v>237</v>
      </c>
      <c r="C167" s="2">
        <v>598</v>
      </c>
      <c r="D167" s="2" t="s">
        <v>29</v>
      </c>
      <c r="E167" s="2">
        <v>35000086</v>
      </c>
      <c r="F167" s="3">
        <v>27.75</v>
      </c>
      <c r="G167" s="3">
        <v>14.38</v>
      </c>
      <c r="H167" s="3">
        <v>7.41</v>
      </c>
      <c r="I167" s="3">
        <v>12.75</v>
      </c>
      <c r="J167" s="3">
        <v>4.25</v>
      </c>
      <c r="K167" s="3">
        <v>8.5</v>
      </c>
      <c r="L167" s="4">
        <f>+SUM(F167:K167)</f>
        <v>75.040000000000006</v>
      </c>
      <c r="M167" s="5" t="s">
        <v>30</v>
      </c>
    </row>
    <row r="168" spans="1:13" ht="15.75" customHeight="1" x14ac:dyDescent="0.3">
      <c r="A168" s="25">
        <v>22</v>
      </c>
      <c r="B168" s="26" t="s">
        <v>238</v>
      </c>
      <c r="C168" s="26">
        <v>1058</v>
      </c>
      <c r="D168" s="26" t="s">
        <v>81</v>
      </c>
      <c r="E168" s="26">
        <v>35000114</v>
      </c>
      <c r="F168" s="46">
        <v>29.15</v>
      </c>
      <c r="G168" s="46">
        <v>14.34</v>
      </c>
      <c r="H168" s="46">
        <v>8.6300000000000008</v>
      </c>
      <c r="I168" s="46">
        <v>10.92</v>
      </c>
      <c r="J168" s="46">
        <v>4.03</v>
      </c>
      <c r="K168" s="46">
        <v>8.35</v>
      </c>
      <c r="L168" s="29">
        <f>+SUM(F168:K168)</f>
        <v>75.419999999999987</v>
      </c>
      <c r="M168" s="26" t="s">
        <v>19</v>
      </c>
    </row>
    <row r="169" spans="1:13" ht="15.75" customHeight="1" x14ac:dyDescent="0.3">
      <c r="A169" s="14">
        <v>2</v>
      </c>
      <c r="B169" s="15" t="s">
        <v>239</v>
      </c>
      <c r="C169" s="16">
        <v>2721</v>
      </c>
      <c r="D169" s="15" t="s">
        <v>136</v>
      </c>
      <c r="E169" s="15">
        <v>35000074</v>
      </c>
      <c r="F169" s="47">
        <v>32.25</v>
      </c>
      <c r="G169" s="47">
        <v>13.42</v>
      </c>
      <c r="H169" s="47">
        <v>7.6</v>
      </c>
      <c r="I169" s="47">
        <v>11.57</v>
      </c>
      <c r="J169" s="47">
        <v>3.95</v>
      </c>
      <c r="K169" s="47">
        <v>6.8</v>
      </c>
      <c r="L169" s="30">
        <f>+SUM(F169:K169)</f>
        <v>75.59</v>
      </c>
      <c r="M169" s="15" t="s">
        <v>16</v>
      </c>
    </row>
    <row r="170" spans="1:13" ht="15.75" customHeight="1" x14ac:dyDescent="0.3">
      <c r="A170" s="9">
        <v>1</v>
      </c>
      <c r="B170" s="10" t="s">
        <v>240</v>
      </c>
      <c r="C170" s="10">
        <v>1151</v>
      </c>
      <c r="D170" s="10" t="s">
        <v>154</v>
      </c>
      <c r="E170" s="10">
        <v>35000076</v>
      </c>
      <c r="F170" s="44">
        <v>31.51</v>
      </c>
      <c r="G170" s="44">
        <v>9.5500000000000007</v>
      </c>
      <c r="H170" s="44">
        <v>8.4499999999999993</v>
      </c>
      <c r="I170" s="44">
        <v>13.21</v>
      </c>
      <c r="J170" s="44">
        <v>4.75</v>
      </c>
      <c r="K170" s="44">
        <v>8.5</v>
      </c>
      <c r="L170" s="13">
        <f>+SUM(F170:K170)</f>
        <v>75.97</v>
      </c>
      <c r="M170" s="10" t="s">
        <v>62</v>
      </c>
    </row>
    <row r="171" spans="1:13" ht="15.75" customHeight="1" x14ac:dyDescent="0.3">
      <c r="A171" s="25">
        <v>31</v>
      </c>
      <c r="B171" s="26" t="s">
        <v>241</v>
      </c>
      <c r="C171" s="26">
        <v>1370</v>
      </c>
      <c r="D171" s="26" t="s">
        <v>89</v>
      </c>
      <c r="E171" s="26">
        <v>35000123</v>
      </c>
      <c r="F171" s="46">
        <v>30.94</v>
      </c>
      <c r="G171" s="46">
        <v>15</v>
      </c>
      <c r="H171" s="46">
        <v>7.23</v>
      </c>
      <c r="I171" s="46">
        <v>11.72</v>
      </c>
      <c r="J171" s="46">
        <v>4.18</v>
      </c>
      <c r="K171" s="46">
        <v>7.75</v>
      </c>
      <c r="L171" s="29">
        <f>+SUM(F171:K171)</f>
        <v>76.819999999999993</v>
      </c>
      <c r="M171" s="26" t="s">
        <v>19</v>
      </c>
    </row>
    <row r="172" spans="1:13" ht="15.75" customHeight="1" x14ac:dyDescent="0.3">
      <c r="A172" s="1">
        <v>23</v>
      </c>
      <c r="B172" s="2" t="s">
        <v>242</v>
      </c>
      <c r="C172" s="2">
        <v>1449</v>
      </c>
      <c r="D172" s="2" t="s">
        <v>13</v>
      </c>
      <c r="E172" s="2">
        <v>35000181</v>
      </c>
      <c r="F172" s="3">
        <v>37.79</v>
      </c>
      <c r="G172" s="3">
        <v>13.5</v>
      </c>
      <c r="H172" s="3">
        <v>6.5</v>
      </c>
      <c r="I172" s="3">
        <v>8.1</v>
      </c>
      <c r="J172" s="3">
        <v>3.5</v>
      </c>
      <c r="K172" s="3">
        <v>7.5</v>
      </c>
      <c r="L172" s="8">
        <f>+SUM(F172:K172)</f>
        <v>76.89</v>
      </c>
      <c r="M172" s="2" t="s">
        <v>37</v>
      </c>
    </row>
    <row r="173" spans="1:13" s="31" customFormat="1" ht="15.75" customHeight="1" x14ac:dyDescent="0.3">
      <c r="A173" s="9">
        <v>13</v>
      </c>
      <c r="B173" s="10" t="s">
        <v>243</v>
      </c>
      <c r="C173" s="10">
        <v>1523</v>
      </c>
      <c r="D173" s="10" t="s">
        <v>55</v>
      </c>
      <c r="E173" s="10">
        <v>35000155</v>
      </c>
      <c r="F173" s="44">
        <v>32.72</v>
      </c>
      <c r="G173" s="44">
        <v>14.87</v>
      </c>
      <c r="H173" s="44">
        <v>6.48</v>
      </c>
      <c r="I173" s="44">
        <v>11.7</v>
      </c>
      <c r="J173" s="44">
        <v>4.18</v>
      </c>
      <c r="K173" s="44">
        <v>7.3</v>
      </c>
      <c r="L173" s="13">
        <f>+SUM(F173:K173)</f>
        <v>77.249999999999986</v>
      </c>
      <c r="M173" s="10" t="s">
        <v>19</v>
      </c>
    </row>
    <row r="174" spans="1:13" ht="15.75" customHeight="1" x14ac:dyDescent="0.3">
      <c r="A174" s="9">
        <v>9</v>
      </c>
      <c r="B174" s="10" t="s">
        <v>244</v>
      </c>
      <c r="C174" s="10">
        <v>1499</v>
      </c>
      <c r="D174" s="10" t="s">
        <v>61</v>
      </c>
      <c r="E174" s="10">
        <v>35000150</v>
      </c>
      <c r="F174" s="44">
        <v>31.53</v>
      </c>
      <c r="G174" s="44">
        <v>15</v>
      </c>
      <c r="H174" s="44">
        <v>7.14</v>
      </c>
      <c r="I174" s="44">
        <v>11.57</v>
      </c>
      <c r="J174" s="44">
        <v>4.25</v>
      </c>
      <c r="K174" s="44">
        <v>8.11</v>
      </c>
      <c r="L174" s="13">
        <f>+SUM(F174:K174)</f>
        <v>77.600000000000009</v>
      </c>
      <c r="M174" s="10" t="s">
        <v>19</v>
      </c>
    </row>
    <row r="175" spans="1:13" ht="15" customHeight="1" x14ac:dyDescent="0.3">
      <c r="A175" s="1">
        <v>6</v>
      </c>
      <c r="B175" s="2" t="s">
        <v>245</v>
      </c>
      <c r="C175" s="2">
        <v>445</v>
      </c>
      <c r="D175" s="2" t="s">
        <v>29</v>
      </c>
      <c r="E175" s="2">
        <v>35000087</v>
      </c>
      <c r="F175" s="3">
        <v>31.38</v>
      </c>
      <c r="G175" s="3">
        <v>14.63</v>
      </c>
      <c r="H175" s="3">
        <v>7.41</v>
      </c>
      <c r="I175" s="3">
        <v>12.45</v>
      </c>
      <c r="J175" s="3">
        <v>3.5</v>
      </c>
      <c r="K175" s="3">
        <v>8.5</v>
      </c>
      <c r="L175" s="4">
        <f>+SUM(F175:K175)</f>
        <v>77.87</v>
      </c>
      <c r="M175" s="5" t="s">
        <v>30</v>
      </c>
    </row>
    <row r="176" spans="1:13" ht="15.75" customHeight="1" x14ac:dyDescent="0.3">
      <c r="A176" s="37">
        <v>12</v>
      </c>
      <c r="B176" s="38" t="s">
        <v>246</v>
      </c>
      <c r="C176" s="39">
        <v>1637</v>
      </c>
      <c r="D176" s="38" t="s">
        <v>230</v>
      </c>
      <c r="E176" s="38">
        <v>35000096</v>
      </c>
      <c r="F176" s="45">
        <v>34.93</v>
      </c>
      <c r="G176" s="45">
        <v>12.5</v>
      </c>
      <c r="H176" s="45">
        <v>7.29</v>
      </c>
      <c r="I176" s="45">
        <v>11.49</v>
      </c>
      <c r="J176" s="45">
        <v>4.03</v>
      </c>
      <c r="K176" s="45">
        <v>7.68</v>
      </c>
      <c r="L176" s="42">
        <f>+SUM(F176:K176)</f>
        <v>77.919999999999987</v>
      </c>
      <c r="M176" s="38" t="s">
        <v>37</v>
      </c>
    </row>
    <row r="177" spans="1:13" s="31" customFormat="1" ht="15.75" customHeight="1" x14ac:dyDescent="0.3">
      <c r="A177" s="71">
        <v>10</v>
      </c>
      <c r="B177" s="72" t="s">
        <v>247</v>
      </c>
      <c r="C177" s="72">
        <v>1867</v>
      </c>
      <c r="D177" s="72" t="s">
        <v>143</v>
      </c>
      <c r="E177" s="72">
        <v>35000166</v>
      </c>
      <c r="F177" s="73">
        <v>33.119999999999997</v>
      </c>
      <c r="G177" s="73">
        <v>11.6</v>
      </c>
      <c r="H177" s="73">
        <v>8.5</v>
      </c>
      <c r="I177" s="73">
        <v>12.75</v>
      </c>
      <c r="J177" s="73">
        <v>4.25</v>
      </c>
      <c r="K177" s="73">
        <v>8.5</v>
      </c>
      <c r="L177" s="74">
        <f>+SUM(F177:K177)</f>
        <v>78.72</v>
      </c>
      <c r="M177" s="72" t="s">
        <v>19</v>
      </c>
    </row>
    <row r="178" spans="1:13" ht="15.75" customHeight="1" x14ac:dyDescent="0.3">
      <c r="A178" s="83">
        <v>12</v>
      </c>
      <c r="B178" s="84" t="s">
        <v>248</v>
      </c>
      <c r="C178" s="84">
        <v>1074</v>
      </c>
      <c r="D178" s="84" t="s">
        <v>55</v>
      </c>
      <c r="E178" s="84">
        <v>35000154</v>
      </c>
      <c r="F178" s="85">
        <v>36.049999999999997</v>
      </c>
      <c r="G178" s="85">
        <v>13.2</v>
      </c>
      <c r="H178" s="85">
        <v>7.19</v>
      </c>
      <c r="I178" s="85">
        <v>11.49</v>
      </c>
      <c r="J178" s="85">
        <v>3.7</v>
      </c>
      <c r="K178" s="85">
        <v>7.45</v>
      </c>
      <c r="L178" s="61">
        <f>+SUM(F178:K178)</f>
        <v>79.08</v>
      </c>
      <c r="M178" s="62" t="s">
        <v>19</v>
      </c>
    </row>
    <row r="179" spans="1:13" ht="15.75" customHeight="1" x14ac:dyDescent="0.3">
      <c r="A179" s="86">
        <v>5</v>
      </c>
      <c r="B179" s="87" t="s">
        <v>249</v>
      </c>
      <c r="C179" s="87">
        <v>1879</v>
      </c>
      <c r="D179" s="87" t="s">
        <v>165</v>
      </c>
      <c r="E179" s="87">
        <v>35000160</v>
      </c>
      <c r="F179" s="73">
        <v>32.979999999999997</v>
      </c>
      <c r="G179" s="73">
        <v>13.37</v>
      </c>
      <c r="H179" s="73">
        <v>7.27</v>
      </c>
      <c r="I179" s="73">
        <v>12.87</v>
      </c>
      <c r="J179" s="73">
        <v>4.25</v>
      </c>
      <c r="K179" s="73">
        <v>9</v>
      </c>
      <c r="L179" s="74">
        <f>+SUM(F179:K179)</f>
        <v>79.739999999999995</v>
      </c>
      <c r="M179" s="87" t="s">
        <v>19</v>
      </c>
    </row>
    <row r="180" spans="1:13" ht="15.75" customHeight="1" x14ac:dyDescent="0.3"/>
    <row r="181" spans="1:13" ht="15.75" customHeight="1" x14ac:dyDescent="0.3"/>
    <row r="182" spans="1:13" ht="15.75" customHeight="1" x14ac:dyDescent="0.3"/>
    <row r="183" spans="1:13" ht="15.75" customHeight="1" x14ac:dyDescent="0.3"/>
    <row r="184" spans="1:13" ht="15.75" customHeight="1" x14ac:dyDescent="0.3"/>
    <row r="185" spans="1:13" ht="15.75" customHeight="1" x14ac:dyDescent="0.3"/>
    <row r="186" spans="1:13" ht="15.75" customHeight="1" x14ac:dyDescent="0.3"/>
    <row r="187" spans="1:13" ht="15.75" customHeight="1" x14ac:dyDescent="0.3"/>
    <row r="188" spans="1:13" ht="15.75" customHeight="1" x14ac:dyDescent="0.3"/>
    <row r="189" spans="1:13" ht="15.75" customHeight="1" x14ac:dyDescent="0.3"/>
    <row r="190" spans="1:13" ht="15.75" customHeight="1" x14ac:dyDescent="0.3"/>
    <row r="191" spans="1:13" ht="15.75" customHeight="1" x14ac:dyDescent="0.3"/>
    <row r="192" spans="1:13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autoFilter ref="A1:M1" xr:uid="{B9EC7935-F6EB-49F4-AFA5-119BC01AD430}">
    <sortState xmlns:xlrd2="http://schemas.microsoft.com/office/spreadsheetml/2017/richdata2" ref="A3:M179">
      <sortCondition ref="L1"/>
    </sortState>
  </autoFilter>
  <pageMargins left="0.70866141732283472" right="0.70866141732283472" top="0.74803149606299213" bottom="0.74803149606299213" header="0" footer="0"/>
  <pageSetup paperSize="9" orientation="portrait"/>
  <rowBreaks count="1" manualBreakCount="1">
    <brk id="5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Klasfikasi IKJI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Pusda 7</dc:creator>
  <cp:lastModifiedBy>Pusda 7</cp:lastModifiedBy>
  <dcterms:created xsi:type="dcterms:W3CDTF">2026-05-22T03:51:18Z</dcterms:created>
  <dcterms:modified xsi:type="dcterms:W3CDTF">2026-05-22T06:13:17Z</dcterms:modified>
</cp:coreProperties>
</file>