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IGASI JATIM\OneDrive\Documents\Dokumen_Akif\aa_irigasi\SKP\2026\PAKSI_AI\"/>
    </mc:Choice>
  </mc:AlternateContent>
  <xr:revisionPtr revIDLastSave="0" documentId="13_ncr:1_{5BCECD7B-CE3D-4832-BCAF-38468CD56409}" xr6:coauthVersionLast="45" xr6:coauthVersionMax="45" xr10:uidLastSave="{00000000-0000-0000-0000-000000000000}"/>
  <bookViews>
    <workbookView xWindow="-108" yWindow="-108" windowWidth="23256" windowHeight="13176" activeTab="4" xr2:uid="{ABD97D38-D2C8-4C3F-8AB2-AF2ECB4D2D5D}"/>
  </bookViews>
  <sheets>
    <sheet name="2021" sheetId="2" r:id="rId1"/>
    <sheet name="2022" sheetId="3" r:id="rId2"/>
    <sheet name="2023" sheetId="4" r:id="rId3"/>
    <sheet name="2024" sheetId="5" r:id="rId4"/>
    <sheet name="2025" sheetId="7" r:id="rId5"/>
  </sheets>
  <definedNames>
    <definedName name="_xlnm.Print_Area" localSheetId="0">'2021'!$A$1:$W$200</definedName>
    <definedName name="_xlnm.Print_Area" localSheetId="1">'2022'!$A$1:$W$200</definedName>
    <definedName name="_xlnm.Print_Area" localSheetId="2">'2023'!$A$1:$W$200</definedName>
    <definedName name="_xlnm.Print_Area" localSheetId="3">'2024'!$A$1:$W$206</definedName>
    <definedName name="_xlnm.Print_Area" localSheetId="4">'2025'!$A$1:$W$206</definedName>
    <definedName name="_xlnm.Print_Titles" localSheetId="0">'2021'!$1:$4</definedName>
    <definedName name="_xlnm.Print_Titles" localSheetId="1">'2022'!$1:$4</definedName>
    <definedName name="_xlnm.Print_Titles" localSheetId="2">'2023'!$1:$4</definedName>
    <definedName name="_xlnm.Print_Titles" localSheetId="3">'2024'!$1:$4</definedName>
    <definedName name="_xlnm.Print_Titles" localSheetId="4">'2025'!$1:$4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9" i="7" l="1"/>
  <c r="R197" i="7"/>
  <c r="Q199" i="7" s="1"/>
  <c r="P197" i="7"/>
  <c r="R196" i="7"/>
  <c r="R190" i="7"/>
  <c r="R191" i="7" s="1"/>
  <c r="O190" i="7"/>
  <c r="O191" i="7" s="1"/>
  <c r="N190" i="7"/>
  <c r="N191" i="7" s="1"/>
  <c r="Q190" i="7" s="1"/>
  <c r="Q191" i="7" s="1"/>
  <c r="H190" i="7"/>
  <c r="W185" i="7" s="1"/>
  <c r="W188" i="7"/>
  <c r="V188" i="7"/>
  <c r="T188" i="7"/>
  <c r="Y188" i="7" s="1"/>
  <c r="Y187" i="7"/>
  <c r="W187" i="7"/>
  <c r="V187" i="7"/>
  <c r="T187" i="7"/>
  <c r="W186" i="7"/>
  <c r="V186" i="7"/>
  <c r="T186" i="7"/>
  <c r="Y186" i="7" s="1"/>
  <c r="V185" i="7"/>
  <c r="T185" i="7"/>
  <c r="Y185" i="7" s="1"/>
  <c r="Y184" i="7"/>
  <c r="W184" i="7"/>
  <c r="V184" i="7"/>
  <c r="T184" i="7"/>
  <c r="W183" i="7"/>
  <c r="V183" i="7"/>
  <c r="T183" i="7"/>
  <c r="Y183" i="7" s="1"/>
  <c r="W182" i="7"/>
  <c r="T182" i="7"/>
  <c r="Y182" i="7" s="1"/>
  <c r="Y181" i="7"/>
  <c r="W181" i="7"/>
  <c r="V181" i="7"/>
  <c r="T181" i="7"/>
  <c r="W180" i="7"/>
  <c r="V180" i="7"/>
  <c r="T180" i="7"/>
  <c r="Y180" i="7" s="1"/>
  <c r="W179" i="7"/>
  <c r="V179" i="7"/>
  <c r="T179" i="7"/>
  <c r="Y179" i="7" s="1"/>
  <c r="Y178" i="7"/>
  <c r="W178" i="7"/>
  <c r="V178" i="7"/>
  <c r="T178" i="7"/>
  <c r="W177" i="7"/>
  <c r="V177" i="7"/>
  <c r="T177" i="7"/>
  <c r="Y177" i="7" s="1"/>
  <c r="W176" i="7"/>
  <c r="V176" i="7"/>
  <c r="T176" i="7"/>
  <c r="Y176" i="7" s="1"/>
  <c r="Y175" i="7"/>
  <c r="W175" i="7"/>
  <c r="V175" i="7"/>
  <c r="W174" i="7"/>
  <c r="V174" i="7"/>
  <c r="T174" i="7"/>
  <c r="Y174" i="7" s="1"/>
  <c r="W173" i="7"/>
  <c r="V173" i="7"/>
  <c r="T173" i="7"/>
  <c r="Y173" i="7" s="1"/>
  <c r="W172" i="7"/>
  <c r="V172" i="7"/>
  <c r="T172" i="7"/>
  <c r="Y172" i="7" s="1"/>
  <c r="W171" i="7"/>
  <c r="V171" i="7"/>
  <c r="T171" i="7"/>
  <c r="Y171" i="7" s="1"/>
  <c r="W170" i="7"/>
  <c r="V170" i="7"/>
  <c r="T170" i="7"/>
  <c r="Y170" i="7" s="1"/>
  <c r="W169" i="7"/>
  <c r="V169" i="7"/>
  <c r="T169" i="7"/>
  <c r="Y169" i="7" s="1"/>
  <c r="Y168" i="7"/>
  <c r="W168" i="7"/>
  <c r="V168" i="7"/>
  <c r="T168" i="7"/>
  <c r="W167" i="7"/>
  <c r="V167" i="7"/>
  <c r="T167" i="7"/>
  <c r="Y167" i="7" s="1"/>
  <c r="Y166" i="7"/>
  <c r="W166" i="7"/>
  <c r="V166" i="7"/>
  <c r="T166" i="7"/>
  <c r="W165" i="7"/>
  <c r="V165" i="7"/>
  <c r="T165" i="7"/>
  <c r="Y165" i="7" s="1"/>
  <c r="W164" i="7"/>
  <c r="V164" i="7"/>
  <c r="T164" i="7"/>
  <c r="Y164" i="7" s="1"/>
  <c r="Y163" i="7"/>
  <c r="W163" i="7"/>
  <c r="V163" i="7"/>
  <c r="T163" i="7"/>
  <c r="W162" i="7"/>
  <c r="V162" i="7"/>
  <c r="T162" i="7"/>
  <c r="Y162" i="7" s="1"/>
  <c r="Y161" i="7"/>
  <c r="W161" i="7"/>
  <c r="V161" i="7"/>
  <c r="W160" i="7"/>
  <c r="V160" i="7"/>
  <c r="T160" i="7"/>
  <c r="Y160" i="7" s="1"/>
  <c r="W159" i="7"/>
  <c r="V159" i="7"/>
  <c r="T159" i="7"/>
  <c r="Y159" i="7" s="1"/>
  <c r="W158" i="7"/>
  <c r="V158" i="7"/>
  <c r="T158" i="7"/>
  <c r="Y158" i="7" s="1"/>
  <c r="W157" i="7"/>
  <c r="V157" i="7"/>
  <c r="T157" i="7"/>
  <c r="Y157" i="7" s="1"/>
  <c r="W156" i="7"/>
  <c r="V156" i="7"/>
  <c r="T156" i="7"/>
  <c r="Y156" i="7" s="1"/>
  <c r="W155" i="7"/>
  <c r="V155" i="7"/>
  <c r="T155" i="7"/>
  <c r="Y155" i="7" s="1"/>
  <c r="W154" i="7"/>
  <c r="V154" i="7"/>
  <c r="T154" i="7"/>
  <c r="Y154" i="7" s="1"/>
  <c r="W153" i="7"/>
  <c r="V153" i="7"/>
  <c r="T153" i="7"/>
  <c r="Y153" i="7" s="1"/>
  <c r="Y152" i="7"/>
  <c r="W152" i="7"/>
  <c r="V152" i="7"/>
  <c r="T152" i="7"/>
  <c r="W151" i="7"/>
  <c r="V151" i="7"/>
  <c r="T151" i="7"/>
  <c r="Y151" i="7" s="1"/>
  <c r="W150" i="7"/>
  <c r="V150" i="7"/>
  <c r="T150" i="7"/>
  <c r="Y150" i="7" s="1"/>
  <c r="W149" i="7"/>
  <c r="V149" i="7"/>
  <c r="T149" i="7"/>
  <c r="Y149" i="7" s="1"/>
  <c r="W148" i="7"/>
  <c r="V148" i="7"/>
  <c r="T148" i="7"/>
  <c r="Y148" i="7" s="1"/>
  <c r="W147" i="7"/>
  <c r="V147" i="7"/>
  <c r="T147" i="7"/>
  <c r="Y147" i="7" s="1"/>
  <c r="W146" i="7"/>
  <c r="V146" i="7"/>
  <c r="T146" i="7"/>
  <c r="Y146" i="7" s="1"/>
  <c r="Y145" i="7"/>
  <c r="W145" i="7"/>
  <c r="V145" i="7"/>
  <c r="T145" i="7"/>
  <c r="W144" i="7"/>
  <c r="V144" i="7"/>
  <c r="T144" i="7"/>
  <c r="Y144" i="7" s="1"/>
  <c r="W143" i="7"/>
  <c r="V143" i="7"/>
  <c r="T143" i="7"/>
  <c r="Y143" i="7" s="1"/>
  <c r="W142" i="7"/>
  <c r="V142" i="7"/>
  <c r="T142" i="7"/>
  <c r="Y142" i="7" s="1"/>
  <c r="W141" i="7"/>
  <c r="V141" i="7"/>
  <c r="T141" i="7"/>
  <c r="Y141" i="7" s="1"/>
  <c r="W140" i="7"/>
  <c r="V140" i="7"/>
  <c r="T140" i="7"/>
  <c r="Y140" i="7" s="1"/>
  <c r="W139" i="7"/>
  <c r="V139" i="7"/>
  <c r="T139" i="7"/>
  <c r="Y139" i="7" s="1"/>
  <c r="W138" i="7"/>
  <c r="V138" i="7"/>
  <c r="T138" i="7"/>
  <c r="Y138" i="7" s="1"/>
  <c r="W137" i="7"/>
  <c r="V137" i="7"/>
  <c r="T137" i="7"/>
  <c r="Y137" i="7" s="1"/>
  <c r="W136" i="7"/>
  <c r="V136" i="7"/>
  <c r="T136" i="7"/>
  <c r="Y136" i="7" s="1"/>
  <c r="W135" i="7"/>
  <c r="V135" i="7"/>
  <c r="T135" i="7"/>
  <c r="Y135" i="7" s="1"/>
  <c r="W134" i="7"/>
  <c r="V134" i="7"/>
  <c r="T134" i="7"/>
  <c r="Y134" i="7" s="1"/>
  <c r="W133" i="7"/>
  <c r="V133" i="7"/>
  <c r="T133" i="7"/>
  <c r="Y133" i="7" s="1"/>
  <c r="W132" i="7"/>
  <c r="V132" i="7"/>
  <c r="T132" i="7"/>
  <c r="Y132" i="7" s="1"/>
  <c r="Y131" i="7"/>
  <c r="W131" i="7"/>
  <c r="V131" i="7"/>
  <c r="T131" i="7"/>
  <c r="W130" i="7"/>
  <c r="V130" i="7"/>
  <c r="T130" i="7"/>
  <c r="Y130" i="7" s="1"/>
  <c r="W129" i="7"/>
  <c r="V129" i="7"/>
  <c r="T129" i="7"/>
  <c r="Y129" i="7" s="1"/>
  <c r="W128" i="7"/>
  <c r="V128" i="7"/>
  <c r="T128" i="7"/>
  <c r="Y128" i="7" s="1"/>
  <c r="W127" i="7"/>
  <c r="V127" i="7"/>
  <c r="T127" i="7"/>
  <c r="Y127" i="7" s="1"/>
  <c r="W126" i="7"/>
  <c r="V126" i="7"/>
  <c r="T126" i="7"/>
  <c r="Y126" i="7" s="1"/>
  <c r="W125" i="7"/>
  <c r="V125" i="7"/>
  <c r="T125" i="7"/>
  <c r="Y125" i="7" s="1"/>
  <c r="W124" i="7"/>
  <c r="V124" i="7"/>
  <c r="T124" i="7"/>
  <c r="Y124" i="7" s="1"/>
  <c r="W123" i="7"/>
  <c r="V123" i="7"/>
  <c r="T123" i="7"/>
  <c r="Y123" i="7" s="1"/>
  <c r="W122" i="7"/>
  <c r="V122" i="7"/>
  <c r="T122" i="7"/>
  <c r="Y122" i="7" s="1"/>
  <c r="W121" i="7"/>
  <c r="V121" i="7"/>
  <c r="T121" i="7"/>
  <c r="Y121" i="7" s="1"/>
  <c r="Y120" i="7"/>
  <c r="W120" i="7"/>
  <c r="V120" i="7"/>
  <c r="T120" i="7"/>
  <c r="W119" i="7"/>
  <c r="V119" i="7"/>
  <c r="T119" i="7"/>
  <c r="Y119" i="7" s="1"/>
  <c r="W118" i="7"/>
  <c r="V118" i="7"/>
  <c r="T118" i="7"/>
  <c r="Y118" i="7" s="1"/>
  <c r="W117" i="7"/>
  <c r="V117" i="7"/>
  <c r="T117" i="7"/>
  <c r="Y117" i="7" s="1"/>
  <c r="W116" i="7"/>
  <c r="V116" i="7"/>
  <c r="T116" i="7"/>
  <c r="Y116" i="7" s="1"/>
  <c r="Y115" i="7"/>
  <c r="W115" i="7"/>
  <c r="V115" i="7"/>
  <c r="T115" i="7"/>
  <c r="W114" i="7"/>
  <c r="V114" i="7"/>
  <c r="T114" i="7"/>
  <c r="Y114" i="7" s="1"/>
  <c r="Y113" i="7"/>
  <c r="W113" i="7"/>
  <c r="V113" i="7"/>
  <c r="T113" i="7"/>
  <c r="W112" i="7"/>
  <c r="V112" i="7"/>
  <c r="T112" i="7"/>
  <c r="Y112" i="7" s="1"/>
  <c r="W111" i="7"/>
  <c r="V111" i="7"/>
  <c r="T111" i="7"/>
  <c r="Y111" i="7" s="1"/>
  <c r="W110" i="7"/>
  <c r="V110" i="7"/>
  <c r="T110" i="7"/>
  <c r="Y110" i="7" s="1"/>
  <c r="W109" i="7"/>
  <c r="V109" i="7"/>
  <c r="T109" i="7"/>
  <c r="Y109" i="7" s="1"/>
  <c r="W108" i="7"/>
  <c r="V108" i="7"/>
  <c r="T108" i="7"/>
  <c r="Y108" i="7" s="1"/>
  <c r="W107" i="7"/>
  <c r="V107" i="7"/>
  <c r="T107" i="7"/>
  <c r="Y107" i="7" s="1"/>
  <c r="W106" i="7"/>
  <c r="V106" i="7"/>
  <c r="T106" i="7"/>
  <c r="Y106" i="7" s="1"/>
  <c r="W105" i="7"/>
  <c r="V105" i="7"/>
  <c r="T105" i="7"/>
  <c r="Y105" i="7" s="1"/>
  <c r="Y104" i="7"/>
  <c r="W104" i="7"/>
  <c r="V104" i="7"/>
  <c r="T104" i="7"/>
  <c r="W103" i="7"/>
  <c r="V103" i="7"/>
  <c r="T103" i="7"/>
  <c r="Y103" i="7" s="1"/>
  <c r="Y102" i="7"/>
  <c r="W102" i="7"/>
  <c r="V102" i="7"/>
  <c r="W101" i="7"/>
  <c r="V101" i="7"/>
  <c r="T101" i="7"/>
  <c r="Y101" i="7" s="1"/>
  <c r="W100" i="7"/>
  <c r="V100" i="7"/>
  <c r="T100" i="7"/>
  <c r="Y100" i="7" s="1"/>
  <c r="Y99" i="7"/>
  <c r="W99" i="7"/>
  <c r="V99" i="7"/>
  <c r="T99" i="7"/>
  <c r="W98" i="7"/>
  <c r="V98" i="7"/>
  <c r="T98" i="7"/>
  <c r="Y98" i="7" s="1"/>
  <c r="Y97" i="7"/>
  <c r="W97" i="7"/>
  <c r="V97" i="7"/>
  <c r="T97" i="7"/>
  <c r="W96" i="7"/>
  <c r="V96" i="7"/>
  <c r="T96" i="7"/>
  <c r="Y96" i="7" s="1"/>
  <c r="W95" i="7"/>
  <c r="V95" i="7"/>
  <c r="T95" i="7"/>
  <c r="Y95" i="7" s="1"/>
  <c r="W94" i="7"/>
  <c r="V94" i="7"/>
  <c r="T94" i="7"/>
  <c r="Y94" i="7" s="1"/>
  <c r="W93" i="7"/>
  <c r="V93" i="7"/>
  <c r="T93" i="7"/>
  <c r="Y93" i="7" s="1"/>
  <c r="Y92" i="7"/>
  <c r="W92" i="7"/>
  <c r="V92" i="7"/>
  <c r="T92" i="7"/>
  <c r="W91" i="7"/>
  <c r="V91" i="7"/>
  <c r="T91" i="7"/>
  <c r="Y91" i="7" s="1"/>
  <c r="W90" i="7"/>
  <c r="V90" i="7"/>
  <c r="T90" i="7"/>
  <c r="Y90" i="7" s="1"/>
  <c r="W89" i="7"/>
  <c r="V89" i="7"/>
  <c r="T89" i="7"/>
  <c r="Y89" i="7" s="1"/>
  <c r="W88" i="7"/>
  <c r="V88" i="7"/>
  <c r="T88" i="7"/>
  <c r="Y88" i="7" s="1"/>
  <c r="W87" i="7"/>
  <c r="V87" i="7"/>
  <c r="T87" i="7"/>
  <c r="Y87" i="7" s="1"/>
  <c r="W86" i="7"/>
  <c r="V86" i="7"/>
  <c r="T86" i="7"/>
  <c r="Y86" i="7" s="1"/>
  <c r="W85" i="7"/>
  <c r="V85" i="7"/>
  <c r="T85" i="7"/>
  <c r="Y85" i="7" s="1"/>
  <c r="W84" i="7"/>
  <c r="V84" i="7"/>
  <c r="T84" i="7"/>
  <c r="Y84" i="7" s="1"/>
  <c r="Y83" i="7"/>
  <c r="W83" i="7"/>
  <c r="V83" i="7"/>
  <c r="T83" i="7"/>
  <c r="W82" i="7"/>
  <c r="V82" i="7"/>
  <c r="T82" i="7"/>
  <c r="Y82" i="7" s="1"/>
  <c r="Y81" i="7"/>
  <c r="W81" i="7"/>
  <c r="V81" i="7"/>
  <c r="T81" i="7"/>
  <c r="W80" i="7"/>
  <c r="V80" i="7"/>
  <c r="T80" i="7"/>
  <c r="Y80" i="7" s="1"/>
  <c r="W79" i="7"/>
  <c r="V79" i="7"/>
  <c r="T79" i="7"/>
  <c r="Y79" i="7" s="1"/>
  <c r="Y78" i="7"/>
  <c r="W78" i="7"/>
  <c r="V78" i="7"/>
  <c r="T78" i="7"/>
  <c r="W77" i="7"/>
  <c r="V77" i="7"/>
  <c r="T77" i="7"/>
  <c r="Y77" i="7" s="1"/>
  <c r="W76" i="7"/>
  <c r="V76" i="7"/>
  <c r="T76" i="7"/>
  <c r="Y76" i="7" s="1"/>
  <c r="W75" i="7"/>
  <c r="V75" i="7"/>
  <c r="T75" i="7"/>
  <c r="Y75" i="7" s="1"/>
  <c r="W74" i="7"/>
  <c r="V74" i="7"/>
  <c r="T74" i="7"/>
  <c r="Y74" i="7" s="1"/>
  <c r="W73" i="7"/>
  <c r="V73" i="7"/>
  <c r="T73" i="7"/>
  <c r="Y73" i="7" s="1"/>
  <c r="W72" i="7"/>
  <c r="V72" i="7"/>
  <c r="T72" i="7"/>
  <c r="Y72" i="7" s="1"/>
  <c r="W71" i="7"/>
  <c r="V71" i="7"/>
  <c r="T71" i="7"/>
  <c r="Y71" i="7" s="1"/>
  <c r="Y70" i="7"/>
  <c r="W70" i="7"/>
  <c r="V70" i="7"/>
  <c r="T70" i="7"/>
  <c r="W69" i="7"/>
  <c r="V69" i="7"/>
  <c r="T69" i="7"/>
  <c r="Y69" i="7" s="1"/>
  <c r="W68" i="7"/>
  <c r="V68" i="7"/>
  <c r="T68" i="7"/>
  <c r="Y68" i="7" s="1"/>
  <c r="Y67" i="7"/>
  <c r="W67" i="7"/>
  <c r="V67" i="7"/>
  <c r="T67" i="7"/>
  <c r="W66" i="7"/>
  <c r="V66" i="7"/>
  <c r="T66" i="7"/>
  <c r="Y66" i="7" s="1"/>
  <c r="Y65" i="7"/>
  <c r="W65" i="7"/>
  <c r="V65" i="7"/>
  <c r="T65" i="7"/>
  <c r="W64" i="7"/>
  <c r="V64" i="7"/>
  <c r="T64" i="7"/>
  <c r="Y64" i="7" s="1"/>
  <c r="W63" i="7"/>
  <c r="V63" i="7"/>
  <c r="T63" i="7"/>
  <c r="Y63" i="7" s="1"/>
  <c r="Y62" i="7"/>
  <c r="W62" i="7"/>
  <c r="V62" i="7"/>
  <c r="T62" i="7"/>
  <c r="W61" i="7"/>
  <c r="V61" i="7"/>
  <c r="T61" i="7"/>
  <c r="Y61" i="7" s="1"/>
  <c r="Y60" i="7"/>
  <c r="W60" i="7"/>
  <c r="V60" i="7"/>
  <c r="T60" i="7"/>
  <c r="W59" i="7"/>
  <c r="V59" i="7"/>
  <c r="T59" i="7"/>
  <c r="Y59" i="7" s="1"/>
  <c r="W58" i="7"/>
  <c r="V58" i="7"/>
  <c r="T58" i="7"/>
  <c r="Y58" i="7" s="1"/>
  <c r="W57" i="7"/>
  <c r="V57" i="7"/>
  <c r="T57" i="7"/>
  <c r="Y57" i="7" s="1"/>
  <c r="W56" i="7"/>
  <c r="V56" i="7"/>
  <c r="T56" i="7"/>
  <c r="Y56" i="7" s="1"/>
  <c r="W55" i="7"/>
  <c r="V55" i="7"/>
  <c r="T55" i="7"/>
  <c r="Y55" i="7" s="1"/>
  <c r="W54" i="7"/>
  <c r="V54" i="7"/>
  <c r="T54" i="7"/>
  <c r="Y54" i="7" s="1"/>
  <c r="W53" i="7"/>
  <c r="V53" i="7"/>
  <c r="T53" i="7"/>
  <c r="Y53" i="7" s="1"/>
  <c r="W52" i="7"/>
  <c r="V52" i="7"/>
  <c r="T52" i="7"/>
  <c r="Y52" i="7" s="1"/>
  <c r="W51" i="7"/>
  <c r="V51" i="7"/>
  <c r="T51" i="7"/>
  <c r="Y51" i="7" s="1"/>
  <c r="W50" i="7"/>
  <c r="V50" i="7"/>
  <c r="T50" i="7"/>
  <c r="Y50" i="7" s="1"/>
  <c r="W49" i="7"/>
  <c r="V49" i="7"/>
  <c r="T49" i="7"/>
  <c r="Y49" i="7" s="1"/>
  <c r="W48" i="7"/>
  <c r="V48" i="7"/>
  <c r="T48" i="7"/>
  <c r="Y48" i="7" s="1"/>
  <c r="W47" i="7"/>
  <c r="V47" i="7"/>
  <c r="T47" i="7"/>
  <c r="Y47" i="7" s="1"/>
  <c r="W46" i="7"/>
  <c r="V46" i="7"/>
  <c r="T46" i="7"/>
  <c r="Y46" i="7" s="1"/>
  <c r="W45" i="7"/>
  <c r="V45" i="7"/>
  <c r="T45" i="7"/>
  <c r="Y45" i="7" s="1"/>
  <c r="W44" i="7"/>
  <c r="V44" i="7"/>
  <c r="T44" i="7"/>
  <c r="Y44" i="7" s="1"/>
  <c r="W43" i="7"/>
  <c r="V43" i="7"/>
  <c r="T43" i="7"/>
  <c r="Y43" i="7" s="1"/>
  <c r="W42" i="7"/>
  <c r="V42" i="7"/>
  <c r="T42" i="7"/>
  <c r="Y42" i="7" s="1"/>
  <c r="W41" i="7"/>
  <c r="V41" i="7"/>
  <c r="T41" i="7"/>
  <c r="Y41" i="7" s="1"/>
  <c r="W40" i="7"/>
  <c r="V40" i="7"/>
  <c r="T40" i="7"/>
  <c r="Y40" i="7" s="1"/>
  <c r="W39" i="7"/>
  <c r="V39" i="7"/>
  <c r="T39" i="7"/>
  <c r="Y39" i="7" s="1"/>
  <c r="W38" i="7"/>
  <c r="V38" i="7"/>
  <c r="T38" i="7"/>
  <c r="Y38" i="7" s="1"/>
  <c r="Y37" i="7"/>
  <c r="W36" i="7"/>
  <c r="V36" i="7"/>
  <c r="T36" i="7"/>
  <c r="Y36" i="7" s="1"/>
  <c r="W35" i="7"/>
  <c r="V35" i="7"/>
  <c r="T35" i="7"/>
  <c r="Y35" i="7" s="1"/>
  <c r="Y34" i="7"/>
  <c r="W34" i="7"/>
  <c r="V34" i="7"/>
  <c r="T34" i="7"/>
  <c r="W33" i="7"/>
  <c r="V33" i="7"/>
  <c r="T33" i="7"/>
  <c r="Y33" i="7" s="1"/>
  <c r="W32" i="7"/>
  <c r="X31" i="7" s="1"/>
  <c r="V32" i="7"/>
  <c r="T32" i="7"/>
  <c r="Y32" i="7" s="1"/>
  <c r="Y31" i="7"/>
  <c r="W31" i="7"/>
  <c r="V31" i="7"/>
  <c r="W30" i="7"/>
  <c r="V30" i="7"/>
  <c r="T30" i="7"/>
  <c r="Y30" i="7" s="1"/>
  <c r="W29" i="7"/>
  <c r="V29" i="7"/>
  <c r="T29" i="7"/>
  <c r="Y29" i="7" s="1"/>
  <c r="W28" i="7"/>
  <c r="V28" i="7"/>
  <c r="T28" i="7"/>
  <c r="Y28" i="7" s="1"/>
  <c r="W27" i="7"/>
  <c r="V27" i="7"/>
  <c r="T27" i="7"/>
  <c r="Y27" i="7" s="1"/>
  <c r="W26" i="7"/>
  <c r="V26" i="7"/>
  <c r="T26" i="7"/>
  <c r="Y26" i="7" s="1"/>
  <c r="W25" i="7"/>
  <c r="V25" i="7"/>
  <c r="T25" i="7"/>
  <c r="Y25" i="7" s="1"/>
  <c r="W24" i="7"/>
  <c r="V24" i="7"/>
  <c r="T24" i="7"/>
  <c r="Y24" i="7" s="1"/>
  <c r="Y23" i="7"/>
  <c r="W23" i="7"/>
  <c r="V23" i="7"/>
  <c r="T23" i="7"/>
  <c r="W22" i="7"/>
  <c r="V22" i="7"/>
  <c r="T22" i="7"/>
  <c r="Y22" i="7" s="1"/>
  <c r="Y21" i="7"/>
  <c r="W21" i="7"/>
  <c r="V21" i="7"/>
  <c r="T21" i="7"/>
  <c r="W20" i="7"/>
  <c r="V20" i="7"/>
  <c r="T20" i="7"/>
  <c r="Y20" i="7" s="1"/>
  <c r="W19" i="7"/>
  <c r="V19" i="7"/>
  <c r="T19" i="7"/>
  <c r="Y19" i="7" s="1"/>
  <c r="W18" i="7"/>
  <c r="V18" i="7"/>
  <c r="T18" i="7"/>
  <c r="Y18" i="7" s="1"/>
  <c r="W17" i="7"/>
  <c r="V17" i="7"/>
  <c r="T17" i="7"/>
  <c r="Y17" i="7" s="1"/>
  <c r="Y16" i="7"/>
  <c r="W16" i="7"/>
  <c r="V16" i="7"/>
  <c r="T16" i="7"/>
  <c r="W15" i="7"/>
  <c r="V15" i="7"/>
  <c r="T15" i="7"/>
  <c r="Y15" i="7" s="1"/>
  <c r="W14" i="7"/>
  <c r="V14" i="7"/>
  <c r="T14" i="7"/>
  <c r="Y14" i="7" s="1"/>
  <c r="W13" i="7"/>
  <c r="V13" i="7"/>
  <c r="T13" i="7"/>
  <c r="Y13" i="7" s="1"/>
  <c r="W12" i="7"/>
  <c r="V12" i="7"/>
  <c r="T12" i="7"/>
  <c r="Y12" i="7" s="1"/>
  <c r="W11" i="7"/>
  <c r="V11" i="7"/>
  <c r="T11" i="7"/>
  <c r="Y11" i="7" s="1"/>
  <c r="W10" i="7"/>
  <c r="V10" i="7"/>
  <c r="T10" i="7"/>
  <c r="Y10" i="7" s="1"/>
  <c r="W9" i="7"/>
  <c r="V9" i="7"/>
  <c r="Y9" i="7"/>
  <c r="W8" i="7"/>
  <c r="V8" i="7"/>
  <c r="T8" i="7"/>
  <c r="Y8" i="7" s="1"/>
  <c r="W7" i="7"/>
  <c r="V7" i="7"/>
  <c r="T7" i="7"/>
  <c r="Y7" i="7" s="1"/>
  <c r="W6" i="7"/>
  <c r="V6" i="7"/>
  <c r="U6" i="7"/>
  <c r="T6" i="7"/>
  <c r="Y6" i="7" s="1"/>
  <c r="G4" i="7"/>
  <c r="R197" i="5"/>
  <c r="Q199" i="5" s="1"/>
  <c r="R196" i="5"/>
  <c r="O190" i="5"/>
  <c r="O191" i="5" s="1"/>
  <c r="R190" i="5"/>
  <c r="R191" i="5" s="1"/>
  <c r="N190" i="5"/>
  <c r="N191" i="5" s="1"/>
  <c r="H190" i="5"/>
  <c r="W187" i="5" s="1"/>
  <c r="T188" i="5"/>
  <c r="M188" i="5"/>
  <c r="T187" i="5"/>
  <c r="M187" i="5"/>
  <c r="T186" i="5"/>
  <c r="M186" i="5"/>
  <c r="T185" i="5"/>
  <c r="M185" i="5"/>
  <c r="T184" i="5"/>
  <c r="Y184" i="5" s="1"/>
  <c r="M184" i="5"/>
  <c r="T183" i="5"/>
  <c r="M183" i="5"/>
  <c r="T182" i="5"/>
  <c r="Y182" i="5" s="1"/>
  <c r="M182" i="5"/>
  <c r="T181" i="5"/>
  <c r="M181" i="5"/>
  <c r="T180" i="5"/>
  <c r="M180" i="5"/>
  <c r="T179" i="5"/>
  <c r="M179" i="5"/>
  <c r="T178" i="5"/>
  <c r="M178" i="5"/>
  <c r="T177" i="5"/>
  <c r="M177" i="5"/>
  <c r="T176" i="5"/>
  <c r="M176" i="5"/>
  <c r="T174" i="5"/>
  <c r="M174" i="5"/>
  <c r="V173" i="5"/>
  <c r="T173" i="5"/>
  <c r="M173" i="5"/>
  <c r="T172" i="5"/>
  <c r="M172" i="5"/>
  <c r="T171" i="5"/>
  <c r="M171" i="5"/>
  <c r="T170" i="5"/>
  <c r="M170" i="5"/>
  <c r="T169" i="5"/>
  <c r="Y169" i="5" s="1"/>
  <c r="M169" i="5"/>
  <c r="T168" i="5"/>
  <c r="M168" i="5"/>
  <c r="T167" i="5"/>
  <c r="M167" i="5"/>
  <c r="W166" i="5"/>
  <c r="T166" i="5"/>
  <c r="Y166" i="5" s="1"/>
  <c r="M166" i="5"/>
  <c r="T165" i="5"/>
  <c r="M165" i="5"/>
  <c r="T164" i="5"/>
  <c r="M164" i="5"/>
  <c r="T163" i="5"/>
  <c r="Y163" i="5" s="1"/>
  <c r="M163" i="5"/>
  <c r="T162" i="5"/>
  <c r="M162" i="5"/>
  <c r="T160" i="5"/>
  <c r="Y160" i="5" s="1"/>
  <c r="M160" i="5"/>
  <c r="V159" i="5"/>
  <c r="T159" i="5"/>
  <c r="Y159" i="5" s="1"/>
  <c r="M159" i="5"/>
  <c r="T158" i="5"/>
  <c r="M158" i="5"/>
  <c r="T157" i="5"/>
  <c r="M157" i="5"/>
  <c r="W156" i="5"/>
  <c r="T156" i="5"/>
  <c r="M156" i="5"/>
  <c r="T155" i="5"/>
  <c r="M155" i="5"/>
  <c r="V154" i="5"/>
  <c r="T154" i="5"/>
  <c r="M154" i="5"/>
  <c r="T153" i="5"/>
  <c r="M153" i="5"/>
  <c r="T152" i="5"/>
  <c r="M152" i="5"/>
  <c r="T151" i="5"/>
  <c r="M151" i="5"/>
  <c r="T150" i="5"/>
  <c r="M150" i="5"/>
  <c r="W149" i="5"/>
  <c r="V149" i="5"/>
  <c r="T149" i="5"/>
  <c r="M149" i="5"/>
  <c r="T148" i="5"/>
  <c r="M148" i="5"/>
  <c r="T147" i="5"/>
  <c r="Y147" i="5" s="1"/>
  <c r="M147" i="5"/>
  <c r="T146" i="5"/>
  <c r="Y146" i="5" s="1"/>
  <c r="M146" i="5"/>
  <c r="T145" i="5"/>
  <c r="M145" i="5"/>
  <c r="T144" i="5"/>
  <c r="Y144" i="5" s="1"/>
  <c r="M144" i="5"/>
  <c r="T143" i="5"/>
  <c r="Y143" i="5" s="1"/>
  <c r="M143" i="5"/>
  <c r="T142" i="5"/>
  <c r="M142" i="5"/>
  <c r="V141" i="5"/>
  <c r="T141" i="5"/>
  <c r="M141" i="5"/>
  <c r="T140" i="5"/>
  <c r="M140" i="5"/>
  <c r="T139" i="5"/>
  <c r="M139" i="5"/>
  <c r="T138" i="5"/>
  <c r="M138" i="5"/>
  <c r="W137" i="5"/>
  <c r="T137" i="5"/>
  <c r="Y137" i="5" s="1"/>
  <c r="M137" i="5"/>
  <c r="T136" i="5"/>
  <c r="M136" i="5"/>
  <c r="V135" i="5"/>
  <c r="T135" i="5"/>
  <c r="M135" i="5"/>
  <c r="T134" i="5"/>
  <c r="M134" i="5"/>
  <c r="T133" i="5"/>
  <c r="M133" i="5"/>
  <c r="T132" i="5"/>
  <c r="M132" i="5"/>
  <c r="T131" i="5"/>
  <c r="Y131" i="5" s="1"/>
  <c r="M131" i="5"/>
  <c r="T130" i="5"/>
  <c r="Y130" i="5" s="1"/>
  <c r="M130" i="5"/>
  <c r="T129" i="5"/>
  <c r="M129" i="5"/>
  <c r="V128" i="5"/>
  <c r="T128" i="5"/>
  <c r="Y128" i="5" s="1"/>
  <c r="M128" i="5"/>
  <c r="W127" i="5"/>
  <c r="T127" i="5"/>
  <c r="M127" i="5"/>
  <c r="T126" i="5"/>
  <c r="M126" i="5"/>
  <c r="W125" i="5"/>
  <c r="T125" i="5"/>
  <c r="Y125" i="5" s="1"/>
  <c r="M125" i="5"/>
  <c r="T124" i="5"/>
  <c r="M124" i="5"/>
  <c r="T123" i="5"/>
  <c r="M123" i="5"/>
  <c r="W122" i="5"/>
  <c r="T122" i="5"/>
  <c r="M122" i="5"/>
  <c r="T121" i="5"/>
  <c r="M121" i="5"/>
  <c r="T120" i="5"/>
  <c r="M120" i="5"/>
  <c r="T119" i="5"/>
  <c r="M119" i="5"/>
  <c r="V118" i="5"/>
  <c r="T118" i="5"/>
  <c r="Y118" i="5" s="1"/>
  <c r="M118" i="5"/>
  <c r="T117" i="5"/>
  <c r="M117" i="5"/>
  <c r="T116" i="5"/>
  <c r="M116" i="5"/>
  <c r="W115" i="5"/>
  <c r="T115" i="5"/>
  <c r="M115" i="5"/>
  <c r="T114" i="5"/>
  <c r="M114" i="5"/>
  <c r="V113" i="5"/>
  <c r="T113" i="5"/>
  <c r="M113" i="5"/>
  <c r="T112" i="5"/>
  <c r="M112" i="5"/>
  <c r="T111" i="5"/>
  <c r="M111" i="5"/>
  <c r="W110" i="5"/>
  <c r="T110" i="5"/>
  <c r="M110" i="5"/>
  <c r="T109" i="5"/>
  <c r="M109" i="5"/>
  <c r="T108" i="5"/>
  <c r="M108" i="5"/>
  <c r="T107" i="5"/>
  <c r="M107" i="5"/>
  <c r="W106" i="5"/>
  <c r="V106" i="5"/>
  <c r="T106" i="5"/>
  <c r="M106" i="5"/>
  <c r="T105" i="5"/>
  <c r="M105" i="5"/>
  <c r="T104" i="5"/>
  <c r="Y104" i="5" s="1"/>
  <c r="M104" i="5"/>
  <c r="V103" i="5"/>
  <c r="T103" i="5"/>
  <c r="M103" i="5"/>
  <c r="T101" i="5"/>
  <c r="M101" i="5"/>
  <c r="T100" i="5"/>
  <c r="M100" i="5"/>
  <c r="T99" i="5"/>
  <c r="Y99" i="5" s="1"/>
  <c r="M99" i="5"/>
  <c r="T98" i="5"/>
  <c r="M98" i="5"/>
  <c r="T97" i="5"/>
  <c r="M97" i="5"/>
  <c r="V96" i="5"/>
  <c r="T96" i="5"/>
  <c r="Y96" i="5" s="1"/>
  <c r="M96" i="5"/>
  <c r="T95" i="5"/>
  <c r="M95" i="5"/>
  <c r="V94" i="5"/>
  <c r="T94" i="5"/>
  <c r="M94" i="5"/>
  <c r="T93" i="5"/>
  <c r="M93" i="5"/>
  <c r="T92" i="5"/>
  <c r="Y92" i="5" s="1"/>
  <c r="M92" i="5"/>
  <c r="T91" i="5"/>
  <c r="M91" i="5"/>
  <c r="W90" i="5"/>
  <c r="V90" i="5"/>
  <c r="T90" i="5"/>
  <c r="M90" i="5"/>
  <c r="T89" i="5"/>
  <c r="M89" i="5"/>
  <c r="W88" i="5"/>
  <c r="V88" i="5"/>
  <c r="T88" i="5"/>
  <c r="M88" i="5"/>
  <c r="T87" i="5"/>
  <c r="M87" i="5"/>
  <c r="V86" i="5"/>
  <c r="T86" i="5"/>
  <c r="M86" i="5"/>
  <c r="T85" i="5"/>
  <c r="M85" i="5"/>
  <c r="T84" i="5"/>
  <c r="M84" i="5"/>
  <c r="T83" i="5"/>
  <c r="M83" i="5"/>
  <c r="W82" i="5"/>
  <c r="V82" i="5"/>
  <c r="T82" i="5"/>
  <c r="M82" i="5"/>
  <c r="T81" i="5"/>
  <c r="M81" i="5"/>
  <c r="V80" i="5"/>
  <c r="T80" i="5"/>
  <c r="Y80" i="5" s="1"/>
  <c r="M80" i="5"/>
  <c r="T79" i="5"/>
  <c r="M79" i="5"/>
  <c r="T78" i="5"/>
  <c r="M78" i="5"/>
  <c r="T77" i="5"/>
  <c r="Y77" i="5" s="1"/>
  <c r="M77" i="5"/>
  <c r="W76" i="5"/>
  <c r="T76" i="5"/>
  <c r="M76" i="5"/>
  <c r="V75" i="5"/>
  <c r="T75" i="5"/>
  <c r="M75" i="5"/>
  <c r="T74" i="5"/>
  <c r="M74" i="5"/>
  <c r="T73" i="5"/>
  <c r="M73" i="5"/>
  <c r="T72" i="5"/>
  <c r="Y72" i="5" s="1"/>
  <c r="M72" i="5"/>
  <c r="V71" i="5"/>
  <c r="T71" i="5"/>
  <c r="M71" i="5"/>
  <c r="T70" i="5"/>
  <c r="M70" i="5"/>
  <c r="V69" i="5"/>
  <c r="T69" i="5"/>
  <c r="M69" i="5"/>
  <c r="T68" i="5"/>
  <c r="Y68" i="5" s="1"/>
  <c r="M68" i="5"/>
  <c r="T67" i="5"/>
  <c r="M67" i="5"/>
  <c r="T66" i="5"/>
  <c r="Y66" i="5" s="1"/>
  <c r="M66" i="5"/>
  <c r="V65" i="5"/>
  <c r="T65" i="5"/>
  <c r="M65" i="5"/>
  <c r="T64" i="5"/>
  <c r="M64" i="5"/>
  <c r="T63" i="5"/>
  <c r="M63" i="5"/>
  <c r="T62" i="5"/>
  <c r="Y62" i="5" s="1"/>
  <c r="M62" i="5"/>
  <c r="V61" i="5"/>
  <c r="T61" i="5"/>
  <c r="M61" i="5"/>
  <c r="T60" i="5"/>
  <c r="M60" i="5"/>
  <c r="V59" i="5"/>
  <c r="T59" i="5"/>
  <c r="M59" i="5"/>
  <c r="T58" i="5"/>
  <c r="Y58" i="5" s="1"/>
  <c r="M58" i="5"/>
  <c r="T57" i="5"/>
  <c r="M57" i="5"/>
  <c r="W56" i="5"/>
  <c r="V56" i="5"/>
  <c r="T56" i="5"/>
  <c r="M56" i="5"/>
  <c r="T55" i="5"/>
  <c r="M55" i="5"/>
  <c r="V54" i="5"/>
  <c r="T54" i="5"/>
  <c r="M54" i="5"/>
  <c r="T53" i="5"/>
  <c r="M53" i="5"/>
  <c r="T52" i="5"/>
  <c r="M52" i="5"/>
  <c r="T51" i="5"/>
  <c r="Y51" i="5" s="1"/>
  <c r="M51" i="5"/>
  <c r="W50" i="5"/>
  <c r="T50" i="5"/>
  <c r="Y50" i="5" s="1"/>
  <c r="M50" i="5"/>
  <c r="T49" i="5"/>
  <c r="M49" i="5"/>
  <c r="W48" i="5"/>
  <c r="T48" i="5"/>
  <c r="M48" i="5"/>
  <c r="V47" i="5"/>
  <c r="T47" i="5"/>
  <c r="Y47" i="5" s="1"/>
  <c r="M47" i="5"/>
  <c r="T46" i="5"/>
  <c r="M46" i="5"/>
  <c r="V45" i="5"/>
  <c r="T45" i="5"/>
  <c r="Y45" i="5" s="1"/>
  <c r="M45" i="5"/>
  <c r="W44" i="5"/>
  <c r="T44" i="5"/>
  <c r="M44" i="5"/>
  <c r="T43" i="5"/>
  <c r="Y43" i="5" s="1"/>
  <c r="M43" i="5"/>
  <c r="W42" i="5"/>
  <c r="T42" i="5"/>
  <c r="M42" i="5"/>
  <c r="T41" i="5"/>
  <c r="M41" i="5"/>
  <c r="W40" i="5"/>
  <c r="T40" i="5"/>
  <c r="M40" i="5"/>
  <c r="V39" i="5"/>
  <c r="T39" i="5"/>
  <c r="Y39" i="5" s="1"/>
  <c r="M39" i="5"/>
  <c r="T38" i="5"/>
  <c r="M38" i="5"/>
  <c r="W36" i="5"/>
  <c r="V36" i="5"/>
  <c r="T36" i="5"/>
  <c r="M36" i="5"/>
  <c r="T35" i="5"/>
  <c r="M35" i="5"/>
  <c r="T34" i="5"/>
  <c r="Y34" i="5" s="1"/>
  <c r="M34" i="5"/>
  <c r="T33" i="5"/>
  <c r="M33" i="5"/>
  <c r="W32" i="5"/>
  <c r="T32" i="5"/>
  <c r="M32" i="5"/>
  <c r="V30" i="5"/>
  <c r="T30" i="5"/>
  <c r="M30" i="5"/>
  <c r="T29" i="5"/>
  <c r="M29" i="5"/>
  <c r="T28" i="5"/>
  <c r="M28" i="5"/>
  <c r="T27" i="5"/>
  <c r="M27" i="5"/>
  <c r="W26" i="5"/>
  <c r="V26" i="5"/>
  <c r="T26" i="5"/>
  <c r="M26" i="5"/>
  <c r="T25" i="5"/>
  <c r="M25" i="5"/>
  <c r="W24" i="5"/>
  <c r="V24" i="5"/>
  <c r="T24" i="5"/>
  <c r="M24" i="5"/>
  <c r="T23" i="5"/>
  <c r="M23" i="5"/>
  <c r="V22" i="5"/>
  <c r="T22" i="5"/>
  <c r="M22" i="5"/>
  <c r="T21" i="5"/>
  <c r="M21" i="5"/>
  <c r="T20" i="5"/>
  <c r="M20" i="5"/>
  <c r="T19" i="5"/>
  <c r="M19" i="5"/>
  <c r="W18" i="5"/>
  <c r="V18" i="5"/>
  <c r="T18" i="5"/>
  <c r="M18" i="5"/>
  <c r="T17" i="5"/>
  <c r="M17" i="5"/>
  <c r="W16" i="5"/>
  <c r="T16" i="5"/>
  <c r="Y16" i="5" s="1"/>
  <c r="M16" i="5"/>
  <c r="T15" i="5"/>
  <c r="M15" i="5"/>
  <c r="T14" i="5"/>
  <c r="M14" i="5"/>
  <c r="T13" i="5"/>
  <c r="M13" i="5"/>
  <c r="W12" i="5"/>
  <c r="T12" i="5"/>
  <c r="Y12" i="5" s="1"/>
  <c r="M12" i="5"/>
  <c r="T11" i="5"/>
  <c r="M11" i="5"/>
  <c r="W10" i="5"/>
  <c r="T10" i="5"/>
  <c r="Y10" i="5" s="1"/>
  <c r="M10" i="5"/>
  <c r="T9" i="5"/>
  <c r="M9" i="5"/>
  <c r="T8" i="5"/>
  <c r="M8" i="5"/>
  <c r="T7" i="5"/>
  <c r="Y7" i="5" s="1"/>
  <c r="M7" i="5"/>
  <c r="W6" i="5"/>
  <c r="T6" i="5"/>
  <c r="Y6" i="5" s="1"/>
  <c r="M6" i="5"/>
  <c r="G4" i="5"/>
  <c r="O191" i="4"/>
  <c r="N191" i="4"/>
  <c r="O190" i="4"/>
  <c r="N190" i="4"/>
  <c r="H190" i="4"/>
  <c r="W185" i="4" s="1"/>
  <c r="T188" i="4"/>
  <c r="Y188" i="4" s="1"/>
  <c r="M188" i="4"/>
  <c r="T187" i="4"/>
  <c r="Y187" i="4" s="1"/>
  <c r="M187" i="4"/>
  <c r="T186" i="4"/>
  <c r="M186" i="4"/>
  <c r="T185" i="4"/>
  <c r="M185" i="4"/>
  <c r="T184" i="4"/>
  <c r="Y184" i="4" s="1"/>
  <c r="M184" i="4"/>
  <c r="T183" i="4"/>
  <c r="M183" i="4"/>
  <c r="T182" i="4"/>
  <c r="Y182" i="4" s="1"/>
  <c r="M182" i="4"/>
  <c r="T181" i="4"/>
  <c r="M181" i="4"/>
  <c r="T180" i="4"/>
  <c r="Y180" i="4" s="1"/>
  <c r="M180" i="4"/>
  <c r="T179" i="4"/>
  <c r="Y179" i="4" s="1"/>
  <c r="M179" i="4"/>
  <c r="T178" i="4"/>
  <c r="M178" i="4"/>
  <c r="T177" i="4"/>
  <c r="M177" i="4"/>
  <c r="T176" i="4"/>
  <c r="Y176" i="4" s="1"/>
  <c r="M176" i="4"/>
  <c r="T174" i="4"/>
  <c r="Y174" i="4" s="1"/>
  <c r="M174" i="4"/>
  <c r="T173" i="4"/>
  <c r="M173" i="4"/>
  <c r="W172" i="4"/>
  <c r="T172" i="4"/>
  <c r="Y172" i="4" s="1"/>
  <c r="M172" i="4"/>
  <c r="T171" i="4"/>
  <c r="M171" i="4"/>
  <c r="T170" i="4"/>
  <c r="Y170" i="4" s="1"/>
  <c r="M170" i="4"/>
  <c r="V169" i="4"/>
  <c r="T169" i="4"/>
  <c r="Y169" i="4" s="1"/>
  <c r="M169" i="4"/>
  <c r="T168" i="4"/>
  <c r="M168" i="4"/>
  <c r="Y167" i="4"/>
  <c r="T167" i="4"/>
  <c r="M167" i="4"/>
  <c r="T166" i="4"/>
  <c r="Y166" i="4" s="1"/>
  <c r="M166" i="4"/>
  <c r="T165" i="4"/>
  <c r="M165" i="4"/>
  <c r="W164" i="4"/>
  <c r="T164" i="4"/>
  <c r="Y164" i="4" s="1"/>
  <c r="M164" i="4"/>
  <c r="T163" i="4"/>
  <c r="M163" i="4"/>
  <c r="T162" i="4"/>
  <c r="Y162" i="4" s="1"/>
  <c r="M162" i="4"/>
  <c r="V161" i="4"/>
  <c r="T160" i="4"/>
  <c r="Y160" i="4" s="1"/>
  <c r="M160" i="4"/>
  <c r="V159" i="4"/>
  <c r="T159" i="4"/>
  <c r="Y159" i="4" s="1"/>
  <c r="M159" i="4"/>
  <c r="T158" i="4"/>
  <c r="M158" i="4"/>
  <c r="Y157" i="4"/>
  <c r="T157" i="4"/>
  <c r="M157" i="4"/>
  <c r="T156" i="4"/>
  <c r="Y156" i="4" s="1"/>
  <c r="M156" i="4"/>
  <c r="T155" i="4"/>
  <c r="M155" i="4"/>
  <c r="W154" i="4"/>
  <c r="T154" i="4"/>
  <c r="Y154" i="4" s="1"/>
  <c r="M154" i="4"/>
  <c r="T153" i="4"/>
  <c r="M153" i="4"/>
  <c r="T152" i="4"/>
  <c r="Y152" i="4" s="1"/>
  <c r="M152" i="4"/>
  <c r="V151" i="4"/>
  <c r="T151" i="4"/>
  <c r="Y151" i="4" s="1"/>
  <c r="M151" i="4"/>
  <c r="T150" i="4"/>
  <c r="M150" i="4"/>
  <c r="Y149" i="4"/>
  <c r="T149" i="4"/>
  <c r="M149" i="4"/>
  <c r="T148" i="4"/>
  <c r="Y148" i="4" s="1"/>
  <c r="M148" i="4"/>
  <c r="T147" i="4"/>
  <c r="M147" i="4"/>
  <c r="W146" i="4"/>
  <c r="T146" i="4"/>
  <c r="Y146" i="4" s="1"/>
  <c r="M146" i="4"/>
  <c r="T145" i="4"/>
  <c r="M145" i="4"/>
  <c r="T144" i="4"/>
  <c r="Y144" i="4" s="1"/>
  <c r="M144" i="4"/>
  <c r="V143" i="4"/>
  <c r="T143" i="4"/>
  <c r="Y143" i="4" s="1"/>
  <c r="M143" i="4"/>
  <c r="T142" i="4"/>
  <c r="M142" i="4"/>
  <c r="Y141" i="4"/>
  <c r="T141" i="4"/>
  <c r="M141" i="4"/>
  <c r="T140" i="4"/>
  <c r="Y140" i="4" s="1"/>
  <c r="M140" i="4"/>
  <c r="T139" i="4"/>
  <c r="M139" i="4"/>
  <c r="W138" i="4"/>
  <c r="T138" i="4"/>
  <c r="Y138" i="4" s="1"/>
  <c r="M138" i="4"/>
  <c r="T137" i="4"/>
  <c r="M137" i="4"/>
  <c r="T136" i="4"/>
  <c r="Y136" i="4" s="1"/>
  <c r="M136" i="4"/>
  <c r="V135" i="4"/>
  <c r="T135" i="4"/>
  <c r="Y135" i="4" s="1"/>
  <c r="M135" i="4"/>
  <c r="T134" i="4"/>
  <c r="M134" i="4"/>
  <c r="Y133" i="4"/>
  <c r="T133" i="4"/>
  <c r="M133" i="4"/>
  <c r="T132" i="4"/>
  <c r="Y132" i="4" s="1"/>
  <c r="M132" i="4"/>
  <c r="T131" i="4"/>
  <c r="M131" i="4"/>
  <c r="W130" i="4"/>
  <c r="T130" i="4"/>
  <c r="Y130" i="4" s="1"/>
  <c r="M130" i="4"/>
  <c r="T129" i="4"/>
  <c r="M129" i="4"/>
  <c r="T128" i="4"/>
  <c r="Y128" i="4" s="1"/>
  <c r="M128" i="4"/>
  <c r="V127" i="4"/>
  <c r="T127" i="4"/>
  <c r="Y127" i="4" s="1"/>
  <c r="M127" i="4"/>
  <c r="T126" i="4"/>
  <c r="M126" i="4"/>
  <c r="Y125" i="4"/>
  <c r="T125" i="4"/>
  <c r="M125" i="4"/>
  <c r="T124" i="4"/>
  <c r="Y124" i="4" s="1"/>
  <c r="M124" i="4"/>
  <c r="T123" i="4"/>
  <c r="M123" i="4"/>
  <c r="W122" i="4"/>
  <c r="T122" i="4"/>
  <c r="Y122" i="4" s="1"/>
  <c r="M122" i="4"/>
  <c r="T121" i="4"/>
  <c r="M121" i="4"/>
  <c r="T120" i="4"/>
  <c r="Y120" i="4" s="1"/>
  <c r="M120" i="4"/>
  <c r="V119" i="4"/>
  <c r="T119" i="4"/>
  <c r="Y119" i="4" s="1"/>
  <c r="M119" i="4"/>
  <c r="T118" i="4"/>
  <c r="M118" i="4"/>
  <c r="Y117" i="4"/>
  <c r="T117" i="4"/>
  <c r="M117" i="4"/>
  <c r="T116" i="4"/>
  <c r="Y116" i="4" s="1"/>
  <c r="M116" i="4"/>
  <c r="T115" i="4"/>
  <c r="M115" i="4"/>
  <c r="W114" i="4"/>
  <c r="T114" i="4"/>
  <c r="Y114" i="4" s="1"/>
  <c r="M114" i="4"/>
  <c r="T113" i="4"/>
  <c r="M113" i="4"/>
  <c r="T112" i="4"/>
  <c r="Y112" i="4" s="1"/>
  <c r="M112" i="4"/>
  <c r="V111" i="4"/>
  <c r="T111" i="4"/>
  <c r="Y111" i="4" s="1"/>
  <c r="M111" i="4"/>
  <c r="T110" i="4"/>
  <c r="M110" i="4"/>
  <c r="Y109" i="4"/>
  <c r="T109" i="4"/>
  <c r="M109" i="4"/>
  <c r="T108" i="4"/>
  <c r="Y108" i="4" s="1"/>
  <c r="M108" i="4"/>
  <c r="T107" i="4"/>
  <c r="M107" i="4"/>
  <c r="W106" i="4"/>
  <c r="T106" i="4"/>
  <c r="Y106" i="4" s="1"/>
  <c r="M106" i="4"/>
  <c r="T105" i="4"/>
  <c r="M105" i="4"/>
  <c r="T104" i="4"/>
  <c r="Y104" i="4" s="1"/>
  <c r="M104" i="4"/>
  <c r="V103" i="4"/>
  <c r="T103" i="4"/>
  <c r="Y103" i="4" s="1"/>
  <c r="M103" i="4"/>
  <c r="V101" i="4"/>
  <c r="T101" i="4"/>
  <c r="Y101" i="4" s="1"/>
  <c r="M101" i="4"/>
  <c r="T100" i="4"/>
  <c r="M100" i="4"/>
  <c r="Y99" i="4"/>
  <c r="T99" i="4"/>
  <c r="M99" i="4"/>
  <c r="T98" i="4"/>
  <c r="Y98" i="4" s="1"/>
  <c r="M98" i="4"/>
  <c r="T97" i="4"/>
  <c r="M97" i="4"/>
  <c r="W96" i="4"/>
  <c r="T96" i="4"/>
  <c r="Y96" i="4" s="1"/>
  <c r="M96" i="4"/>
  <c r="T95" i="4"/>
  <c r="M95" i="4"/>
  <c r="T94" i="4"/>
  <c r="Y94" i="4" s="1"/>
  <c r="M94" i="4"/>
  <c r="V93" i="4"/>
  <c r="T93" i="4"/>
  <c r="Y93" i="4" s="1"/>
  <c r="M93" i="4"/>
  <c r="T92" i="4"/>
  <c r="M92" i="4"/>
  <c r="Y91" i="4"/>
  <c r="T91" i="4"/>
  <c r="M91" i="4"/>
  <c r="T90" i="4"/>
  <c r="Y90" i="4" s="1"/>
  <c r="M90" i="4"/>
  <c r="T89" i="4"/>
  <c r="M89" i="4"/>
  <c r="W88" i="4"/>
  <c r="T88" i="4"/>
  <c r="Y88" i="4" s="1"/>
  <c r="M88" i="4"/>
  <c r="T87" i="4"/>
  <c r="M87" i="4"/>
  <c r="T86" i="4"/>
  <c r="Y86" i="4" s="1"/>
  <c r="M86" i="4"/>
  <c r="V85" i="4"/>
  <c r="T85" i="4"/>
  <c r="Y85" i="4" s="1"/>
  <c r="M85" i="4"/>
  <c r="T84" i="4"/>
  <c r="M84" i="4"/>
  <c r="Y83" i="4"/>
  <c r="T83" i="4"/>
  <c r="M83" i="4"/>
  <c r="T82" i="4"/>
  <c r="Y82" i="4" s="1"/>
  <c r="M82" i="4"/>
  <c r="T81" i="4"/>
  <c r="M81" i="4"/>
  <c r="W80" i="4"/>
  <c r="T80" i="4"/>
  <c r="Y80" i="4" s="1"/>
  <c r="M80" i="4"/>
  <c r="T79" i="4"/>
  <c r="M79" i="4"/>
  <c r="T78" i="4"/>
  <c r="Y78" i="4" s="1"/>
  <c r="M78" i="4"/>
  <c r="V77" i="4"/>
  <c r="T77" i="4"/>
  <c r="Y77" i="4" s="1"/>
  <c r="M77" i="4"/>
  <c r="T76" i="4"/>
  <c r="M76" i="4"/>
  <c r="Y75" i="4"/>
  <c r="T75" i="4"/>
  <c r="M75" i="4"/>
  <c r="T74" i="4"/>
  <c r="Y74" i="4" s="1"/>
  <c r="M74" i="4"/>
  <c r="T73" i="4"/>
  <c r="M73" i="4"/>
  <c r="W72" i="4"/>
  <c r="T72" i="4"/>
  <c r="Y72" i="4" s="1"/>
  <c r="M72" i="4"/>
  <c r="T71" i="4"/>
  <c r="M71" i="4"/>
  <c r="T70" i="4"/>
  <c r="Y70" i="4" s="1"/>
  <c r="M70" i="4"/>
  <c r="V69" i="4"/>
  <c r="T69" i="4"/>
  <c r="Y69" i="4" s="1"/>
  <c r="M69" i="4"/>
  <c r="T68" i="4"/>
  <c r="M68" i="4"/>
  <c r="Y67" i="4"/>
  <c r="T67" i="4"/>
  <c r="M67" i="4"/>
  <c r="T66" i="4"/>
  <c r="Y66" i="4" s="1"/>
  <c r="M66" i="4"/>
  <c r="T65" i="4"/>
  <c r="M65" i="4"/>
  <c r="W64" i="4"/>
  <c r="T64" i="4"/>
  <c r="Y64" i="4" s="1"/>
  <c r="M64" i="4"/>
  <c r="T63" i="4"/>
  <c r="M63" i="4"/>
  <c r="T62" i="4"/>
  <c r="Y62" i="4" s="1"/>
  <c r="M62" i="4"/>
  <c r="V61" i="4"/>
  <c r="T61" i="4"/>
  <c r="Y61" i="4" s="1"/>
  <c r="M61" i="4"/>
  <c r="T60" i="4"/>
  <c r="M60" i="4"/>
  <c r="Y59" i="4"/>
  <c r="T59" i="4"/>
  <c r="M59" i="4"/>
  <c r="T58" i="4"/>
  <c r="Y58" i="4" s="1"/>
  <c r="M58" i="4"/>
  <c r="T57" i="4"/>
  <c r="M57" i="4"/>
  <c r="W56" i="4"/>
  <c r="T56" i="4"/>
  <c r="Y56" i="4" s="1"/>
  <c r="M56" i="4"/>
  <c r="T55" i="4"/>
  <c r="M55" i="4"/>
  <c r="T54" i="4"/>
  <c r="Y54" i="4" s="1"/>
  <c r="M54" i="4"/>
  <c r="V53" i="4"/>
  <c r="T53" i="4"/>
  <c r="Y53" i="4" s="1"/>
  <c r="M53" i="4"/>
  <c r="T52" i="4"/>
  <c r="M52" i="4"/>
  <c r="Y51" i="4"/>
  <c r="T51" i="4"/>
  <c r="M51" i="4"/>
  <c r="T50" i="4"/>
  <c r="Y50" i="4" s="1"/>
  <c r="M50" i="4"/>
  <c r="T49" i="4"/>
  <c r="M49" i="4"/>
  <c r="W48" i="4"/>
  <c r="T48" i="4"/>
  <c r="Y48" i="4" s="1"/>
  <c r="M48" i="4"/>
  <c r="T47" i="4"/>
  <c r="M47" i="4"/>
  <c r="T46" i="4"/>
  <c r="Y46" i="4" s="1"/>
  <c r="M46" i="4"/>
  <c r="V45" i="4"/>
  <c r="T45" i="4"/>
  <c r="Y45" i="4" s="1"/>
  <c r="M45" i="4"/>
  <c r="T44" i="4"/>
  <c r="M44" i="4"/>
  <c r="Y43" i="4"/>
  <c r="T43" i="4"/>
  <c r="M43" i="4"/>
  <c r="T42" i="4"/>
  <c r="Y42" i="4" s="1"/>
  <c r="M42" i="4"/>
  <c r="T41" i="4"/>
  <c r="M41" i="4"/>
  <c r="W40" i="4"/>
  <c r="T40" i="4"/>
  <c r="Y40" i="4" s="1"/>
  <c r="M40" i="4"/>
  <c r="T39" i="4"/>
  <c r="M39" i="4"/>
  <c r="T38" i="4"/>
  <c r="Y38" i="4" s="1"/>
  <c r="M38" i="4"/>
  <c r="V37" i="4"/>
  <c r="T36" i="4"/>
  <c r="Y36" i="4" s="1"/>
  <c r="M36" i="4"/>
  <c r="V35" i="4"/>
  <c r="T35" i="4"/>
  <c r="Y35" i="4" s="1"/>
  <c r="M35" i="4"/>
  <c r="T34" i="4"/>
  <c r="M34" i="4"/>
  <c r="Y33" i="4"/>
  <c r="T33" i="4"/>
  <c r="M33" i="4"/>
  <c r="T32" i="4"/>
  <c r="Y32" i="4" s="1"/>
  <c r="M32" i="4"/>
  <c r="T30" i="4"/>
  <c r="Y30" i="4" s="1"/>
  <c r="M30" i="4"/>
  <c r="T29" i="4"/>
  <c r="M29" i="4"/>
  <c r="W28" i="4"/>
  <c r="T28" i="4"/>
  <c r="Y28" i="4" s="1"/>
  <c r="M28" i="4"/>
  <c r="T27" i="4"/>
  <c r="M27" i="4"/>
  <c r="T26" i="4"/>
  <c r="Y26" i="4" s="1"/>
  <c r="M26" i="4"/>
  <c r="V25" i="4"/>
  <c r="T25" i="4"/>
  <c r="Y25" i="4" s="1"/>
  <c r="M25" i="4"/>
  <c r="T24" i="4"/>
  <c r="M24" i="4"/>
  <c r="Y23" i="4"/>
  <c r="T23" i="4"/>
  <c r="M23" i="4"/>
  <c r="T22" i="4"/>
  <c r="Y22" i="4" s="1"/>
  <c r="M22" i="4"/>
  <c r="T21" i="4"/>
  <c r="M21" i="4"/>
  <c r="W20" i="4"/>
  <c r="T20" i="4"/>
  <c r="Y20" i="4" s="1"/>
  <c r="M20" i="4"/>
  <c r="T19" i="4"/>
  <c r="M19" i="4"/>
  <c r="T18" i="4"/>
  <c r="Y18" i="4" s="1"/>
  <c r="M18" i="4"/>
  <c r="V17" i="4"/>
  <c r="T17" i="4"/>
  <c r="Y17" i="4" s="1"/>
  <c r="M17" i="4"/>
  <c r="T16" i="4"/>
  <c r="M16" i="4"/>
  <c r="Y15" i="4"/>
  <c r="T15" i="4"/>
  <c r="M15" i="4"/>
  <c r="T14" i="4"/>
  <c r="Y14" i="4" s="1"/>
  <c r="M14" i="4"/>
  <c r="T13" i="4"/>
  <c r="Y13" i="4" s="1"/>
  <c r="M13" i="4"/>
  <c r="W12" i="4"/>
  <c r="T12" i="4"/>
  <c r="Y12" i="4" s="1"/>
  <c r="M12" i="4"/>
  <c r="W11" i="4"/>
  <c r="T11" i="4"/>
  <c r="M11" i="4"/>
  <c r="T10" i="4"/>
  <c r="Y10" i="4" s="1"/>
  <c r="M10" i="4"/>
  <c r="V9" i="4"/>
  <c r="T9" i="4"/>
  <c r="Y9" i="4" s="1"/>
  <c r="M9" i="4"/>
  <c r="V8" i="4"/>
  <c r="T8" i="4"/>
  <c r="M8" i="4"/>
  <c r="Y7" i="4"/>
  <c r="T7" i="4"/>
  <c r="M7" i="4"/>
  <c r="T6" i="4"/>
  <c r="Y6" i="4" s="1"/>
  <c r="M6" i="4"/>
  <c r="G4" i="4"/>
  <c r="O191" i="3"/>
  <c r="N191" i="3"/>
  <c r="O190" i="3"/>
  <c r="N190" i="3"/>
  <c r="H190" i="3"/>
  <c r="Y188" i="3" s="1"/>
  <c r="T188" i="3"/>
  <c r="M188" i="3"/>
  <c r="T187" i="3"/>
  <c r="Y187" i="3" s="1"/>
  <c r="M187" i="3"/>
  <c r="T186" i="3"/>
  <c r="M186" i="3"/>
  <c r="T185" i="3"/>
  <c r="M185" i="3"/>
  <c r="T184" i="3"/>
  <c r="Y184" i="3" s="1"/>
  <c r="M184" i="3"/>
  <c r="T183" i="3"/>
  <c r="M183" i="3"/>
  <c r="T182" i="3"/>
  <c r="Y182" i="3" s="1"/>
  <c r="M182" i="3"/>
  <c r="T181" i="3"/>
  <c r="Y181" i="3" s="1"/>
  <c r="M181" i="3"/>
  <c r="T180" i="3"/>
  <c r="M180" i="3"/>
  <c r="T179" i="3"/>
  <c r="Y179" i="3" s="1"/>
  <c r="M179" i="3"/>
  <c r="T178" i="3"/>
  <c r="M178" i="3"/>
  <c r="T177" i="3"/>
  <c r="M177" i="3"/>
  <c r="T176" i="3"/>
  <c r="Y176" i="3" s="1"/>
  <c r="M176" i="3"/>
  <c r="T175" i="3"/>
  <c r="M175" i="3"/>
  <c r="W174" i="3"/>
  <c r="T174" i="3"/>
  <c r="Y174" i="3" s="1"/>
  <c r="M174" i="3"/>
  <c r="T173" i="3"/>
  <c r="Y173" i="3" s="1"/>
  <c r="M173" i="3"/>
  <c r="T172" i="3"/>
  <c r="M172" i="3"/>
  <c r="V171" i="3"/>
  <c r="T171" i="3"/>
  <c r="Y171" i="3" s="1"/>
  <c r="M171" i="3"/>
  <c r="T170" i="3"/>
  <c r="M170" i="3"/>
  <c r="Y169" i="3"/>
  <c r="T169" i="3"/>
  <c r="M169" i="3"/>
  <c r="T168" i="3"/>
  <c r="Y168" i="3" s="1"/>
  <c r="M168" i="3"/>
  <c r="T167" i="3"/>
  <c r="M167" i="3"/>
  <c r="W166" i="3"/>
  <c r="T166" i="3"/>
  <c r="Y166" i="3" s="1"/>
  <c r="M166" i="3"/>
  <c r="T165" i="3"/>
  <c r="Y165" i="3" s="1"/>
  <c r="M165" i="3"/>
  <c r="T164" i="3"/>
  <c r="M164" i="3"/>
  <c r="V163" i="3"/>
  <c r="T163" i="3"/>
  <c r="Y163" i="3" s="1"/>
  <c r="M163" i="3"/>
  <c r="T162" i="3"/>
  <c r="M162" i="3"/>
  <c r="Y161" i="3"/>
  <c r="T161" i="3"/>
  <c r="M161" i="3"/>
  <c r="T160" i="3"/>
  <c r="Y160" i="3" s="1"/>
  <c r="M160" i="3"/>
  <c r="T159" i="3"/>
  <c r="M159" i="3"/>
  <c r="W158" i="3"/>
  <c r="T158" i="3"/>
  <c r="Y158" i="3" s="1"/>
  <c r="M158" i="3"/>
  <c r="T157" i="3"/>
  <c r="Y157" i="3" s="1"/>
  <c r="M157" i="3"/>
  <c r="T156" i="3"/>
  <c r="M156" i="3"/>
  <c r="V155" i="3"/>
  <c r="T155" i="3"/>
  <c r="Y155" i="3" s="1"/>
  <c r="M155" i="3"/>
  <c r="T154" i="3"/>
  <c r="M154" i="3"/>
  <c r="Y153" i="3"/>
  <c r="T153" i="3"/>
  <c r="M153" i="3"/>
  <c r="T152" i="3"/>
  <c r="Y152" i="3" s="1"/>
  <c r="M152" i="3"/>
  <c r="T151" i="3"/>
  <c r="M151" i="3"/>
  <c r="W150" i="3"/>
  <c r="T150" i="3"/>
  <c r="Y150" i="3" s="1"/>
  <c r="M150" i="3"/>
  <c r="T149" i="3"/>
  <c r="Y149" i="3" s="1"/>
  <c r="M149" i="3"/>
  <c r="T148" i="3"/>
  <c r="M148" i="3"/>
  <c r="V147" i="3"/>
  <c r="T147" i="3"/>
  <c r="Y147" i="3" s="1"/>
  <c r="M147" i="3"/>
  <c r="T146" i="3"/>
  <c r="M146" i="3"/>
  <c r="Y145" i="3"/>
  <c r="T145" i="3"/>
  <c r="M145" i="3"/>
  <c r="T144" i="3"/>
  <c r="Y144" i="3" s="1"/>
  <c r="M144" i="3"/>
  <c r="T143" i="3"/>
  <c r="M143" i="3"/>
  <c r="W142" i="3"/>
  <c r="T142" i="3"/>
  <c r="Y142" i="3" s="1"/>
  <c r="M142" i="3"/>
  <c r="T141" i="3"/>
  <c r="Y141" i="3" s="1"/>
  <c r="M141" i="3"/>
  <c r="T140" i="3"/>
  <c r="M140" i="3"/>
  <c r="V139" i="3"/>
  <c r="T139" i="3"/>
  <c r="Y139" i="3" s="1"/>
  <c r="M139" i="3"/>
  <c r="T138" i="3"/>
  <c r="M138" i="3"/>
  <c r="Y137" i="3"/>
  <c r="T137" i="3"/>
  <c r="M137" i="3"/>
  <c r="T136" i="3"/>
  <c r="Y136" i="3" s="1"/>
  <c r="M136" i="3"/>
  <c r="T135" i="3"/>
  <c r="Y135" i="3" s="1"/>
  <c r="M135" i="3"/>
  <c r="W134" i="3"/>
  <c r="T134" i="3"/>
  <c r="Y134" i="3" s="1"/>
  <c r="M134" i="3"/>
  <c r="T133" i="3"/>
  <c r="Y133" i="3" s="1"/>
  <c r="M133" i="3"/>
  <c r="T132" i="3"/>
  <c r="M132" i="3"/>
  <c r="V131" i="3"/>
  <c r="T131" i="3"/>
  <c r="Y131" i="3" s="1"/>
  <c r="M131" i="3"/>
  <c r="T130" i="3"/>
  <c r="M130" i="3"/>
  <c r="Y129" i="3"/>
  <c r="T129" i="3"/>
  <c r="M129" i="3"/>
  <c r="T128" i="3"/>
  <c r="Y128" i="3" s="1"/>
  <c r="M128" i="3"/>
  <c r="T127" i="3"/>
  <c r="Y127" i="3" s="1"/>
  <c r="M127" i="3"/>
  <c r="W126" i="3"/>
  <c r="T126" i="3"/>
  <c r="Y126" i="3" s="1"/>
  <c r="M126" i="3"/>
  <c r="T125" i="3"/>
  <c r="Y125" i="3" s="1"/>
  <c r="M125" i="3"/>
  <c r="T124" i="3"/>
  <c r="M124" i="3"/>
  <c r="V123" i="3"/>
  <c r="T123" i="3"/>
  <c r="Y123" i="3" s="1"/>
  <c r="M123" i="3"/>
  <c r="T122" i="3"/>
  <c r="M122" i="3"/>
  <c r="Y121" i="3"/>
  <c r="T121" i="3"/>
  <c r="M121" i="3"/>
  <c r="T120" i="3"/>
  <c r="Y120" i="3" s="1"/>
  <c r="M120" i="3"/>
  <c r="T119" i="3"/>
  <c r="Y119" i="3" s="1"/>
  <c r="M119" i="3"/>
  <c r="W118" i="3"/>
  <c r="T118" i="3"/>
  <c r="Y118" i="3" s="1"/>
  <c r="M118" i="3"/>
  <c r="T117" i="3"/>
  <c r="Y117" i="3" s="1"/>
  <c r="M117" i="3"/>
  <c r="T116" i="3"/>
  <c r="M116" i="3"/>
  <c r="V115" i="3"/>
  <c r="T115" i="3"/>
  <c r="Y115" i="3" s="1"/>
  <c r="M115" i="3"/>
  <c r="T114" i="3"/>
  <c r="M114" i="3"/>
  <c r="Y113" i="3"/>
  <c r="T113" i="3"/>
  <c r="M113" i="3"/>
  <c r="T112" i="3"/>
  <c r="Y112" i="3" s="1"/>
  <c r="M112" i="3"/>
  <c r="T111" i="3"/>
  <c r="Y111" i="3" s="1"/>
  <c r="M111" i="3"/>
  <c r="W110" i="3"/>
  <c r="T110" i="3"/>
  <c r="Y110" i="3" s="1"/>
  <c r="M110" i="3"/>
  <c r="T109" i="3"/>
  <c r="Y109" i="3" s="1"/>
  <c r="M109" i="3"/>
  <c r="T108" i="3"/>
  <c r="M108" i="3"/>
  <c r="V107" i="3"/>
  <c r="T107" i="3"/>
  <c r="Y107" i="3" s="1"/>
  <c r="M107" i="3"/>
  <c r="V106" i="3"/>
  <c r="T106" i="3"/>
  <c r="M106" i="3"/>
  <c r="Y105" i="3"/>
  <c r="V105" i="3"/>
  <c r="T105" i="3"/>
  <c r="M105" i="3"/>
  <c r="T104" i="3"/>
  <c r="Y104" i="3" s="1"/>
  <c r="M104" i="3"/>
  <c r="T103" i="3"/>
  <c r="Y103" i="3" s="1"/>
  <c r="M103" i="3"/>
  <c r="W102" i="3"/>
  <c r="T102" i="3"/>
  <c r="Y102" i="3" s="1"/>
  <c r="M102" i="3"/>
  <c r="W101" i="3"/>
  <c r="T101" i="3"/>
  <c r="Y101" i="3" s="1"/>
  <c r="M101" i="3"/>
  <c r="T100" i="3"/>
  <c r="M100" i="3"/>
  <c r="V99" i="3"/>
  <c r="T99" i="3"/>
  <c r="Y99" i="3" s="1"/>
  <c r="M99" i="3"/>
  <c r="V98" i="3"/>
  <c r="T98" i="3"/>
  <c r="M98" i="3"/>
  <c r="Y97" i="3"/>
  <c r="T97" i="3"/>
  <c r="M97" i="3"/>
  <c r="T96" i="3"/>
  <c r="Y96" i="3" s="1"/>
  <c r="M96" i="3"/>
  <c r="T95" i="3"/>
  <c r="Y95" i="3" s="1"/>
  <c r="M95" i="3"/>
  <c r="W94" i="3"/>
  <c r="T94" i="3"/>
  <c r="Y94" i="3" s="1"/>
  <c r="M94" i="3"/>
  <c r="W93" i="3"/>
  <c r="T93" i="3"/>
  <c r="Y93" i="3" s="1"/>
  <c r="M93" i="3"/>
  <c r="T92" i="3"/>
  <c r="M92" i="3"/>
  <c r="V91" i="3"/>
  <c r="T91" i="3"/>
  <c r="Y91" i="3" s="1"/>
  <c r="M91" i="3"/>
  <c r="V90" i="3"/>
  <c r="T90" i="3"/>
  <c r="M90" i="3"/>
  <c r="Y89" i="3"/>
  <c r="T89" i="3"/>
  <c r="M89" i="3"/>
  <c r="T88" i="3"/>
  <c r="Y88" i="3" s="1"/>
  <c r="M88" i="3"/>
  <c r="T87" i="3"/>
  <c r="Y87" i="3" s="1"/>
  <c r="M87" i="3"/>
  <c r="W86" i="3"/>
  <c r="T86" i="3"/>
  <c r="Y86" i="3" s="1"/>
  <c r="M86" i="3"/>
  <c r="W85" i="3"/>
  <c r="T85" i="3"/>
  <c r="Y85" i="3" s="1"/>
  <c r="M85" i="3"/>
  <c r="T84" i="3"/>
  <c r="M84" i="3"/>
  <c r="V83" i="3"/>
  <c r="T83" i="3"/>
  <c r="Y83" i="3" s="1"/>
  <c r="M83" i="3"/>
  <c r="V82" i="3"/>
  <c r="T82" i="3"/>
  <c r="M82" i="3"/>
  <c r="Y81" i="3"/>
  <c r="T81" i="3"/>
  <c r="M81" i="3"/>
  <c r="T80" i="3"/>
  <c r="Y80" i="3" s="1"/>
  <c r="M80" i="3"/>
  <c r="W79" i="3"/>
  <c r="T79" i="3"/>
  <c r="Y79" i="3" s="1"/>
  <c r="M79" i="3"/>
  <c r="W78" i="3"/>
  <c r="T78" i="3"/>
  <c r="Y78" i="3" s="1"/>
  <c r="M78" i="3"/>
  <c r="W77" i="3"/>
  <c r="T77" i="3"/>
  <c r="M77" i="3"/>
  <c r="W76" i="3"/>
  <c r="V76" i="3"/>
  <c r="T76" i="3"/>
  <c r="M76" i="3"/>
  <c r="V75" i="3"/>
  <c r="T75" i="3"/>
  <c r="Y75" i="3" s="1"/>
  <c r="M75" i="3"/>
  <c r="Y74" i="3"/>
  <c r="V74" i="3"/>
  <c r="T74" i="3"/>
  <c r="M74" i="3"/>
  <c r="Y73" i="3"/>
  <c r="V73" i="3"/>
  <c r="T73" i="3"/>
  <c r="M73" i="3"/>
  <c r="T72" i="3"/>
  <c r="Y72" i="3" s="1"/>
  <c r="M72" i="3"/>
  <c r="W71" i="3"/>
  <c r="T71" i="3"/>
  <c r="Y71" i="3" s="1"/>
  <c r="M71" i="3"/>
  <c r="W70" i="3"/>
  <c r="T70" i="3"/>
  <c r="Y70" i="3" s="1"/>
  <c r="M70" i="3"/>
  <c r="W69" i="3"/>
  <c r="T69" i="3"/>
  <c r="M69" i="3"/>
  <c r="W68" i="3"/>
  <c r="V68" i="3"/>
  <c r="T68" i="3"/>
  <c r="M68" i="3"/>
  <c r="V67" i="3"/>
  <c r="T67" i="3"/>
  <c r="Y67" i="3" s="1"/>
  <c r="M67" i="3"/>
  <c r="Y66" i="3"/>
  <c r="V66" i="3"/>
  <c r="T66" i="3"/>
  <c r="M66" i="3"/>
  <c r="Y65" i="3"/>
  <c r="V65" i="3"/>
  <c r="T65" i="3"/>
  <c r="M65" i="3"/>
  <c r="T64" i="3"/>
  <c r="Y64" i="3" s="1"/>
  <c r="M64" i="3"/>
  <c r="W63" i="3"/>
  <c r="T63" i="3"/>
  <c r="Y63" i="3" s="1"/>
  <c r="M63" i="3"/>
  <c r="W62" i="3"/>
  <c r="T62" i="3"/>
  <c r="Y62" i="3" s="1"/>
  <c r="M62" i="3"/>
  <c r="W61" i="3"/>
  <c r="T61" i="3"/>
  <c r="M61" i="3"/>
  <c r="W60" i="3"/>
  <c r="V60" i="3"/>
  <c r="T60" i="3"/>
  <c r="M60" i="3"/>
  <c r="V59" i="3"/>
  <c r="T59" i="3"/>
  <c r="Y59" i="3" s="1"/>
  <c r="M59" i="3"/>
  <c r="Y58" i="3"/>
  <c r="V58" i="3"/>
  <c r="T58" i="3"/>
  <c r="M58" i="3"/>
  <c r="Y57" i="3"/>
  <c r="V57" i="3"/>
  <c r="T57" i="3"/>
  <c r="M57" i="3"/>
  <c r="T56" i="3"/>
  <c r="Y56" i="3" s="1"/>
  <c r="M56" i="3"/>
  <c r="W55" i="3"/>
  <c r="T55" i="3"/>
  <c r="Y55" i="3" s="1"/>
  <c r="M55" i="3"/>
  <c r="W54" i="3"/>
  <c r="T54" i="3"/>
  <c r="Y54" i="3" s="1"/>
  <c r="M54" i="3"/>
  <c r="W53" i="3"/>
  <c r="T53" i="3"/>
  <c r="M53" i="3"/>
  <c r="W52" i="3"/>
  <c r="V52" i="3"/>
  <c r="T52" i="3"/>
  <c r="M52" i="3"/>
  <c r="V51" i="3"/>
  <c r="T51" i="3"/>
  <c r="Y51" i="3" s="1"/>
  <c r="M51" i="3"/>
  <c r="Y50" i="3"/>
  <c r="V50" i="3"/>
  <c r="T50" i="3"/>
  <c r="M50" i="3"/>
  <c r="Y49" i="3"/>
  <c r="V49" i="3"/>
  <c r="T49" i="3"/>
  <c r="M49" i="3"/>
  <c r="T48" i="3"/>
  <c r="Y48" i="3" s="1"/>
  <c r="M48" i="3"/>
  <c r="W47" i="3"/>
  <c r="T47" i="3"/>
  <c r="Y47" i="3" s="1"/>
  <c r="M47" i="3"/>
  <c r="W46" i="3"/>
  <c r="T46" i="3"/>
  <c r="Y46" i="3" s="1"/>
  <c r="M46" i="3"/>
  <c r="W45" i="3"/>
  <c r="T45" i="3"/>
  <c r="M45" i="3"/>
  <c r="W44" i="3"/>
  <c r="V44" i="3"/>
  <c r="T44" i="3"/>
  <c r="M44" i="3"/>
  <c r="V43" i="3"/>
  <c r="T43" i="3"/>
  <c r="Y43" i="3" s="1"/>
  <c r="M43" i="3"/>
  <c r="Y42" i="3"/>
  <c r="V42" i="3"/>
  <c r="T42" i="3"/>
  <c r="M42" i="3"/>
  <c r="Y41" i="3"/>
  <c r="V41" i="3"/>
  <c r="T41" i="3"/>
  <c r="M41" i="3"/>
  <c r="Y40" i="3"/>
  <c r="T40" i="3"/>
  <c r="M40" i="3"/>
  <c r="W39" i="3"/>
  <c r="T39" i="3"/>
  <c r="Y39" i="3" s="1"/>
  <c r="M39" i="3"/>
  <c r="W38" i="3"/>
  <c r="T38" i="3"/>
  <c r="Y38" i="3" s="1"/>
  <c r="M38" i="3"/>
  <c r="W37" i="3"/>
  <c r="T37" i="3"/>
  <c r="M37" i="3"/>
  <c r="W36" i="3"/>
  <c r="V36" i="3"/>
  <c r="T36" i="3"/>
  <c r="M36" i="3"/>
  <c r="V35" i="3"/>
  <c r="T35" i="3"/>
  <c r="Y35" i="3" s="1"/>
  <c r="M35" i="3"/>
  <c r="Y34" i="3"/>
  <c r="V34" i="3"/>
  <c r="T34" i="3"/>
  <c r="M34" i="3"/>
  <c r="Y33" i="3"/>
  <c r="V33" i="3"/>
  <c r="T33" i="3"/>
  <c r="M33" i="3"/>
  <c r="T32" i="3"/>
  <c r="Y32" i="3" s="1"/>
  <c r="M32" i="3"/>
  <c r="W31" i="3"/>
  <c r="T31" i="3"/>
  <c r="Y31" i="3" s="1"/>
  <c r="M31" i="3"/>
  <c r="W30" i="3"/>
  <c r="T30" i="3"/>
  <c r="Y30" i="3" s="1"/>
  <c r="M30" i="3"/>
  <c r="W29" i="3"/>
  <c r="T29" i="3"/>
  <c r="M29" i="3"/>
  <c r="W28" i="3"/>
  <c r="V28" i="3"/>
  <c r="T28" i="3"/>
  <c r="M28" i="3"/>
  <c r="V27" i="3"/>
  <c r="T27" i="3"/>
  <c r="Y27" i="3" s="1"/>
  <c r="M27" i="3"/>
  <c r="Y26" i="3"/>
  <c r="V26" i="3"/>
  <c r="T26" i="3"/>
  <c r="M26" i="3"/>
  <c r="V25" i="3"/>
  <c r="T25" i="3"/>
  <c r="Y25" i="3" s="1"/>
  <c r="M25" i="3"/>
  <c r="T24" i="3"/>
  <c r="Y24" i="3" s="1"/>
  <c r="M24" i="3"/>
  <c r="W23" i="3"/>
  <c r="T23" i="3"/>
  <c r="Y23" i="3" s="1"/>
  <c r="M23" i="3"/>
  <c r="W22" i="3"/>
  <c r="T22" i="3"/>
  <c r="Y22" i="3" s="1"/>
  <c r="M22" i="3"/>
  <c r="W21" i="3"/>
  <c r="T21" i="3"/>
  <c r="M21" i="3"/>
  <c r="W20" i="3"/>
  <c r="V20" i="3"/>
  <c r="T20" i="3"/>
  <c r="M20" i="3"/>
  <c r="V19" i="3"/>
  <c r="T19" i="3"/>
  <c r="Y19" i="3" s="1"/>
  <c r="M19" i="3"/>
  <c r="Y18" i="3"/>
  <c r="V18" i="3"/>
  <c r="T18" i="3"/>
  <c r="M18" i="3"/>
  <c r="V17" i="3"/>
  <c r="T17" i="3"/>
  <c r="Y17" i="3" s="1"/>
  <c r="M17" i="3"/>
  <c r="T16" i="3"/>
  <c r="Y16" i="3" s="1"/>
  <c r="M16" i="3"/>
  <c r="W15" i="3"/>
  <c r="T15" i="3"/>
  <c r="Y15" i="3" s="1"/>
  <c r="M15" i="3"/>
  <c r="W14" i="3"/>
  <c r="T14" i="3"/>
  <c r="Y14" i="3" s="1"/>
  <c r="M14" i="3"/>
  <c r="W13" i="3"/>
  <c r="T13" i="3"/>
  <c r="M13" i="3"/>
  <c r="W12" i="3"/>
  <c r="V12" i="3"/>
  <c r="T12" i="3"/>
  <c r="M12" i="3"/>
  <c r="V11" i="3"/>
  <c r="T11" i="3"/>
  <c r="Y11" i="3" s="1"/>
  <c r="M11" i="3"/>
  <c r="Y10" i="3"/>
  <c r="V10" i="3"/>
  <c r="T10" i="3"/>
  <c r="M10" i="3"/>
  <c r="Y9" i="3"/>
  <c r="V9" i="3"/>
  <c r="T9" i="3"/>
  <c r="M9" i="3"/>
  <c r="Y8" i="3"/>
  <c r="T8" i="3"/>
  <c r="M8" i="3"/>
  <c r="Y7" i="3"/>
  <c r="W7" i="3"/>
  <c r="T7" i="3"/>
  <c r="M7" i="3"/>
  <c r="W6" i="3"/>
  <c r="T6" i="3"/>
  <c r="Y6" i="3" s="1"/>
  <c r="M6" i="3"/>
  <c r="G4" i="3"/>
  <c r="O190" i="2"/>
  <c r="O191" i="2" s="1"/>
  <c r="N190" i="2"/>
  <c r="N191" i="2" s="1"/>
  <c r="H190" i="2"/>
  <c r="W185" i="2" s="1"/>
  <c r="W188" i="2"/>
  <c r="T188" i="2"/>
  <c r="Y188" i="2" s="1"/>
  <c r="M188" i="2"/>
  <c r="V187" i="2"/>
  <c r="T187" i="2"/>
  <c r="M187" i="2"/>
  <c r="W186" i="2"/>
  <c r="V186" i="2"/>
  <c r="T186" i="2"/>
  <c r="Y186" i="2" s="1"/>
  <c r="M186" i="2"/>
  <c r="Y185" i="2"/>
  <c r="V185" i="2"/>
  <c r="T185" i="2"/>
  <c r="M185" i="2"/>
  <c r="Y184" i="2"/>
  <c r="W184" i="2"/>
  <c r="V184" i="2"/>
  <c r="T184" i="2"/>
  <c r="M184" i="2"/>
  <c r="V183" i="2"/>
  <c r="T183" i="2"/>
  <c r="Y183" i="2" s="1"/>
  <c r="M183" i="2"/>
  <c r="Y182" i="2"/>
  <c r="W182" i="2"/>
  <c r="T182" i="2"/>
  <c r="M182" i="2"/>
  <c r="W181" i="2"/>
  <c r="V181" i="2"/>
  <c r="T181" i="2"/>
  <c r="Y181" i="2" s="1"/>
  <c r="M181" i="2"/>
  <c r="W180" i="2"/>
  <c r="T180" i="2"/>
  <c r="Y180" i="2" s="1"/>
  <c r="M180" i="2"/>
  <c r="Y179" i="2"/>
  <c r="W179" i="2"/>
  <c r="V179" i="2"/>
  <c r="T179" i="2"/>
  <c r="M179" i="2"/>
  <c r="W178" i="2"/>
  <c r="V178" i="2"/>
  <c r="T178" i="2"/>
  <c r="Y178" i="2" s="1"/>
  <c r="M178" i="2"/>
  <c r="Y177" i="2"/>
  <c r="V177" i="2"/>
  <c r="T177" i="2"/>
  <c r="M177" i="2"/>
  <c r="Y176" i="2"/>
  <c r="W176" i="2"/>
  <c r="V176" i="2"/>
  <c r="T176" i="2"/>
  <c r="M176" i="2"/>
  <c r="Y175" i="2"/>
  <c r="V175" i="2"/>
  <c r="Y174" i="2"/>
  <c r="W174" i="2"/>
  <c r="V174" i="2"/>
  <c r="T174" i="2"/>
  <c r="M174" i="2"/>
  <c r="V173" i="2"/>
  <c r="T173" i="2"/>
  <c r="Y173" i="2" s="1"/>
  <c r="M173" i="2"/>
  <c r="Y172" i="2"/>
  <c r="W172" i="2"/>
  <c r="T172" i="2"/>
  <c r="M172" i="2"/>
  <c r="W171" i="2"/>
  <c r="V171" i="2"/>
  <c r="T171" i="2"/>
  <c r="Y171" i="2" s="1"/>
  <c r="M171" i="2"/>
  <c r="W170" i="2"/>
  <c r="V170" i="2"/>
  <c r="T170" i="2"/>
  <c r="Y170" i="2" s="1"/>
  <c r="M170" i="2"/>
  <c r="Y169" i="2"/>
  <c r="W169" i="2"/>
  <c r="V169" i="2"/>
  <c r="T169" i="2"/>
  <c r="M169" i="2"/>
  <c r="W168" i="2"/>
  <c r="V168" i="2"/>
  <c r="T168" i="2"/>
  <c r="Y168" i="2" s="1"/>
  <c r="M168" i="2"/>
  <c r="Y167" i="2"/>
  <c r="V167" i="2"/>
  <c r="T167" i="2"/>
  <c r="M167" i="2"/>
  <c r="Y166" i="2"/>
  <c r="W166" i="2"/>
  <c r="V166" i="2"/>
  <c r="T166" i="2"/>
  <c r="M166" i="2"/>
  <c r="W165" i="2"/>
  <c r="V165" i="2"/>
  <c r="T165" i="2"/>
  <c r="Y165" i="2" s="1"/>
  <c r="M165" i="2"/>
  <c r="Y164" i="2"/>
  <c r="W164" i="2"/>
  <c r="T164" i="2"/>
  <c r="M164" i="2"/>
  <c r="W163" i="2"/>
  <c r="V163" i="2"/>
  <c r="T163" i="2"/>
  <c r="Y163" i="2" s="1"/>
  <c r="M163" i="2"/>
  <c r="W162" i="2"/>
  <c r="V162" i="2"/>
  <c r="T162" i="2"/>
  <c r="Y162" i="2" s="1"/>
  <c r="M162" i="2"/>
  <c r="Y161" i="2"/>
  <c r="W161" i="2"/>
  <c r="V161" i="2"/>
  <c r="W160" i="2"/>
  <c r="V160" i="2"/>
  <c r="T160" i="2"/>
  <c r="Y160" i="2" s="1"/>
  <c r="M160" i="2"/>
  <c r="Y159" i="2"/>
  <c r="W159" i="2"/>
  <c r="V159" i="2"/>
  <c r="T159" i="2"/>
  <c r="M159" i="2"/>
  <c r="W158" i="2"/>
  <c r="V158" i="2"/>
  <c r="T158" i="2"/>
  <c r="Y158" i="2" s="1"/>
  <c r="M158" i="2"/>
  <c r="Y157" i="2"/>
  <c r="V157" i="2"/>
  <c r="T157" i="2"/>
  <c r="M157" i="2"/>
  <c r="Y156" i="2"/>
  <c r="W156" i="2"/>
  <c r="V156" i="2"/>
  <c r="T156" i="2"/>
  <c r="M156" i="2"/>
  <c r="W155" i="2"/>
  <c r="V155" i="2"/>
  <c r="T155" i="2"/>
  <c r="Y155" i="2" s="1"/>
  <c r="M155" i="2"/>
  <c r="Y154" i="2"/>
  <c r="W154" i="2"/>
  <c r="T154" i="2"/>
  <c r="M154" i="2"/>
  <c r="W153" i="2"/>
  <c r="V153" i="2"/>
  <c r="T153" i="2"/>
  <c r="Y153" i="2" s="1"/>
  <c r="M153" i="2"/>
  <c r="W152" i="2"/>
  <c r="V152" i="2"/>
  <c r="T152" i="2"/>
  <c r="Y152" i="2" s="1"/>
  <c r="M152" i="2"/>
  <c r="Y151" i="2"/>
  <c r="W151" i="2"/>
  <c r="V151" i="2"/>
  <c r="T151" i="2"/>
  <c r="M151" i="2"/>
  <c r="W150" i="2"/>
  <c r="V150" i="2"/>
  <c r="T150" i="2"/>
  <c r="Y150" i="2" s="1"/>
  <c r="M150" i="2"/>
  <c r="Y149" i="2"/>
  <c r="V149" i="2"/>
  <c r="T149" i="2"/>
  <c r="M149" i="2"/>
  <c r="Y148" i="2"/>
  <c r="W148" i="2"/>
  <c r="V148" i="2"/>
  <c r="T148" i="2"/>
  <c r="M148" i="2"/>
  <c r="W147" i="2"/>
  <c r="V147" i="2"/>
  <c r="T147" i="2"/>
  <c r="Y147" i="2" s="1"/>
  <c r="M147" i="2"/>
  <c r="Y146" i="2"/>
  <c r="W146" i="2"/>
  <c r="T146" i="2"/>
  <c r="M146" i="2"/>
  <c r="W145" i="2"/>
  <c r="V145" i="2"/>
  <c r="T145" i="2"/>
  <c r="Y145" i="2" s="1"/>
  <c r="M145" i="2"/>
  <c r="W144" i="2"/>
  <c r="V144" i="2"/>
  <c r="T144" i="2"/>
  <c r="Y144" i="2" s="1"/>
  <c r="M144" i="2"/>
  <c r="Y143" i="2"/>
  <c r="W143" i="2"/>
  <c r="V143" i="2"/>
  <c r="T143" i="2"/>
  <c r="M143" i="2"/>
  <c r="W142" i="2"/>
  <c r="V142" i="2"/>
  <c r="T142" i="2"/>
  <c r="Y142" i="2" s="1"/>
  <c r="M142" i="2"/>
  <c r="Y141" i="2"/>
  <c r="V141" i="2"/>
  <c r="T141" i="2"/>
  <c r="M141" i="2"/>
  <c r="Y140" i="2"/>
  <c r="W140" i="2"/>
  <c r="V140" i="2"/>
  <c r="T140" i="2"/>
  <c r="M140" i="2"/>
  <c r="W139" i="2"/>
  <c r="V139" i="2"/>
  <c r="T139" i="2"/>
  <c r="Y139" i="2" s="1"/>
  <c r="M139" i="2"/>
  <c r="Y138" i="2"/>
  <c r="W138" i="2"/>
  <c r="T138" i="2"/>
  <c r="M138" i="2"/>
  <c r="W137" i="2"/>
  <c r="V137" i="2"/>
  <c r="T137" i="2"/>
  <c r="Y137" i="2" s="1"/>
  <c r="M137" i="2"/>
  <c r="W136" i="2"/>
  <c r="V136" i="2"/>
  <c r="T136" i="2"/>
  <c r="Y136" i="2" s="1"/>
  <c r="M136" i="2"/>
  <c r="Y135" i="2"/>
  <c r="W135" i="2"/>
  <c r="V135" i="2"/>
  <c r="T135" i="2"/>
  <c r="M135" i="2"/>
  <c r="W134" i="2"/>
  <c r="V134" i="2"/>
  <c r="T134" i="2"/>
  <c r="Y134" i="2" s="1"/>
  <c r="M134" i="2"/>
  <c r="Y133" i="2"/>
  <c r="V133" i="2"/>
  <c r="T133" i="2"/>
  <c r="M133" i="2"/>
  <c r="Y132" i="2"/>
  <c r="W132" i="2"/>
  <c r="V132" i="2"/>
  <c r="T132" i="2"/>
  <c r="M132" i="2"/>
  <c r="W131" i="2"/>
  <c r="V131" i="2"/>
  <c r="T131" i="2"/>
  <c r="Y131" i="2" s="1"/>
  <c r="M131" i="2"/>
  <c r="Y130" i="2"/>
  <c r="W130" i="2"/>
  <c r="T130" i="2"/>
  <c r="M130" i="2"/>
  <c r="W129" i="2"/>
  <c r="V129" i="2"/>
  <c r="T129" i="2"/>
  <c r="Y129" i="2" s="1"/>
  <c r="M129" i="2"/>
  <c r="W128" i="2"/>
  <c r="V128" i="2"/>
  <c r="T128" i="2"/>
  <c r="Y128" i="2" s="1"/>
  <c r="M128" i="2"/>
  <c r="Y127" i="2"/>
  <c r="W127" i="2"/>
  <c r="V127" i="2"/>
  <c r="T127" i="2"/>
  <c r="M127" i="2"/>
  <c r="W126" i="2"/>
  <c r="V126" i="2"/>
  <c r="T126" i="2"/>
  <c r="Y126" i="2" s="1"/>
  <c r="M126" i="2"/>
  <c r="Y125" i="2"/>
  <c r="V125" i="2"/>
  <c r="T125" i="2"/>
  <c r="M125" i="2"/>
  <c r="Y124" i="2"/>
  <c r="W124" i="2"/>
  <c r="V124" i="2"/>
  <c r="T124" i="2"/>
  <c r="M124" i="2"/>
  <c r="W123" i="2"/>
  <c r="V123" i="2"/>
  <c r="T123" i="2"/>
  <c r="Y123" i="2" s="1"/>
  <c r="M123" i="2"/>
  <c r="Y122" i="2"/>
  <c r="W122" i="2"/>
  <c r="T122" i="2"/>
  <c r="M122" i="2"/>
  <c r="W121" i="2"/>
  <c r="V121" i="2"/>
  <c r="T121" i="2"/>
  <c r="Y121" i="2" s="1"/>
  <c r="M121" i="2"/>
  <c r="W120" i="2"/>
  <c r="V120" i="2"/>
  <c r="T120" i="2"/>
  <c r="Y120" i="2" s="1"/>
  <c r="M120" i="2"/>
  <c r="Y119" i="2"/>
  <c r="W119" i="2"/>
  <c r="V119" i="2"/>
  <c r="T119" i="2"/>
  <c r="M119" i="2"/>
  <c r="W118" i="2"/>
  <c r="V118" i="2"/>
  <c r="T118" i="2"/>
  <c r="Y118" i="2" s="1"/>
  <c r="M118" i="2"/>
  <c r="Y117" i="2"/>
  <c r="V117" i="2"/>
  <c r="T117" i="2"/>
  <c r="M117" i="2"/>
  <c r="Y116" i="2"/>
  <c r="W116" i="2"/>
  <c r="V116" i="2"/>
  <c r="T116" i="2"/>
  <c r="M116" i="2"/>
  <c r="W115" i="2"/>
  <c r="V115" i="2"/>
  <c r="T115" i="2"/>
  <c r="Y115" i="2" s="1"/>
  <c r="M115" i="2"/>
  <c r="Y114" i="2"/>
  <c r="W114" i="2"/>
  <c r="T114" i="2"/>
  <c r="M114" i="2"/>
  <c r="W113" i="2"/>
  <c r="V113" i="2"/>
  <c r="T113" i="2"/>
  <c r="Y113" i="2" s="1"/>
  <c r="M113" i="2"/>
  <c r="W112" i="2"/>
  <c r="V112" i="2"/>
  <c r="T112" i="2"/>
  <c r="Y112" i="2" s="1"/>
  <c r="M112" i="2"/>
  <c r="Y111" i="2"/>
  <c r="W111" i="2"/>
  <c r="V111" i="2"/>
  <c r="T111" i="2"/>
  <c r="M111" i="2"/>
  <c r="W110" i="2"/>
  <c r="V110" i="2"/>
  <c r="T110" i="2"/>
  <c r="Y110" i="2" s="1"/>
  <c r="M110" i="2"/>
  <c r="Y109" i="2"/>
  <c r="V109" i="2"/>
  <c r="T109" i="2"/>
  <c r="M109" i="2"/>
  <c r="Y108" i="2"/>
  <c r="W108" i="2"/>
  <c r="V108" i="2"/>
  <c r="T108" i="2"/>
  <c r="M108" i="2"/>
  <c r="W107" i="2"/>
  <c r="V107" i="2"/>
  <c r="T107" i="2"/>
  <c r="Y107" i="2" s="1"/>
  <c r="M107" i="2"/>
  <c r="Y106" i="2"/>
  <c r="W106" i="2"/>
  <c r="T106" i="2"/>
  <c r="M106" i="2"/>
  <c r="W105" i="2"/>
  <c r="V105" i="2"/>
  <c r="T105" i="2"/>
  <c r="Y105" i="2" s="1"/>
  <c r="M105" i="2"/>
  <c r="W104" i="2"/>
  <c r="V104" i="2"/>
  <c r="T104" i="2"/>
  <c r="Y104" i="2" s="1"/>
  <c r="M104" i="2"/>
  <c r="Y103" i="2"/>
  <c r="W103" i="2"/>
  <c r="V103" i="2"/>
  <c r="T103" i="2"/>
  <c r="M103" i="2"/>
  <c r="Y102" i="2"/>
  <c r="W102" i="2"/>
  <c r="V102" i="2"/>
  <c r="Y101" i="2"/>
  <c r="W101" i="2"/>
  <c r="V101" i="2"/>
  <c r="T101" i="2"/>
  <c r="M101" i="2"/>
  <c r="W100" i="2"/>
  <c r="V100" i="2"/>
  <c r="T100" i="2"/>
  <c r="Y100" i="2" s="1"/>
  <c r="M100" i="2"/>
  <c r="Y99" i="2"/>
  <c r="V99" i="2"/>
  <c r="T99" i="2"/>
  <c r="M99" i="2"/>
  <c r="Y98" i="2"/>
  <c r="W98" i="2"/>
  <c r="V98" i="2"/>
  <c r="T98" i="2"/>
  <c r="M98" i="2"/>
  <c r="W97" i="2"/>
  <c r="V97" i="2"/>
  <c r="T97" i="2"/>
  <c r="Y97" i="2" s="1"/>
  <c r="M97" i="2"/>
  <c r="Y96" i="2"/>
  <c r="W96" i="2"/>
  <c r="T96" i="2"/>
  <c r="M96" i="2"/>
  <c r="W95" i="2"/>
  <c r="V95" i="2"/>
  <c r="T95" i="2"/>
  <c r="Y95" i="2" s="1"/>
  <c r="M95" i="2"/>
  <c r="W94" i="2"/>
  <c r="V94" i="2"/>
  <c r="T94" i="2"/>
  <c r="Y94" i="2" s="1"/>
  <c r="M94" i="2"/>
  <c r="Y93" i="2"/>
  <c r="W93" i="2"/>
  <c r="V93" i="2"/>
  <c r="T93" i="2"/>
  <c r="M93" i="2"/>
  <c r="W92" i="2"/>
  <c r="V92" i="2"/>
  <c r="T92" i="2"/>
  <c r="Y92" i="2" s="1"/>
  <c r="M92" i="2"/>
  <c r="Y91" i="2"/>
  <c r="V91" i="2"/>
  <c r="T91" i="2"/>
  <c r="M91" i="2"/>
  <c r="Y90" i="2"/>
  <c r="W90" i="2"/>
  <c r="V90" i="2"/>
  <c r="T90" i="2"/>
  <c r="M90" i="2"/>
  <c r="W89" i="2"/>
  <c r="V89" i="2"/>
  <c r="T89" i="2"/>
  <c r="Y89" i="2" s="1"/>
  <c r="M89" i="2"/>
  <c r="Y88" i="2"/>
  <c r="W88" i="2"/>
  <c r="T88" i="2"/>
  <c r="M88" i="2"/>
  <c r="W87" i="2"/>
  <c r="V87" i="2"/>
  <c r="T87" i="2"/>
  <c r="Y87" i="2" s="1"/>
  <c r="M87" i="2"/>
  <c r="W86" i="2"/>
  <c r="V86" i="2"/>
  <c r="T86" i="2"/>
  <c r="Y86" i="2" s="1"/>
  <c r="M86" i="2"/>
  <c r="Y85" i="2"/>
  <c r="W85" i="2"/>
  <c r="V85" i="2"/>
  <c r="T85" i="2"/>
  <c r="M85" i="2"/>
  <c r="W84" i="2"/>
  <c r="V84" i="2"/>
  <c r="T84" i="2"/>
  <c r="Y84" i="2" s="1"/>
  <c r="M84" i="2"/>
  <c r="Y83" i="2"/>
  <c r="V83" i="2"/>
  <c r="T83" i="2"/>
  <c r="M83" i="2"/>
  <c r="Y82" i="2"/>
  <c r="W82" i="2"/>
  <c r="V82" i="2"/>
  <c r="T82" i="2"/>
  <c r="M82" i="2"/>
  <c r="W81" i="2"/>
  <c r="V81" i="2"/>
  <c r="T81" i="2"/>
  <c r="Y81" i="2" s="1"/>
  <c r="M81" i="2"/>
  <c r="Y80" i="2"/>
  <c r="W80" i="2"/>
  <c r="T80" i="2"/>
  <c r="M80" i="2"/>
  <c r="W79" i="2"/>
  <c r="V79" i="2"/>
  <c r="T79" i="2"/>
  <c r="Y79" i="2" s="1"/>
  <c r="M79" i="2"/>
  <c r="W78" i="2"/>
  <c r="V78" i="2"/>
  <c r="T78" i="2"/>
  <c r="Y78" i="2" s="1"/>
  <c r="M78" i="2"/>
  <c r="Y77" i="2"/>
  <c r="W77" i="2"/>
  <c r="V77" i="2"/>
  <c r="T77" i="2"/>
  <c r="M77" i="2"/>
  <c r="W76" i="2"/>
  <c r="V76" i="2"/>
  <c r="T76" i="2"/>
  <c r="Y76" i="2" s="1"/>
  <c r="M76" i="2"/>
  <c r="Y75" i="2"/>
  <c r="V75" i="2"/>
  <c r="T75" i="2"/>
  <c r="M75" i="2"/>
  <c r="Y74" i="2"/>
  <c r="W74" i="2"/>
  <c r="V74" i="2"/>
  <c r="T74" i="2"/>
  <c r="M74" i="2"/>
  <c r="W73" i="2"/>
  <c r="V73" i="2"/>
  <c r="T73" i="2"/>
  <c r="Y73" i="2" s="1"/>
  <c r="M73" i="2"/>
  <c r="Y72" i="2"/>
  <c r="W72" i="2"/>
  <c r="T72" i="2"/>
  <c r="M72" i="2"/>
  <c r="W71" i="2"/>
  <c r="V71" i="2"/>
  <c r="T71" i="2"/>
  <c r="Y71" i="2" s="1"/>
  <c r="M71" i="2"/>
  <c r="W70" i="2"/>
  <c r="V70" i="2"/>
  <c r="T70" i="2"/>
  <c r="Y70" i="2" s="1"/>
  <c r="M70" i="2"/>
  <c r="Y69" i="2"/>
  <c r="W69" i="2"/>
  <c r="V69" i="2"/>
  <c r="T69" i="2"/>
  <c r="M69" i="2"/>
  <c r="W68" i="2"/>
  <c r="V68" i="2"/>
  <c r="T68" i="2"/>
  <c r="Y68" i="2" s="1"/>
  <c r="M68" i="2"/>
  <c r="Y67" i="2"/>
  <c r="V67" i="2"/>
  <c r="T67" i="2"/>
  <c r="M67" i="2"/>
  <c r="Y66" i="2"/>
  <c r="W66" i="2"/>
  <c r="V66" i="2"/>
  <c r="T66" i="2"/>
  <c r="M66" i="2"/>
  <c r="W65" i="2"/>
  <c r="V65" i="2"/>
  <c r="T65" i="2"/>
  <c r="Y65" i="2" s="1"/>
  <c r="M65" i="2"/>
  <c r="Y64" i="2"/>
  <c r="W64" i="2"/>
  <c r="T64" i="2"/>
  <c r="M64" i="2"/>
  <c r="Y63" i="2"/>
  <c r="W63" i="2"/>
  <c r="V63" i="2"/>
  <c r="T63" i="2"/>
  <c r="M63" i="2"/>
  <c r="W62" i="2"/>
  <c r="V62" i="2"/>
  <c r="T62" i="2"/>
  <c r="Y62" i="2" s="1"/>
  <c r="M62" i="2"/>
  <c r="Y61" i="2"/>
  <c r="W61" i="2"/>
  <c r="V61" i="2"/>
  <c r="T61" i="2"/>
  <c r="M61" i="2"/>
  <c r="W60" i="2"/>
  <c r="V60" i="2"/>
  <c r="T60" i="2"/>
  <c r="Y60" i="2" s="1"/>
  <c r="M60" i="2"/>
  <c r="Y59" i="2"/>
  <c r="V59" i="2"/>
  <c r="T59" i="2"/>
  <c r="M59" i="2"/>
  <c r="Y58" i="2"/>
  <c r="W58" i="2"/>
  <c r="V58" i="2"/>
  <c r="T58" i="2"/>
  <c r="M58" i="2"/>
  <c r="W57" i="2"/>
  <c r="V57" i="2"/>
  <c r="T57" i="2"/>
  <c r="Y57" i="2" s="1"/>
  <c r="M57" i="2"/>
  <c r="Y56" i="2"/>
  <c r="W56" i="2"/>
  <c r="T56" i="2"/>
  <c r="M56" i="2"/>
  <c r="W55" i="2"/>
  <c r="V55" i="2"/>
  <c r="T55" i="2"/>
  <c r="Y55" i="2" s="1"/>
  <c r="M55" i="2"/>
  <c r="W54" i="2"/>
  <c r="V54" i="2"/>
  <c r="T54" i="2"/>
  <c r="Y54" i="2" s="1"/>
  <c r="M54" i="2"/>
  <c r="Y53" i="2"/>
  <c r="W53" i="2"/>
  <c r="V53" i="2"/>
  <c r="T53" i="2"/>
  <c r="M53" i="2"/>
  <c r="W52" i="2"/>
  <c r="V52" i="2"/>
  <c r="T52" i="2"/>
  <c r="Y52" i="2" s="1"/>
  <c r="M52" i="2"/>
  <c r="Y51" i="2"/>
  <c r="V51" i="2"/>
  <c r="T51" i="2"/>
  <c r="M51" i="2"/>
  <c r="Y50" i="2"/>
  <c r="W50" i="2"/>
  <c r="V50" i="2"/>
  <c r="T50" i="2"/>
  <c r="M50" i="2"/>
  <c r="W49" i="2"/>
  <c r="V49" i="2"/>
  <c r="T49" i="2"/>
  <c r="Y49" i="2" s="1"/>
  <c r="M49" i="2"/>
  <c r="Y48" i="2"/>
  <c r="W48" i="2"/>
  <c r="T48" i="2"/>
  <c r="M48" i="2"/>
  <c r="Y47" i="2"/>
  <c r="W47" i="2"/>
  <c r="V47" i="2"/>
  <c r="T47" i="2"/>
  <c r="M47" i="2"/>
  <c r="W46" i="2"/>
  <c r="V46" i="2"/>
  <c r="T46" i="2"/>
  <c r="Y46" i="2" s="1"/>
  <c r="M46" i="2"/>
  <c r="Y45" i="2"/>
  <c r="W45" i="2"/>
  <c r="V45" i="2"/>
  <c r="T45" i="2"/>
  <c r="M45" i="2"/>
  <c r="W44" i="2"/>
  <c r="V44" i="2"/>
  <c r="T44" i="2"/>
  <c r="Y44" i="2" s="1"/>
  <c r="M44" i="2"/>
  <c r="Y43" i="2"/>
  <c r="V43" i="2"/>
  <c r="T43" i="2"/>
  <c r="M43" i="2"/>
  <c r="Y42" i="2"/>
  <c r="W42" i="2"/>
  <c r="V42" i="2"/>
  <c r="T42" i="2"/>
  <c r="M42" i="2"/>
  <c r="W41" i="2"/>
  <c r="V41" i="2"/>
  <c r="T41" i="2"/>
  <c r="Y41" i="2" s="1"/>
  <c r="M41" i="2"/>
  <c r="Y40" i="2"/>
  <c r="W40" i="2"/>
  <c r="T40" i="2"/>
  <c r="M40" i="2"/>
  <c r="W39" i="2"/>
  <c r="V39" i="2"/>
  <c r="T39" i="2"/>
  <c r="Y39" i="2" s="1"/>
  <c r="M39" i="2"/>
  <c r="W38" i="2"/>
  <c r="V38" i="2"/>
  <c r="T38" i="2"/>
  <c r="Y38" i="2" s="1"/>
  <c r="M38" i="2"/>
  <c r="Y37" i="2"/>
  <c r="W37" i="2"/>
  <c r="V37" i="2"/>
  <c r="W36" i="2"/>
  <c r="V36" i="2"/>
  <c r="T36" i="2"/>
  <c r="Y36" i="2" s="1"/>
  <c r="M36" i="2"/>
  <c r="Y35" i="2"/>
  <c r="W35" i="2"/>
  <c r="V35" i="2"/>
  <c r="T35" i="2"/>
  <c r="M35" i="2"/>
  <c r="W34" i="2"/>
  <c r="V34" i="2"/>
  <c r="T34" i="2"/>
  <c r="Y34" i="2" s="1"/>
  <c r="M34" i="2"/>
  <c r="Y33" i="2"/>
  <c r="V33" i="2"/>
  <c r="T33" i="2"/>
  <c r="M33" i="2"/>
  <c r="Y32" i="2"/>
  <c r="W32" i="2"/>
  <c r="V32" i="2"/>
  <c r="T32" i="2"/>
  <c r="M32" i="2"/>
  <c r="Y31" i="2"/>
  <c r="W31" i="2"/>
  <c r="V31" i="2"/>
  <c r="Y30" i="2"/>
  <c r="W30" i="2"/>
  <c r="V30" i="2"/>
  <c r="T30" i="2"/>
  <c r="M30" i="2"/>
  <c r="W29" i="2"/>
  <c r="V29" i="2"/>
  <c r="T29" i="2"/>
  <c r="Y29" i="2" s="1"/>
  <c r="M29" i="2"/>
  <c r="Y28" i="2"/>
  <c r="W28" i="2"/>
  <c r="T28" i="2"/>
  <c r="M28" i="2"/>
  <c r="W27" i="2"/>
  <c r="V27" i="2"/>
  <c r="T27" i="2"/>
  <c r="Y27" i="2" s="1"/>
  <c r="M27" i="2"/>
  <c r="W26" i="2"/>
  <c r="V26" i="2"/>
  <c r="T26" i="2"/>
  <c r="Y26" i="2" s="1"/>
  <c r="M26" i="2"/>
  <c r="Y25" i="2"/>
  <c r="W25" i="2"/>
  <c r="V25" i="2"/>
  <c r="T25" i="2"/>
  <c r="M25" i="2"/>
  <c r="W24" i="2"/>
  <c r="V24" i="2"/>
  <c r="T24" i="2"/>
  <c r="Y24" i="2" s="1"/>
  <c r="M24" i="2"/>
  <c r="Y23" i="2"/>
  <c r="V23" i="2"/>
  <c r="T23" i="2"/>
  <c r="M23" i="2"/>
  <c r="Y22" i="2"/>
  <c r="W22" i="2"/>
  <c r="V22" i="2"/>
  <c r="T22" i="2"/>
  <c r="M22" i="2"/>
  <c r="W21" i="2"/>
  <c r="V21" i="2"/>
  <c r="T21" i="2"/>
  <c r="Y21" i="2" s="1"/>
  <c r="M21" i="2"/>
  <c r="W20" i="2"/>
  <c r="T20" i="2"/>
  <c r="Y20" i="2" s="1"/>
  <c r="M20" i="2"/>
  <c r="Y19" i="2"/>
  <c r="W19" i="2"/>
  <c r="V19" i="2"/>
  <c r="T19" i="2"/>
  <c r="M19" i="2"/>
  <c r="W18" i="2"/>
  <c r="V18" i="2"/>
  <c r="T18" i="2"/>
  <c r="Y18" i="2" s="1"/>
  <c r="M18" i="2"/>
  <c r="Y17" i="2"/>
  <c r="W17" i="2"/>
  <c r="V17" i="2"/>
  <c r="T17" i="2"/>
  <c r="M17" i="2"/>
  <c r="W16" i="2"/>
  <c r="V16" i="2"/>
  <c r="T16" i="2"/>
  <c r="Y16" i="2" s="1"/>
  <c r="M16" i="2"/>
  <c r="Y15" i="2"/>
  <c r="V15" i="2"/>
  <c r="T15" i="2"/>
  <c r="M15" i="2"/>
  <c r="Y14" i="2"/>
  <c r="W14" i="2"/>
  <c r="V14" i="2"/>
  <c r="T14" i="2"/>
  <c r="M14" i="2"/>
  <c r="W13" i="2"/>
  <c r="V13" i="2"/>
  <c r="T13" i="2"/>
  <c r="Y13" i="2" s="1"/>
  <c r="M13" i="2"/>
  <c r="Y12" i="2"/>
  <c r="W12" i="2"/>
  <c r="V12" i="2"/>
  <c r="T12" i="2"/>
  <c r="M12" i="2"/>
  <c r="W11" i="2"/>
  <c r="V11" i="2"/>
  <c r="T11" i="2"/>
  <c r="Y11" i="2" s="1"/>
  <c r="M11" i="2"/>
  <c r="W10" i="2"/>
  <c r="V10" i="2"/>
  <c r="T10" i="2"/>
  <c r="Y10" i="2" s="1"/>
  <c r="M10" i="2"/>
  <c r="Y9" i="2"/>
  <c r="W9" i="2"/>
  <c r="V9" i="2"/>
  <c r="T9" i="2"/>
  <c r="M9" i="2"/>
  <c r="W8" i="2"/>
  <c r="V8" i="2"/>
  <c r="T8" i="2"/>
  <c r="Y8" i="2" s="1"/>
  <c r="M8" i="2"/>
  <c r="Y7" i="2"/>
  <c r="W7" i="2"/>
  <c r="V7" i="2"/>
  <c r="T7" i="2"/>
  <c r="M7" i="2"/>
  <c r="Y6" i="2"/>
  <c r="W6" i="2"/>
  <c r="V6" i="2"/>
  <c r="T6" i="2"/>
  <c r="M6" i="2"/>
  <c r="G4" i="2"/>
  <c r="X161" i="7" l="1"/>
  <c r="X102" i="7"/>
  <c r="X37" i="7"/>
  <c r="X5" i="7"/>
  <c r="X190" i="7" s="1"/>
  <c r="X175" i="7"/>
  <c r="Y190" i="7"/>
  <c r="W190" i="7"/>
  <c r="V182" i="7"/>
  <c r="V190" i="7" s="1"/>
  <c r="P196" i="7" s="1"/>
  <c r="Y14" i="5"/>
  <c r="W22" i="5"/>
  <c r="W30" i="5"/>
  <c r="W34" i="5"/>
  <c r="V43" i="5"/>
  <c r="W54" i="5"/>
  <c r="Y60" i="5"/>
  <c r="V63" i="5"/>
  <c r="W75" i="5"/>
  <c r="V78" i="5"/>
  <c r="W86" i="5"/>
  <c r="W113" i="5"/>
  <c r="V132" i="5"/>
  <c r="W144" i="5"/>
  <c r="Y151" i="5"/>
  <c r="W154" i="5"/>
  <c r="W160" i="5"/>
  <c r="Y164" i="5"/>
  <c r="V171" i="5"/>
  <c r="Y179" i="5"/>
  <c r="V182" i="5"/>
  <c r="Y8" i="5"/>
  <c r="W14" i="5"/>
  <c r="V20" i="5"/>
  <c r="V28" i="5"/>
  <c r="W38" i="5"/>
  <c r="Y41" i="5"/>
  <c r="W46" i="5"/>
  <c r="Y49" i="5"/>
  <c r="Y52" i="5"/>
  <c r="W57" i="5"/>
  <c r="Y70" i="5"/>
  <c r="V73" i="5"/>
  <c r="V84" i="5"/>
  <c r="W92" i="5"/>
  <c r="V101" i="5"/>
  <c r="Y108" i="5"/>
  <c r="Y111" i="5"/>
  <c r="Y123" i="5"/>
  <c r="Y142" i="5"/>
  <c r="W161" i="5"/>
  <c r="V179" i="5"/>
  <c r="W8" i="5"/>
  <c r="W20" i="5"/>
  <c r="W28" i="5"/>
  <c r="Y32" i="5"/>
  <c r="V41" i="5"/>
  <c r="V49" i="5"/>
  <c r="W52" i="5"/>
  <c r="Y64" i="5"/>
  <c r="V67" i="5"/>
  <c r="Y73" i="5"/>
  <c r="Y76" i="5"/>
  <c r="Y79" i="5"/>
  <c r="W84" i="5"/>
  <c r="V98" i="5"/>
  <c r="W101" i="5"/>
  <c r="W108" i="5"/>
  <c r="V111" i="5"/>
  <c r="V117" i="5"/>
  <c r="W120" i="5"/>
  <c r="V123" i="5"/>
  <c r="W139" i="5"/>
  <c r="V142" i="5"/>
  <c r="Y152" i="5"/>
  <c r="V158" i="5"/>
  <c r="Y161" i="5"/>
  <c r="W176" i="5"/>
  <c r="W165" i="5"/>
  <c r="Y168" i="5"/>
  <c r="W170" i="5"/>
  <c r="V178" i="5"/>
  <c r="W184" i="5"/>
  <c r="V8" i="5"/>
  <c r="V10" i="5"/>
  <c r="V12" i="5"/>
  <c r="V14" i="5"/>
  <c r="V16" i="5"/>
  <c r="Y18" i="5"/>
  <c r="Y20" i="5"/>
  <c r="Y22" i="5"/>
  <c r="Y24" i="5"/>
  <c r="Y26" i="5"/>
  <c r="Y28" i="5"/>
  <c r="Y30" i="5"/>
  <c r="V32" i="5"/>
  <c r="V34" i="5"/>
  <c r="Y36" i="5"/>
  <c r="V52" i="5"/>
  <c r="Y54" i="5"/>
  <c r="Y57" i="5"/>
  <c r="W59" i="5"/>
  <c r="W61" i="5"/>
  <c r="W63" i="5"/>
  <c r="W65" i="5"/>
  <c r="W67" i="5"/>
  <c r="W69" i="5"/>
  <c r="W71" i="5"/>
  <c r="W73" i="5"/>
  <c r="W78" i="5"/>
  <c r="W80" i="5"/>
  <c r="Y82" i="5"/>
  <c r="Y84" i="5"/>
  <c r="Y86" i="5"/>
  <c r="Y88" i="5"/>
  <c r="Y90" i="5"/>
  <c r="Y94" i="5"/>
  <c r="W96" i="5"/>
  <c r="W98" i="5"/>
  <c r="Y101" i="5"/>
  <c r="W103" i="5"/>
  <c r="Y106" i="5"/>
  <c r="V108" i="5"/>
  <c r="Y113" i="5"/>
  <c r="Y115" i="5"/>
  <c r="Y120" i="5"/>
  <c r="V125" i="5"/>
  <c r="V130" i="5"/>
  <c r="W132" i="5"/>
  <c r="Y135" i="5"/>
  <c r="V137" i="5"/>
  <c r="Y139" i="5"/>
  <c r="V146" i="5"/>
  <c r="V151" i="5"/>
  <c r="Y154" i="5"/>
  <c r="V163" i="5"/>
  <c r="V168" i="5"/>
  <c r="Y173" i="5"/>
  <c r="Y176" i="5"/>
  <c r="V7" i="5"/>
  <c r="Y9" i="5"/>
  <c r="Y11" i="5"/>
  <c r="Y13" i="5"/>
  <c r="Y15" i="5"/>
  <c r="V31" i="5"/>
  <c r="Y33" i="5"/>
  <c r="Y37" i="5"/>
  <c r="W39" i="5"/>
  <c r="W41" i="5"/>
  <c r="W43" i="5"/>
  <c r="W45" i="5"/>
  <c r="W47" i="5"/>
  <c r="W49" i="5"/>
  <c r="V51" i="5"/>
  <c r="Y56" i="5"/>
  <c r="V58" i="5"/>
  <c r="V60" i="5"/>
  <c r="V62" i="5"/>
  <c r="V64" i="5"/>
  <c r="V66" i="5"/>
  <c r="V68" i="5"/>
  <c r="V70" i="5"/>
  <c r="V72" i="5"/>
  <c r="Y75" i="5"/>
  <c r="V77" i="5"/>
  <c r="V79" i="5"/>
  <c r="Y95" i="5"/>
  <c r="Y97" i="5"/>
  <c r="W99" i="5"/>
  <c r="W102" i="5"/>
  <c r="W104" i="5"/>
  <c r="Y109" i="5"/>
  <c r="W111" i="5"/>
  <c r="Y121" i="5"/>
  <c r="V131" i="5"/>
  <c r="W133" i="5"/>
  <c r="Y136" i="5"/>
  <c r="Y140" i="5"/>
  <c r="W142" i="5"/>
  <c r="V147" i="5"/>
  <c r="V152" i="5"/>
  <c r="Y157" i="5"/>
  <c r="W159" i="5"/>
  <c r="V164" i="5"/>
  <c r="V169" i="5"/>
  <c r="W171" i="5"/>
  <c r="Y174" i="5"/>
  <c r="Y177" i="5"/>
  <c r="W7" i="5"/>
  <c r="V9" i="5"/>
  <c r="V11" i="5"/>
  <c r="V13" i="5"/>
  <c r="V15" i="5"/>
  <c r="Y17" i="5"/>
  <c r="Y19" i="5"/>
  <c r="Y21" i="5"/>
  <c r="Y23" i="5"/>
  <c r="Y25" i="5"/>
  <c r="Y27" i="5"/>
  <c r="Y29" i="5"/>
  <c r="W31" i="5"/>
  <c r="V33" i="5"/>
  <c r="V35" i="5"/>
  <c r="W51" i="5"/>
  <c r="Y53" i="5"/>
  <c r="Y55" i="5"/>
  <c r="W58" i="5"/>
  <c r="W60" i="5"/>
  <c r="W62" i="5"/>
  <c r="W64" i="5"/>
  <c r="W66" i="5"/>
  <c r="W68" i="5"/>
  <c r="W70" i="5"/>
  <c r="W72" i="5"/>
  <c r="V74" i="5"/>
  <c r="W77" i="5"/>
  <c r="W79" i="5"/>
  <c r="V81" i="5"/>
  <c r="Y83" i="5"/>
  <c r="Y85" i="5"/>
  <c r="Y87" i="5"/>
  <c r="Y89" i="5"/>
  <c r="Y91" i="5"/>
  <c r="V95" i="5"/>
  <c r="W97" i="5"/>
  <c r="Y102" i="5"/>
  <c r="Y107" i="5"/>
  <c r="W109" i="5"/>
  <c r="Y114" i="5"/>
  <c r="W116" i="5"/>
  <c r="Y119" i="5"/>
  <c r="W121" i="5"/>
  <c r="Y124" i="5"/>
  <c r="W126" i="5"/>
  <c r="Y129" i="5"/>
  <c r="W131" i="5"/>
  <c r="V136" i="5"/>
  <c r="W140" i="5"/>
  <c r="Y145" i="5"/>
  <c r="Y155" i="5"/>
  <c r="W157" i="5"/>
  <c r="Y162" i="5"/>
  <c r="W164" i="5"/>
  <c r="Y167" i="5"/>
  <c r="V174" i="5"/>
  <c r="W177" i="5"/>
  <c r="Y183" i="5"/>
  <c r="U6" i="5"/>
  <c r="W9" i="5"/>
  <c r="W11" i="5"/>
  <c r="W13" i="5"/>
  <c r="W15" i="5"/>
  <c r="V17" i="5"/>
  <c r="V19" i="5"/>
  <c r="V21" i="5"/>
  <c r="V23" i="5"/>
  <c r="V25" i="5"/>
  <c r="V27" i="5"/>
  <c r="V29" i="5"/>
  <c r="Y31" i="5"/>
  <c r="W33" i="5"/>
  <c r="W35" i="5"/>
  <c r="Y38" i="5"/>
  <c r="Y40" i="5"/>
  <c r="Y42" i="5"/>
  <c r="Y44" i="5"/>
  <c r="Y46" i="5"/>
  <c r="Y48" i="5"/>
  <c r="V53" i="5"/>
  <c r="V55" i="5"/>
  <c r="W74" i="5"/>
  <c r="W81" i="5"/>
  <c r="V83" i="5"/>
  <c r="V85" i="5"/>
  <c r="V87" i="5"/>
  <c r="V89" i="5"/>
  <c r="V91" i="5"/>
  <c r="V93" i="5"/>
  <c r="Y100" i="5"/>
  <c r="Y105" i="5"/>
  <c r="V107" i="5"/>
  <c r="Y112" i="5"/>
  <c r="V114" i="5"/>
  <c r="V119" i="5"/>
  <c r="V124" i="5"/>
  <c r="V129" i="5"/>
  <c r="Y134" i="5"/>
  <c r="W136" i="5"/>
  <c r="W138" i="5"/>
  <c r="W145" i="5"/>
  <c r="Y148" i="5"/>
  <c r="W150" i="5"/>
  <c r="Y153" i="5"/>
  <c r="V155" i="5"/>
  <c r="V162" i="5"/>
  <c r="V167" i="5"/>
  <c r="Y170" i="5"/>
  <c r="W175" i="5"/>
  <c r="W180" i="5"/>
  <c r="V6" i="5"/>
  <c r="W17" i="5"/>
  <c r="W19" i="5"/>
  <c r="W21" i="5"/>
  <c r="W23" i="5"/>
  <c r="W25" i="5"/>
  <c r="W27" i="5"/>
  <c r="W29" i="5"/>
  <c r="Y35" i="5"/>
  <c r="V38" i="5"/>
  <c r="V40" i="5"/>
  <c r="V42" i="5"/>
  <c r="V44" i="5"/>
  <c r="V46" i="5"/>
  <c r="V48" i="5"/>
  <c r="V50" i="5"/>
  <c r="W53" i="5"/>
  <c r="W55" i="5"/>
  <c r="V57" i="5"/>
  <c r="Y59" i="5"/>
  <c r="Y61" i="5"/>
  <c r="Y63" i="5"/>
  <c r="Y65" i="5"/>
  <c r="Y67" i="5"/>
  <c r="Y69" i="5"/>
  <c r="Y71" i="5"/>
  <c r="Y74" i="5"/>
  <c r="V76" i="5"/>
  <c r="Y78" i="5"/>
  <c r="Y81" i="5"/>
  <c r="W83" i="5"/>
  <c r="W85" i="5"/>
  <c r="W87" i="5"/>
  <c r="W89" i="5"/>
  <c r="W91" i="5"/>
  <c r="W93" i="5"/>
  <c r="Y98" i="5"/>
  <c r="V100" i="5"/>
  <c r="Y103" i="5"/>
  <c r="V105" i="5"/>
  <c r="Y110" i="5"/>
  <c r="V112" i="5"/>
  <c r="W114" i="5"/>
  <c r="Y117" i="5"/>
  <c r="W119" i="5"/>
  <c r="Y122" i="5"/>
  <c r="Y127" i="5"/>
  <c r="V134" i="5"/>
  <c r="Y138" i="5"/>
  <c r="Y141" i="5"/>
  <c r="W143" i="5"/>
  <c r="V148" i="5"/>
  <c r="V153" i="5"/>
  <c r="W155" i="5"/>
  <c r="Y158" i="5"/>
  <c r="V160" i="5"/>
  <c r="V170" i="5"/>
  <c r="W172" i="5"/>
  <c r="Y175" i="5"/>
  <c r="Y178" i="5"/>
  <c r="Y187" i="5"/>
  <c r="Y181" i="5"/>
  <c r="V181" i="5"/>
  <c r="W185" i="5"/>
  <c r="X5" i="5"/>
  <c r="Y186" i="5"/>
  <c r="V183" i="5"/>
  <c r="Y185" i="5"/>
  <c r="V187" i="5"/>
  <c r="W188" i="5"/>
  <c r="Y93" i="5"/>
  <c r="W95" i="5"/>
  <c r="V99" i="5"/>
  <c r="V104" i="5"/>
  <c r="W107" i="5"/>
  <c r="V110" i="5"/>
  <c r="W112" i="5"/>
  <c r="Y116" i="5"/>
  <c r="W118" i="5"/>
  <c r="V122" i="5"/>
  <c r="V127" i="5"/>
  <c r="W130" i="5"/>
  <c r="Y133" i="5"/>
  <c r="W135" i="5"/>
  <c r="V140" i="5"/>
  <c r="V145" i="5"/>
  <c r="W148" i="5"/>
  <c r="Y150" i="5"/>
  <c r="W153" i="5"/>
  <c r="V157" i="5"/>
  <c r="V161" i="5"/>
  <c r="V166" i="5"/>
  <c r="W169" i="5"/>
  <c r="Y172" i="5"/>
  <c r="W174" i="5"/>
  <c r="V177" i="5"/>
  <c r="Y180" i="5"/>
  <c r="W183" i="5"/>
  <c r="V186" i="5"/>
  <c r="V116" i="5"/>
  <c r="V121" i="5"/>
  <c r="W124" i="5"/>
  <c r="Y126" i="5"/>
  <c r="W129" i="5"/>
  <c r="V133" i="5"/>
  <c r="V139" i="5"/>
  <c r="W141" i="5"/>
  <c r="V144" i="5"/>
  <c r="W147" i="5"/>
  <c r="V150" i="5"/>
  <c r="W152" i="5"/>
  <c r="Y156" i="5"/>
  <c r="W158" i="5"/>
  <c r="W163" i="5"/>
  <c r="Y165" i="5"/>
  <c r="W168" i="5"/>
  <c r="V172" i="5"/>
  <c r="V176" i="5"/>
  <c r="W178" i="5"/>
  <c r="V180" i="5"/>
  <c r="W182" i="5"/>
  <c r="Y188" i="5"/>
  <c r="X31" i="5"/>
  <c r="V92" i="5"/>
  <c r="W94" i="5"/>
  <c r="V97" i="5"/>
  <c r="W100" i="5"/>
  <c r="V102" i="5"/>
  <c r="W105" i="5"/>
  <c r="V109" i="5"/>
  <c r="V115" i="5"/>
  <c r="W117" i="5"/>
  <c r="V120" i="5"/>
  <c r="W123" i="5"/>
  <c r="V126" i="5"/>
  <c r="W128" i="5"/>
  <c r="Y132" i="5"/>
  <c r="W134" i="5"/>
  <c r="V138" i="5"/>
  <c r="V143" i="5"/>
  <c r="W146" i="5"/>
  <c r="Y149" i="5"/>
  <c r="W151" i="5"/>
  <c r="V156" i="5"/>
  <c r="W162" i="5"/>
  <c r="V165" i="5"/>
  <c r="W167" i="5"/>
  <c r="Y171" i="5"/>
  <c r="W173" i="5"/>
  <c r="V175" i="5"/>
  <c r="W181" i="5"/>
  <c r="V185" i="5"/>
  <c r="W186" i="5"/>
  <c r="V188" i="5"/>
  <c r="Q190" i="5"/>
  <c r="Q191" i="5" s="1"/>
  <c r="W179" i="5"/>
  <c r="V184" i="5"/>
  <c r="V6" i="4"/>
  <c r="W9" i="4"/>
  <c r="V14" i="4"/>
  <c r="W17" i="4"/>
  <c r="V22" i="4"/>
  <c r="W25" i="4"/>
  <c r="V30" i="4"/>
  <c r="V32" i="4"/>
  <c r="W35" i="4"/>
  <c r="W37" i="4"/>
  <c r="V42" i="4"/>
  <c r="W45" i="4"/>
  <c r="V50" i="4"/>
  <c r="W53" i="4"/>
  <c r="V58" i="4"/>
  <c r="W61" i="4"/>
  <c r="V66" i="4"/>
  <c r="W69" i="4"/>
  <c r="V74" i="4"/>
  <c r="W77" i="4"/>
  <c r="V82" i="4"/>
  <c r="W85" i="4"/>
  <c r="V90" i="4"/>
  <c r="W93" i="4"/>
  <c r="V98" i="4"/>
  <c r="W101" i="4"/>
  <c r="W103" i="4"/>
  <c r="V108" i="4"/>
  <c r="W111" i="4"/>
  <c r="V116" i="4"/>
  <c r="W119" i="4"/>
  <c r="V124" i="4"/>
  <c r="W127" i="4"/>
  <c r="V132" i="4"/>
  <c r="W135" i="4"/>
  <c r="V140" i="4"/>
  <c r="W143" i="4"/>
  <c r="V148" i="4"/>
  <c r="W151" i="4"/>
  <c r="V156" i="4"/>
  <c r="W159" i="4"/>
  <c r="W161" i="4"/>
  <c r="V166" i="4"/>
  <c r="W169" i="4"/>
  <c r="V174" i="4"/>
  <c r="V176" i="4"/>
  <c r="W179" i="4"/>
  <c r="V184" i="4"/>
  <c r="W187" i="4"/>
  <c r="Y177" i="4"/>
  <c r="V179" i="4"/>
  <c r="W182" i="4"/>
  <c r="Y185" i="4"/>
  <c r="V187" i="4"/>
  <c r="W6" i="4"/>
  <c r="V11" i="4"/>
  <c r="W14" i="4"/>
  <c r="V19" i="4"/>
  <c r="W22" i="4"/>
  <c r="V27" i="4"/>
  <c r="W30" i="4"/>
  <c r="W32" i="4"/>
  <c r="Y37" i="4"/>
  <c r="V39" i="4"/>
  <c r="W42" i="4"/>
  <c r="V47" i="4"/>
  <c r="W50" i="4"/>
  <c r="V55" i="4"/>
  <c r="W58" i="4"/>
  <c r="V63" i="4"/>
  <c r="W66" i="4"/>
  <c r="V71" i="4"/>
  <c r="W74" i="4"/>
  <c r="V79" i="4"/>
  <c r="W82" i="4"/>
  <c r="V87" i="4"/>
  <c r="W90" i="4"/>
  <c r="V95" i="4"/>
  <c r="W98" i="4"/>
  <c r="V105" i="4"/>
  <c r="W108" i="4"/>
  <c r="V113" i="4"/>
  <c r="W116" i="4"/>
  <c r="V121" i="4"/>
  <c r="W124" i="4"/>
  <c r="V129" i="4"/>
  <c r="W132" i="4"/>
  <c r="V137" i="4"/>
  <c r="W140" i="4"/>
  <c r="V145" i="4"/>
  <c r="W148" i="4"/>
  <c r="V153" i="4"/>
  <c r="W156" i="4"/>
  <c r="Y161" i="4"/>
  <c r="V163" i="4"/>
  <c r="W166" i="4"/>
  <c r="V171" i="4"/>
  <c r="W174" i="4"/>
  <c r="W176" i="4"/>
  <c r="V181" i="4"/>
  <c r="W184" i="4"/>
  <c r="V16" i="4"/>
  <c r="W19" i="4"/>
  <c r="V24" i="4"/>
  <c r="W27" i="4"/>
  <c r="V34" i="4"/>
  <c r="W39" i="4"/>
  <c r="V44" i="4"/>
  <c r="W47" i="4"/>
  <c r="V52" i="4"/>
  <c r="W55" i="4"/>
  <c r="V60" i="4"/>
  <c r="W63" i="4"/>
  <c r="V68" i="4"/>
  <c r="W71" i="4"/>
  <c r="V76" i="4"/>
  <c r="W79" i="4"/>
  <c r="V84" i="4"/>
  <c r="W87" i="4"/>
  <c r="V92" i="4"/>
  <c r="W95" i="4"/>
  <c r="V100" i="4"/>
  <c r="V102" i="4"/>
  <c r="W105" i="4"/>
  <c r="V110" i="4"/>
  <c r="W113" i="4"/>
  <c r="V118" i="4"/>
  <c r="W121" i="4"/>
  <c r="V126" i="4"/>
  <c r="W129" i="4"/>
  <c r="V134" i="4"/>
  <c r="W137" i="4"/>
  <c r="V142" i="4"/>
  <c r="W145" i="4"/>
  <c r="V150" i="4"/>
  <c r="W153" i="4"/>
  <c r="V158" i="4"/>
  <c r="W163" i="4"/>
  <c r="V168" i="4"/>
  <c r="W171" i="4"/>
  <c r="V178" i="4"/>
  <c r="W181" i="4"/>
  <c r="V186" i="4"/>
  <c r="W8" i="4"/>
  <c r="Y11" i="4"/>
  <c r="V13" i="4"/>
  <c r="W16" i="4"/>
  <c r="Y19" i="4"/>
  <c r="V21" i="4"/>
  <c r="W24" i="4"/>
  <c r="Y27" i="4"/>
  <c r="V29" i="4"/>
  <c r="W34" i="4"/>
  <c r="Y39" i="4"/>
  <c r="V41" i="4"/>
  <c r="W44" i="4"/>
  <c r="Y47" i="4"/>
  <c r="V49" i="4"/>
  <c r="W52" i="4"/>
  <c r="Y55" i="4"/>
  <c r="V57" i="4"/>
  <c r="W60" i="4"/>
  <c r="Y63" i="4"/>
  <c r="V65" i="4"/>
  <c r="W68" i="4"/>
  <c r="Y71" i="4"/>
  <c r="V73" i="4"/>
  <c r="W76" i="4"/>
  <c r="Y79" i="4"/>
  <c r="V81" i="4"/>
  <c r="W84" i="4"/>
  <c r="Y87" i="4"/>
  <c r="V89" i="4"/>
  <c r="W92" i="4"/>
  <c r="Y95" i="4"/>
  <c r="V97" i="4"/>
  <c r="W100" i="4"/>
  <c r="W102" i="4"/>
  <c r="Y105" i="4"/>
  <c r="V107" i="4"/>
  <c r="W110" i="4"/>
  <c r="Y113" i="4"/>
  <c r="V115" i="4"/>
  <c r="W118" i="4"/>
  <c r="Y121" i="4"/>
  <c r="V123" i="4"/>
  <c r="W126" i="4"/>
  <c r="Y129" i="4"/>
  <c r="V131" i="4"/>
  <c r="W134" i="4"/>
  <c r="Y137" i="4"/>
  <c r="V139" i="4"/>
  <c r="W142" i="4"/>
  <c r="Y145" i="4"/>
  <c r="V147" i="4"/>
  <c r="W150" i="4"/>
  <c r="Y153" i="4"/>
  <c r="V155" i="4"/>
  <c r="W158" i="4"/>
  <c r="Y163" i="4"/>
  <c r="V165" i="4"/>
  <c r="W168" i="4"/>
  <c r="Y171" i="4"/>
  <c r="V173" i="4"/>
  <c r="V175" i="4"/>
  <c r="W178" i="4"/>
  <c r="Y181" i="4"/>
  <c r="V183" i="4"/>
  <c r="W186" i="4"/>
  <c r="V31" i="4"/>
  <c r="Y8" i="4"/>
  <c r="V10" i="4"/>
  <c r="W13" i="4"/>
  <c r="Y16" i="4"/>
  <c r="V18" i="4"/>
  <c r="W21" i="4"/>
  <c r="Y24" i="4"/>
  <c r="V26" i="4"/>
  <c r="W29" i="4"/>
  <c r="W31" i="4"/>
  <c r="Y34" i="4"/>
  <c r="V36" i="4"/>
  <c r="V38" i="4"/>
  <c r="W41" i="4"/>
  <c r="Y44" i="4"/>
  <c r="V46" i="4"/>
  <c r="W49" i="4"/>
  <c r="Y52" i="4"/>
  <c r="V54" i="4"/>
  <c r="W57" i="4"/>
  <c r="Y60" i="4"/>
  <c r="V62" i="4"/>
  <c r="W65" i="4"/>
  <c r="Y68" i="4"/>
  <c r="V70" i="4"/>
  <c r="W73" i="4"/>
  <c r="Y76" i="4"/>
  <c r="V78" i="4"/>
  <c r="W81" i="4"/>
  <c r="Y84" i="4"/>
  <c r="V86" i="4"/>
  <c r="W89" i="4"/>
  <c r="Y92" i="4"/>
  <c r="V94" i="4"/>
  <c r="W97" i="4"/>
  <c r="Y100" i="4"/>
  <c r="Y102" i="4"/>
  <c r="V104" i="4"/>
  <c r="W107" i="4"/>
  <c r="Y110" i="4"/>
  <c r="V112" i="4"/>
  <c r="W115" i="4"/>
  <c r="Y118" i="4"/>
  <c r="V120" i="4"/>
  <c r="W123" i="4"/>
  <c r="Y126" i="4"/>
  <c r="V128" i="4"/>
  <c r="W131" i="4"/>
  <c r="Y134" i="4"/>
  <c r="V136" i="4"/>
  <c r="W139" i="4"/>
  <c r="Y142" i="4"/>
  <c r="V144" i="4"/>
  <c r="W147" i="4"/>
  <c r="Y150" i="4"/>
  <c r="V152" i="4"/>
  <c r="W155" i="4"/>
  <c r="Y158" i="4"/>
  <c r="V160" i="4"/>
  <c r="V162" i="4"/>
  <c r="W165" i="4"/>
  <c r="Y168" i="4"/>
  <c r="V170" i="4"/>
  <c r="W173" i="4"/>
  <c r="W175" i="4"/>
  <c r="Y178" i="4"/>
  <c r="V180" i="4"/>
  <c r="W183" i="4"/>
  <c r="Y186" i="4"/>
  <c r="V188" i="4"/>
  <c r="V7" i="4"/>
  <c r="W10" i="4"/>
  <c r="V15" i="4"/>
  <c r="W18" i="4"/>
  <c r="Y21" i="4"/>
  <c r="Y190" i="4" s="1"/>
  <c r="V23" i="4"/>
  <c r="W26" i="4"/>
  <c r="Y31" i="4"/>
  <c r="V33" i="4"/>
  <c r="W36" i="4"/>
  <c r="W38" i="4"/>
  <c r="Y41" i="4"/>
  <c r="V43" i="4"/>
  <c r="W46" i="4"/>
  <c r="Y49" i="4"/>
  <c r="V51" i="4"/>
  <c r="W54" i="4"/>
  <c r="Y57" i="4"/>
  <c r="V59" i="4"/>
  <c r="W62" i="4"/>
  <c r="Y65" i="4"/>
  <c r="V67" i="4"/>
  <c r="W70" i="4"/>
  <c r="Y73" i="4"/>
  <c r="V75" i="4"/>
  <c r="W78" i="4"/>
  <c r="Y81" i="4"/>
  <c r="V83" i="4"/>
  <c r="W86" i="4"/>
  <c r="Y89" i="4"/>
  <c r="V91" i="4"/>
  <c r="W94" i="4"/>
  <c r="Y97" i="4"/>
  <c r="V99" i="4"/>
  <c r="W104" i="4"/>
  <c r="Y107" i="4"/>
  <c r="V109" i="4"/>
  <c r="W112" i="4"/>
  <c r="Y115" i="4"/>
  <c r="V117" i="4"/>
  <c r="W120" i="4"/>
  <c r="Y123" i="4"/>
  <c r="V125" i="4"/>
  <c r="W128" i="4"/>
  <c r="Y131" i="4"/>
  <c r="V133" i="4"/>
  <c r="W136" i="4"/>
  <c r="Y139" i="4"/>
  <c r="V141" i="4"/>
  <c r="W144" i="4"/>
  <c r="Y147" i="4"/>
  <c r="V149" i="4"/>
  <c r="W152" i="4"/>
  <c r="Y155" i="4"/>
  <c r="V157" i="4"/>
  <c r="W160" i="4"/>
  <c r="W162" i="4"/>
  <c r="Y165" i="4"/>
  <c r="V167" i="4"/>
  <c r="W170" i="4"/>
  <c r="Y173" i="4"/>
  <c r="Y175" i="4"/>
  <c r="V177" i="4"/>
  <c r="W180" i="4"/>
  <c r="Y183" i="4"/>
  <c r="V185" i="4"/>
  <c r="W188" i="4"/>
  <c r="Y29" i="4"/>
  <c r="W7" i="4"/>
  <c r="V12" i="4"/>
  <c r="W15" i="4"/>
  <c r="V20" i="4"/>
  <c r="W23" i="4"/>
  <c r="V28" i="4"/>
  <c r="W33" i="4"/>
  <c r="V40" i="4"/>
  <c r="W43" i="4"/>
  <c r="V48" i="4"/>
  <c r="W51" i="4"/>
  <c r="V56" i="4"/>
  <c r="W59" i="4"/>
  <c r="V64" i="4"/>
  <c r="W67" i="4"/>
  <c r="V72" i="4"/>
  <c r="W75" i="4"/>
  <c r="V80" i="4"/>
  <c r="W83" i="4"/>
  <c r="V88" i="4"/>
  <c r="W91" i="4"/>
  <c r="V96" i="4"/>
  <c r="W99" i="4"/>
  <c r="V106" i="4"/>
  <c r="W109" i="4"/>
  <c r="V114" i="4"/>
  <c r="W117" i="4"/>
  <c r="V122" i="4"/>
  <c r="W125" i="4"/>
  <c r="V130" i="4"/>
  <c r="W133" i="4"/>
  <c r="V138" i="4"/>
  <c r="W141" i="4"/>
  <c r="V146" i="4"/>
  <c r="W149" i="4"/>
  <c r="V154" i="4"/>
  <c r="W157" i="4"/>
  <c r="V164" i="4"/>
  <c r="W167" i="4"/>
  <c r="V172" i="4"/>
  <c r="W177" i="4"/>
  <c r="V182" i="4"/>
  <c r="V8" i="3"/>
  <c r="W11" i="3"/>
  <c r="V16" i="3"/>
  <c r="W19" i="3"/>
  <c r="V24" i="3"/>
  <c r="W27" i="3"/>
  <c r="V32" i="3"/>
  <c r="W35" i="3"/>
  <c r="V40" i="3"/>
  <c r="W43" i="3"/>
  <c r="V48" i="3"/>
  <c r="W51" i="3"/>
  <c r="V56" i="3"/>
  <c r="W59" i="3"/>
  <c r="V64" i="3"/>
  <c r="W67" i="3"/>
  <c r="V72" i="3"/>
  <c r="W75" i="3"/>
  <c r="V80" i="3"/>
  <c r="W83" i="3"/>
  <c r="V88" i="3"/>
  <c r="W91" i="3"/>
  <c r="V96" i="3"/>
  <c r="W99" i="3"/>
  <c r="V104" i="3"/>
  <c r="W107" i="3"/>
  <c r="V112" i="3"/>
  <c r="W115" i="3"/>
  <c r="V120" i="3"/>
  <c r="W123" i="3"/>
  <c r="V128" i="3"/>
  <c r="W131" i="3"/>
  <c r="V136" i="3"/>
  <c r="W139" i="3"/>
  <c r="V144" i="3"/>
  <c r="W147" i="3"/>
  <c r="V152" i="3"/>
  <c r="W155" i="3"/>
  <c r="V160" i="3"/>
  <c r="W163" i="3"/>
  <c r="V168" i="3"/>
  <c r="W171" i="3"/>
  <c r="V176" i="3"/>
  <c r="W179" i="3"/>
  <c r="V184" i="3"/>
  <c r="W187" i="3"/>
  <c r="Y177" i="3"/>
  <c r="V179" i="3"/>
  <c r="W182" i="3"/>
  <c r="Y185" i="3"/>
  <c r="V187" i="3"/>
  <c r="W8" i="3"/>
  <c r="V13" i="3"/>
  <c r="W16" i="3"/>
  <c r="V21" i="3"/>
  <c r="W24" i="3"/>
  <c r="V29" i="3"/>
  <c r="W32" i="3"/>
  <c r="V37" i="3"/>
  <c r="W40" i="3"/>
  <c r="V45" i="3"/>
  <c r="W48" i="3"/>
  <c r="V53" i="3"/>
  <c r="W56" i="3"/>
  <c r="V61" i="3"/>
  <c r="W64" i="3"/>
  <c r="V69" i="3"/>
  <c r="W72" i="3"/>
  <c r="V77" i="3"/>
  <c r="W80" i="3"/>
  <c r="V85" i="3"/>
  <c r="W88" i="3"/>
  <c r="V93" i="3"/>
  <c r="W96" i="3"/>
  <c r="V101" i="3"/>
  <c r="W104" i="3"/>
  <c r="V109" i="3"/>
  <c r="W112" i="3"/>
  <c r="V117" i="3"/>
  <c r="W120" i="3"/>
  <c r="V125" i="3"/>
  <c r="W128" i="3"/>
  <c r="V133" i="3"/>
  <c r="W136" i="3"/>
  <c r="V141" i="3"/>
  <c r="W144" i="3"/>
  <c r="V149" i="3"/>
  <c r="W152" i="3"/>
  <c r="V157" i="3"/>
  <c r="W160" i="3"/>
  <c r="V165" i="3"/>
  <c r="W168" i="3"/>
  <c r="V173" i="3"/>
  <c r="W176" i="3"/>
  <c r="V181" i="3"/>
  <c r="W184" i="3"/>
  <c r="V138" i="3"/>
  <c r="W141" i="3"/>
  <c r="V146" i="3"/>
  <c r="W149" i="3"/>
  <c r="V154" i="3"/>
  <c r="W157" i="3"/>
  <c r="V162" i="3"/>
  <c r="W165" i="3"/>
  <c r="V170" i="3"/>
  <c r="W173" i="3"/>
  <c r="V178" i="3"/>
  <c r="W181" i="3"/>
  <c r="V186" i="3"/>
  <c r="W109" i="3"/>
  <c r="V114" i="3"/>
  <c r="W117" i="3"/>
  <c r="V122" i="3"/>
  <c r="W125" i="3"/>
  <c r="V130" i="3"/>
  <c r="W133" i="3"/>
  <c r="V7" i="3"/>
  <c r="W10" i="3"/>
  <c r="Y13" i="3"/>
  <c r="V15" i="3"/>
  <c r="W18" i="3"/>
  <c r="Y21" i="3"/>
  <c r="V23" i="3"/>
  <c r="W26" i="3"/>
  <c r="Y29" i="3"/>
  <c r="V31" i="3"/>
  <c r="W34" i="3"/>
  <c r="Y37" i="3"/>
  <c r="V39" i="3"/>
  <c r="W42" i="3"/>
  <c r="Y45" i="3"/>
  <c r="V47" i="3"/>
  <c r="W50" i="3"/>
  <c r="Y53" i="3"/>
  <c r="V55" i="3"/>
  <c r="W58" i="3"/>
  <c r="Y61" i="3"/>
  <c r="V63" i="3"/>
  <c r="W66" i="3"/>
  <c r="Y69" i="3"/>
  <c r="V71" i="3"/>
  <c r="W74" i="3"/>
  <c r="Y77" i="3"/>
  <c r="V79" i="3"/>
  <c r="W82" i="3"/>
  <c r="V87" i="3"/>
  <c r="W90" i="3"/>
  <c r="V95" i="3"/>
  <c r="W98" i="3"/>
  <c r="V103" i="3"/>
  <c r="W106" i="3"/>
  <c r="V111" i="3"/>
  <c r="W114" i="3"/>
  <c r="V119" i="3"/>
  <c r="W122" i="3"/>
  <c r="V127" i="3"/>
  <c r="W130" i="3"/>
  <c r="V135" i="3"/>
  <c r="W138" i="3"/>
  <c r="V143" i="3"/>
  <c r="W146" i="3"/>
  <c r="V151" i="3"/>
  <c r="W154" i="3"/>
  <c r="V159" i="3"/>
  <c r="W162" i="3"/>
  <c r="V167" i="3"/>
  <c r="W170" i="3"/>
  <c r="V175" i="3"/>
  <c r="W178" i="3"/>
  <c r="V183" i="3"/>
  <c r="W186" i="3"/>
  <c r="Y82" i="3"/>
  <c r="V84" i="3"/>
  <c r="W87" i="3"/>
  <c r="Y90" i="3"/>
  <c r="V92" i="3"/>
  <c r="W95" i="3"/>
  <c r="Y98" i="3"/>
  <c r="V100" i="3"/>
  <c r="W103" i="3"/>
  <c r="Y106" i="3"/>
  <c r="V108" i="3"/>
  <c r="W111" i="3"/>
  <c r="Y114" i="3"/>
  <c r="V116" i="3"/>
  <c r="W119" i="3"/>
  <c r="Y122" i="3"/>
  <c r="V124" i="3"/>
  <c r="W127" i="3"/>
  <c r="Y130" i="3"/>
  <c r="V132" i="3"/>
  <c r="W135" i="3"/>
  <c r="Y138" i="3"/>
  <c r="V140" i="3"/>
  <c r="W143" i="3"/>
  <c r="Y146" i="3"/>
  <c r="V148" i="3"/>
  <c r="W151" i="3"/>
  <c r="Y154" i="3"/>
  <c r="V156" i="3"/>
  <c r="W159" i="3"/>
  <c r="Y162" i="3"/>
  <c r="V164" i="3"/>
  <c r="W167" i="3"/>
  <c r="Y170" i="3"/>
  <c r="V172" i="3"/>
  <c r="W175" i="3"/>
  <c r="Y178" i="3"/>
  <c r="V180" i="3"/>
  <c r="W183" i="3"/>
  <c r="Y186" i="3"/>
  <c r="V188" i="3"/>
  <c r="V81" i="3"/>
  <c r="W84" i="3"/>
  <c r="V89" i="3"/>
  <c r="W92" i="3"/>
  <c r="V97" i="3"/>
  <c r="W100" i="3"/>
  <c r="W108" i="3"/>
  <c r="V113" i="3"/>
  <c r="W116" i="3"/>
  <c r="V121" i="3"/>
  <c r="W124" i="3"/>
  <c r="V129" i="3"/>
  <c r="W132" i="3"/>
  <c r="V137" i="3"/>
  <c r="W140" i="3"/>
  <c r="Y143" i="3"/>
  <c r="V145" i="3"/>
  <c r="W148" i="3"/>
  <c r="Y151" i="3"/>
  <c r="V153" i="3"/>
  <c r="W156" i="3"/>
  <c r="Y159" i="3"/>
  <c r="V161" i="3"/>
  <c r="W164" i="3"/>
  <c r="Y167" i="3"/>
  <c r="V169" i="3"/>
  <c r="W172" i="3"/>
  <c r="Y175" i="3"/>
  <c r="V177" i="3"/>
  <c r="W180" i="3"/>
  <c r="Y183" i="3"/>
  <c r="V185" i="3"/>
  <c r="W188" i="3"/>
  <c r="V6" i="3"/>
  <c r="W9" i="3"/>
  <c r="W190" i="3" s="1"/>
  <c r="Y12" i="3"/>
  <c r="Y190" i="3" s="1"/>
  <c r="V14" i="3"/>
  <c r="W17" i="3"/>
  <c r="Y20" i="3"/>
  <c r="V22" i="3"/>
  <c r="W25" i="3"/>
  <c r="Y28" i="3"/>
  <c r="V30" i="3"/>
  <c r="W33" i="3"/>
  <c r="Y36" i="3"/>
  <c r="V38" i="3"/>
  <c r="W41" i="3"/>
  <c r="Y44" i="3"/>
  <c r="V46" i="3"/>
  <c r="W49" i="3"/>
  <c r="Y52" i="3"/>
  <c r="V54" i="3"/>
  <c r="W57" i="3"/>
  <c r="Y60" i="3"/>
  <c r="V62" i="3"/>
  <c r="W65" i="3"/>
  <c r="Y68" i="3"/>
  <c r="V70" i="3"/>
  <c r="W73" i="3"/>
  <c r="Y76" i="3"/>
  <c r="V78" i="3"/>
  <c r="W81" i="3"/>
  <c r="Y84" i="3"/>
  <c r="V86" i="3"/>
  <c r="W89" i="3"/>
  <c r="Y92" i="3"/>
  <c r="V94" i="3"/>
  <c r="W97" i="3"/>
  <c r="Y100" i="3"/>
  <c r="V102" i="3"/>
  <c r="W105" i="3"/>
  <c r="Y108" i="3"/>
  <c r="V110" i="3"/>
  <c r="W113" i="3"/>
  <c r="Y116" i="3"/>
  <c r="V118" i="3"/>
  <c r="W121" i="3"/>
  <c r="Y124" i="3"/>
  <c r="V126" i="3"/>
  <c r="W129" i="3"/>
  <c r="Y132" i="3"/>
  <c r="V134" i="3"/>
  <c r="W137" i="3"/>
  <c r="Y140" i="3"/>
  <c r="V142" i="3"/>
  <c r="W145" i="3"/>
  <c r="Y148" i="3"/>
  <c r="V150" i="3"/>
  <c r="W153" i="3"/>
  <c r="Y156" i="3"/>
  <c r="V158" i="3"/>
  <c r="W161" i="3"/>
  <c r="Y164" i="3"/>
  <c r="V166" i="3"/>
  <c r="W169" i="3"/>
  <c r="Y172" i="3"/>
  <c r="V174" i="3"/>
  <c r="W177" i="3"/>
  <c r="Y180" i="3"/>
  <c r="V182" i="3"/>
  <c r="W185" i="3"/>
  <c r="Y190" i="2"/>
  <c r="W187" i="2"/>
  <c r="Y187" i="2"/>
  <c r="W173" i="2"/>
  <c r="W175" i="2"/>
  <c r="V180" i="2"/>
  <c r="W183" i="2"/>
  <c r="V188" i="2"/>
  <c r="W15" i="2"/>
  <c r="W190" i="2" s="1"/>
  <c r="V20" i="2"/>
  <c r="V190" i="2" s="1"/>
  <c r="W23" i="2"/>
  <c r="V28" i="2"/>
  <c r="W33" i="2"/>
  <c r="V40" i="2"/>
  <c r="W43" i="2"/>
  <c r="V48" i="2"/>
  <c r="W51" i="2"/>
  <c r="V56" i="2"/>
  <c r="W59" i="2"/>
  <c r="V64" i="2"/>
  <c r="W67" i="2"/>
  <c r="V72" i="2"/>
  <c r="W75" i="2"/>
  <c r="V80" i="2"/>
  <c r="W83" i="2"/>
  <c r="V88" i="2"/>
  <c r="W91" i="2"/>
  <c r="V96" i="2"/>
  <c r="W99" i="2"/>
  <c r="V106" i="2"/>
  <c r="W109" i="2"/>
  <c r="V114" i="2"/>
  <c r="W117" i="2"/>
  <c r="V122" i="2"/>
  <c r="W125" i="2"/>
  <c r="V130" i="2"/>
  <c r="W133" i="2"/>
  <c r="V138" i="2"/>
  <c r="W141" i="2"/>
  <c r="V146" i="2"/>
  <c r="W149" i="2"/>
  <c r="V154" i="2"/>
  <c r="W157" i="2"/>
  <c r="V164" i="2"/>
  <c r="W167" i="2"/>
  <c r="V172" i="2"/>
  <c r="W177" i="2"/>
  <c r="V182" i="2"/>
  <c r="X102" i="5" l="1"/>
  <c r="X37" i="5"/>
  <c r="Y190" i="5"/>
  <c r="W190" i="5"/>
  <c r="X161" i="5"/>
  <c r="V190" i="5"/>
  <c r="P196" i="5" s="1"/>
  <c r="P197" i="5"/>
  <c r="X175" i="5"/>
  <c r="W190" i="4"/>
  <c r="V190" i="4"/>
  <c r="V190" i="3"/>
  <c r="X190" i="5" l="1"/>
</calcChain>
</file>

<file path=xl/sharedStrings.xml><?xml version="1.0" encoding="utf-8"?>
<sst xmlns="http://schemas.openxmlformats.org/spreadsheetml/2006/main" count="2896" uniqueCount="227">
  <si>
    <t>provid</t>
  </si>
  <si>
    <t>kotakabid</t>
  </si>
  <si>
    <t>irigasiid</t>
  </si>
  <si>
    <t>Provinsi</t>
  </si>
  <si>
    <t>Kab/Kota</t>
  </si>
  <si>
    <t>No.</t>
  </si>
  <si>
    <t>Nomeklatur/
Nama Daerah Irigasi</t>
  </si>
  <si>
    <t>Luas Daerah Irigasi Sesuai Permen 14/2015 (Ha)</t>
  </si>
  <si>
    <t>Areal Terdampak Kondisi Jaringan Irigasi (Ha)</t>
  </si>
  <si>
    <t>Indeks Kondisi Sistem Irigasi (%)</t>
  </si>
  <si>
    <t>Baik (m)</t>
  </si>
  <si>
    <t>Rusak Ringan (m)</t>
  </si>
  <si>
    <t>Rusak Sedang (m)</t>
  </si>
  <si>
    <t>Rusak Berat (m)</t>
  </si>
  <si>
    <t>Total (m)</t>
  </si>
  <si>
    <t>Prasarana Fisik</t>
  </si>
  <si>
    <t>Produktivitas</t>
  </si>
  <si>
    <t>Sarana Penujang</t>
  </si>
  <si>
    <t>Organisasi Personalia</t>
  </si>
  <si>
    <t>Dokumentasi</t>
  </si>
  <si>
    <t>P3A/GP3A/IP3A</t>
  </si>
  <si>
    <t>Jumlah</t>
  </si>
  <si>
    <t>Prasarana Fisik x Luas D.I.</t>
  </si>
  <si>
    <t>Produktivitas Tanam x Luas D.I.</t>
  </si>
  <si>
    <t>IKSI x Luas D.I.</t>
  </si>
  <si>
    <t>Nilai Maks 45%</t>
  </si>
  <si>
    <t>Nilai Maks 15%</t>
  </si>
  <si>
    <t>Nilai Maks 10%</t>
  </si>
  <si>
    <t>Nilai Maks 5%</t>
  </si>
  <si>
    <t>Nilai Maks 100%</t>
  </si>
  <si>
    <t>Nilai Maks Prasarana Fisik 100%</t>
  </si>
  <si>
    <t>Nilai Maks Produktivitas Tanam 100%</t>
  </si>
  <si>
    <t>UPT PSDA WS WELANG PEKALEN DI PASURUAN</t>
  </si>
  <si>
    <t>JAWA TIMUR</t>
  </si>
  <si>
    <t>PROVINSI JAWA TIMUR</t>
  </si>
  <si>
    <t>D.I ARAH MAKAM BAWAH</t>
  </si>
  <si>
    <t>D.I JERUK TAMAN</t>
  </si>
  <si>
    <t>D.I RAMAH BAWAH</t>
  </si>
  <si>
    <t>D.I SBR. BENDO JERUK</t>
  </si>
  <si>
    <t>D.I TOPI</t>
  </si>
  <si>
    <t>D.I BAONG</t>
  </si>
  <si>
    <t>D.I BEKACAK</t>
  </si>
  <si>
    <t>D.I DOMAS</t>
  </si>
  <si>
    <t>D.I KLOSOD</t>
  </si>
  <si>
    <t>D.I PATEGUAN</t>
  </si>
  <si>
    <t>D.I RANUGRATI</t>
  </si>
  <si>
    <t>D.I SELOWONGKO</t>
  </si>
  <si>
    <t>D.I TELEBUK</t>
  </si>
  <si>
    <t>D.I I.S PAKIS</t>
  </si>
  <si>
    <t>D.I LONTONG</t>
  </si>
  <si>
    <t>D.I WARUJINGGO</t>
  </si>
  <si>
    <t>D.I TAPOSAN</t>
  </si>
  <si>
    <t>D.I KRASAK</t>
  </si>
  <si>
    <t>D.I MBOK SITI</t>
  </si>
  <si>
    <t>D.I BANGO</t>
  </si>
  <si>
    <t>D.I GRINTING</t>
  </si>
  <si>
    <t>D.I LICIN</t>
  </si>
  <si>
    <t>D.I PLERED</t>
  </si>
  <si>
    <t>D.I TANGGULANGIN</t>
  </si>
  <si>
    <t>D.I SURAK</t>
  </si>
  <si>
    <t>UPT PSDA WS KEPULAUAN MADURA DI PAMEKASAN</t>
  </si>
  <si>
    <t>D.I DAM OMBUL</t>
  </si>
  <si>
    <t>D.I TUNJUNG</t>
  </si>
  <si>
    <t>D.I KLAMPIS</t>
  </si>
  <si>
    <t>D.I SAMIRAN</t>
  </si>
  <si>
    <t>D.I JEPUN</t>
  </si>
  <si>
    <t>UPT PSDA WS BRANTAS DI KEDIRI</t>
  </si>
  <si>
    <t>D.I. BAKALAN</t>
  </si>
  <si>
    <t>D.I BODO</t>
  </si>
  <si>
    <t>D.I KADALPANG</t>
  </si>
  <si>
    <t>D.I KAJAR II A</t>
  </si>
  <si>
    <t>D.I KALI METRO</t>
  </si>
  <si>
    <t>D.I KALILANANG</t>
  </si>
  <si>
    <t>D.I KEBALON</t>
  </si>
  <si>
    <t>D.I LOSAWI</t>
  </si>
  <si>
    <t>D.I NGUKIR</t>
  </si>
  <si>
    <t>D.I PAKIS</t>
  </si>
  <si>
    <t>D.I PENIWEN</t>
  </si>
  <si>
    <t>D.I PODOKATON</t>
  </si>
  <si>
    <t>D.I SEDUDUT</t>
  </si>
  <si>
    <t>D.I SENGKALING KANAN</t>
  </si>
  <si>
    <t>D.I SENGKALING KIRI</t>
  </si>
  <si>
    <t>D.I SUMBER TEKIK</t>
  </si>
  <si>
    <t>D.I SUMBER TURUS</t>
  </si>
  <si>
    <t>D.I TRIMO SEMUT</t>
  </si>
  <si>
    <t>D.I URUNG0URUNG</t>
  </si>
  <si>
    <t>D.I TURI</t>
  </si>
  <si>
    <t>D.I SBR. GAYAM</t>
  </si>
  <si>
    <t>D.I KALIBOTO</t>
  </si>
  <si>
    <t>D.I PAINGAN</t>
  </si>
  <si>
    <t>D.I WIDORO</t>
  </si>
  <si>
    <t>D.I SUKORAME</t>
  </si>
  <si>
    <t>D.I JEMPOR</t>
  </si>
  <si>
    <t>D.I TAMBAKREJO I</t>
  </si>
  <si>
    <t>D.I REMBANG</t>
  </si>
  <si>
    <t>D.I PLOSOTENGAH</t>
  </si>
  <si>
    <t>D.I SAWAHAN</t>
  </si>
  <si>
    <t>D.I NGREBO</t>
  </si>
  <si>
    <t>D.I JATINOM</t>
  </si>
  <si>
    <t>D.I SUMBER TULUNG</t>
  </si>
  <si>
    <t>D.I SUMBER BERJO</t>
  </si>
  <si>
    <t>D.I JATEN TERMAS</t>
  </si>
  <si>
    <t>D.I GUNTING</t>
  </si>
  <si>
    <t>D.I KEMBANGAN</t>
  </si>
  <si>
    <t>D.I KLITIK BENDOKROSOK</t>
  </si>
  <si>
    <t>D.I KLITIH KRESEK</t>
  </si>
  <si>
    <t>D.I NGAGLIK</t>
  </si>
  <si>
    <t>D.I NGABLAK</t>
  </si>
  <si>
    <t>D.I BUJEL</t>
  </si>
  <si>
    <t>D.I PESANTREN</t>
  </si>
  <si>
    <t>D.I BETIS/NGRECO</t>
  </si>
  <si>
    <t>D.I BADAS</t>
  </si>
  <si>
    <t>D.I TAWANGSARI</t>
  </si>
  <si>
    <t>D.I KEJAGAN</t>
  </si>
  <si>
    <t>D.I KAWEDEN</t>
  </si>
  <si>
    <t>D.I MERNUNG</t>
  </si>
  <si>
    <t>D.I SUBANTORO</t>
  </si>
  <si>
    <t>D.I SINOMAN</t>
  </si>
  <si>
    <t>D.I PENEWON</t>
  </si>
  <si>
    <t>D.I JATI KULON</t>
  </si>
  <si>
    <t>D.I CANDI LIMO</t>
  </si>
  <si>
    <t>D.I GELANG</t>
  </si>
  <si>
    <t>D.I DERMEN</t>
  </si>
  <si>
    <t xml:space="preserve">D.I KETANDAN </t>
  </si>
  <si>
    <t xml:space="preserve">D.I POHBLEMBEM </t>
  </si>
  <si>
    <t>D.I BULAKMOJO</t>
  </si>
  <si>
    <t>D.I KEDUNG GERIT</t>
  </si>
  <si>
    <t xml:space="preserve">D.I NGRAMBE </t>
  </si>
  <si>
    <t>D.I KROMONG II</t>
  </si>
  <si>
    <t>D.I JATIMLEREK</t>
  </si>
  <si>
    <t>D.I SLUMBUNG</t>
  </si>
  <si>
    <t>UPT PSDA WS BENGAWAN SOLO DI BOJONEGORO</t>
  </si>
  <si>
    <t>D.I CAU</t>
  </si>
  <si>
    <t>D.I MOJOPURNO</t>
  </si>
  <si>
    <t>D.I BRANGKAL BAWAH</t>
  </si>
  <si>
    <t>D.I BLODRO</t>
  </si>
  <si>
    <t>D.I PIRING I</t>
  </si>
  <si>
    <t>D.I SONO</t>
  </si>
  <si>
    <t>D.I TRATE</t>
  </si>
  <si>
    <t>D.I KEDUNGREJO</t>
  </si>
  <si>
    <t>D.I GANDONGKERIK</t>
  </si>
  <si>
    <t>D.I MARGOPADANG</t>
  </si>
  <si>
    <t>D.I. TURI</t>
  </si>
  <si>
    <t>D.I DUNG TIMUN</t>
  </si>
  <si>
    <t>D.I DUNG LO</t>
  </si>
  <si>
    <t>D.I KLALUNG</t>
  </si>
  <si>
    <t>D.I KEREP</t>
  </si>
  <si>
    <t>D.I TAJI</t>
  </si>
  <si>
    <t>D.I KULUHAN</t>
  </si>
  <si>
    <t>D.I JABUNG</t>
  </si>
  <si>
    <t>D.I KALONGAN</t>
  </si>
  <si>
    <t>D.I GALOK ATAS/SOPONYONO</t>
  </si>
  <si>
    <t>D.I RAWA JABUNG</t>
  </si>
  <si>
    <t>D.I KALI CORONG</t>
  </si>
  <si>
    <t>D.I WADUK SUMENGKO</t>
  </si>
  <si>
    <t xml:space="preserve">D.I BEDILAN </t>
  </si>
  <si>
    <t>D.I NOTOPURO</t>
  </si>
  <si>
    <t>D.I SARANGAN</t>
  </si>
  <si>
    <t>D.I SEWU</t>
  </si>
  <si>
    <t xml:space="preserve">D.I WATES </t>
  </si>
  <si>
    <t>D.I CEPOGO</t>
  </si>
  <si>
    <t>D.I DALEM</t>
  </si>
  <si>
    <t>D.I SAMPUNG</t>
  </si>
  <si>
    <t>D.I SUMOROBANGUN</t>
  </si>
  <si>
    <t>D.I WATU PUTIH</t>
  </si>
  <si>
    <t>D.I WILANGAN</t>
  </si>
  <si>
    <t>D.I KEDUNG BENDO</t>
  </si>
  <si>
    <t>D.I.PANG</t>
  </si>
  <si>
    <t>D.I BEKOH</t>
  </si>
  <si>
    <t>D.I GURDO</t>
  </si>
  <si>
    <t>D.I GUYUNG</t>
  </si>
  <si>
    <t>D.I KEDUNGPUTRI</t>
  </si>
  <si>
    <t>D.I TEGUHAN</t>
  </si>
  <si>
    <t>D.I. WIDODAREN</t>
  </si>
  <si>
    <t>D.I CAWAK</t>
  </si>
  <si>
    <t>D.I PIRANG</t>
  </si>
  <si>
    <t>D.I WD. LERAN</t>
  </si>
  <si>
    <t>D.I KENING</t>
  </si>
  <si>
    <t>D.I MAIBIT</t>
  </si>
  <si>
    <t>D.I MERAK URAK</t>
  </si>
  <si>
    <t>D.I NGLIRIP</t>
  </si>
  <si>
    <t>D.I RAWA CUNGKUP</t>
  </si>
  <si>
    <t>D.I RAWA SEKARAN</t>
  </si>
  <si>
    <t>D.I RAWA SEMANDO</t>
  </si>
  <si>
    <t>D.I WD. RANDE</t>
  </si>
  <si>
    <t>D.I KALI WADAK</t>
  </si>
  <si>
    <t>D.I WD. GOGOR</t>
  </si>
  <si>
    <t xml:space="preserve">D.I WD. LOWAYU </t>
  </si>
  <si>
    <t>D.I BUTUNGAN</t>
  </si>
  <si>
    <t>D.I KALIGERMAN</t>
  </si>
  <si>
    <t>UPT PSDA WS SAMPEAN SETAIL DI BONDOWOSO</t>
  </si>
  <si>
    <t>D.I SBR. PAKEM</t>
  </si>
  <si>
    <t>D.I ARJASA</t>
  </si>
  <si>
    <t>D.I NURBIHA</t>
  </si>
  <si>
    <t>D.I GUMBOLO/DAWUHAN</t>
  </si>
  <si>
    <t>D.I PRINGDURI</t>
  </si>
  <si>
    <t>D.I BAJULMATI</t>
  </si>
  <si>
    <t>D.I SBR. NYAMPLONG</t>
  </si>
  <si>
    <t xml:space="preserve">D.I BLAMBANGAN </t>
  </si>
  <si>
    <t>D.I GEMBLENG</t>
  </si>
  <si>
    <t>D.I TENGGORO</t>
  </si>
  <si>
    <t>D.I BALUD</t>
  </si>
  <si>
    <t>D.I WONOSROYO</t>
  </si>
  <si>
    <t>D.I NANGGER</t>
  </si>
  <si>
    <t>UPT PSDA WS BONDOYUDO BARU DI LUMAJANG</t>
  </si>
  <si>
    <t>D.I GROGOL</t>
  </si>
  <si>
    <t>D.I KARANGLO</t>
  </si>
  <si>
    <t>D.I KEMBAR</t>
  </si>
  <si>
    <t>D.I KERTOSARI</t>
  </si>
  <si>
    <t>D.I KOTTOK</t>
  </si>
  <si>
    <t>D.I MRAWAN</t>
  </si>
  <si>
    <t>D.I SUMBER NANGKA</t>
  </si>
  <si>
    <t>D.I BAGO</t>
  </si>
  <si>
    <t>D.I BRUG PURWO</t>
  </si>
  <si>
    <t>D.I CURAH MENJANGAN/KEDUNGSANGKU</t>
  </si>
  <si>
    <t>D.I JURANG DAWIR</t>
  </si>
  <si>
    <t>D.I TEKUNG I</t>
  </si>
  <si>
    <t>D.I UMBUL PRINGTALI</t>
  </si>
  <si>
    <t>tanpa dikalikan luas D.I.</t>
  </si>
  <si>
    <t>dikalikan luas D.I.</t>
  </si>
  <si>
    <t>D.I URUNG URUNG</t>
  </si>
  <si>
    <t xml:space="preserve"> </t>
  </si>
  <si>
    <t>rk 2023</t>
  </si>
  <si>
    <t>rk 2022</t>
  </si>
  <si>
    <t>paket dak 2021</t>
  </si>
  <si>
    <t>paket dak 2022</t>
  </si>
  <si>
    <t>paket dak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</si>
</sst>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8"/>
      <color rgb="FF000000"/>
      <name val="Segoe UI"/>
      <family val="2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5E0B3"/>
        <bgColor rgb="FFC5E0B3"/>
      </patternFill>
    </fill>
    <fill>
      <patternFill patternType="solid">
        <fgColor rgb="FFFBE4D5"/>
        <bgColor rgb="FFFBE4D5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ADB9CA"/>
        <bgColor rgb="FFADB9CA"/>
      </patternFill>
    </fill>
    <fill>
      <patternFill patternType="solid">
        <fgColor rgb="FFF4B083"/>
        <bgColor rgb="FFF4B083"/>
      </patternFill>
    </fill>
    <fill>
      <patternFill patternType="solid">
        <fgColor rgb="FFA8D08D"/>
        <bgColor rgb="FFA8D08D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0" fontId="2" fillId="0" borderId="0"/>
    <xf numFmtId="164" fontId="2" fillId="0" borderId="0" applyFont="0" applyFill="0" applyBorder="0" applyAlignment="0" applyProtection="0"/>
  </cellStyleXfs>
  <cellXfs count="69">
    <xf numFmtId="0" fontId="0" fillId="0" borderId="0" xfId="0"/>
    <xf numFmtId="2" fontId="3" fillId="0" borderId="1" xfId="1" applyNumberFormat="1" applyFont="1" applyBorder="1" applyAlignment="1">
      <alignment horizontal="center" vertical="center" wrapText="1"/>
    </xf>
    <xf numFmtId="2" fontId="3" fillId="0" borderId="1" xfId="1" applyNumberFormat="1" applyFont="1" applyBorder="1" applyAlignment="1">
      <alignment horizontal="center" vertical="center"/>
    </xf>
    <xf numFmtId="2" fontId="3" fillId="0" borderId="2" xfId="1" applyNumberFormat="1" applyFont="1" applyBorder="1" applyAlignment="1">
      <alignment horizontal="center" vertical="center" wrapText="1"/>
    </xf>
    <xf numFmtId="2" fontId="3" fillId="2" borderId="1" xfId="1" applyNumberFormat="1" applyFont="1" applyFill="1" applyBorder="1" applyAlignment="1">
      <alignment horizontal="center" vertical="center" wrapText="1"/>
    </xf>
    <xf numFmtId="0" fontId="2" fillId="0" borderId="0" xfId="1"/>
    <xf numFmtId="2" fontId="3" fillId="0" borderId="3" xfId="1" applyNumberFormat="1" applyFont="1" applyBorder="1" applyAlignment="1">
      <alignment horizontal="center" vertical="center" wrapText="1"/>
    </xf>
    <xf numFmtId="2" fontId="3" fillId="2" borderId="1" xfId="1" applyNumberFormat="1" applyFont="1" applyFill="1" applyBorder="1" applyAlignment="1">
      <alignment horizontal="center" vertical="center" wrapText="1"/>
    </xf>
    <xf numFmtId="2" fontId="3" fillId="0" borderId="4" xfId="1" applyNumberFormat="1" applyFont="1" applyBorder="1" applyAlignment="1">
      <alignment horizontal="center" vertical="center" wrapText="1"/>
    </xf>
    <xf numFmtId="1" fontId="3" fillId="0" borderId="1" xfId="1" applyNumberFormat="1" applyFont="1" applyBorder="1" applyAlignment="1">
      <alignment horizontal="center" vertical="center"/>
    </xf>
    <xf numFmtId="1" fontId="3" fillId="0" borderId="5" xfId="1" applyNumberFormat="1" applyFont="1" applyBorder="1" applyAlignment="1">
      <alignment horizontal="center" vertical="center"/>
    </xf>
    <xf numFmtId="2" fontId="3" fillId="0" borderId="0" xfId="1" applyNumberFormat="1" applyFont="1" applyAlignment="1">
      <alignment horizontal="center" vertical="center" wrapText="1"/>
    </xf>
    <xf numFmtId="1" fontId="4" fillId="0" borderId="5" xfId="1" applyNumberFormat="1" applyFont="1" applyBorder="1" applyAlignment="1">
      <alignment horizontal="left" vertical="center"/>
    </xf>
    <xf numFmtId="0" fontId="2" fillId="0" borderId="6" xfId="1" applyBorder="1"/>
    <xf numFmtId="2" fontId="2" fillId="0" borderId="6" xfId="1" applyNumberFormat="1" applyBorder="1"/>
    <xf numFmtId="164" fontId="0" fillId="0" borderId="6" xfId="2" applyFont="1" applyBorder="1"/>
    <xf numFmtId="164" fontId="0" fillId="3" borderId="6" xfId="2" applyFont="1" applyFill="1" applyBorder="1"/>
    <xf numFmtId="1" fontId="4" fillId="0" borderId="6" xfId="1" applyNumberFormat="1" applyFont="1" applyBorder="1" applyAlignment="1">
      <alignment horizontal="left" vertical="center"/>
    </xf>
    <xf numFmtId="1" fontId="2" fillId="0" borderId="6" xfId="1" applyNumberFormat="1" applyBorder="1"/>
    <xf numFmtId="0" fontId="2" fillId="0" borderId="7" xfId="1" applyBorder="1"/>
    <xf numFmtId="2" fontId="2" fillId="0" borderId="7" xfId="1" applyNumberFormat="1" applyBorder="1"/>
    <xf numFmtId="164" fontId="0" fillId="0" borderId="7" xfId="2" applyFont="1" applyBorder="1"/>
    <xf numFmtId="165" fontId="0" fillId="0" borderId="0" xfId="2" applyNumberFormat="1" applyFont="1"/>
    <xf numFmtId="2" fontId="2" fillId="0" borderId="0" xfId="1" applyNumberFormat="1"/>
    <xf numFmtId="164" fontId="5" fillId="4" borderId="0" xfId="1" applyNumberFormat="1" applyFont="1" applyFill="1"/>
    <xf numFmtId="2" fontId="5" fillId="4" borderId="0" xfId="1" applyNumberFormat="1" applyFont="1" applyFill="1"/>
    <xf numFmtId="0" fontId="4" fillId="0" borderId="0" xfId="1" applyFont="1" applyAlignment="1">
      <alignment horizontal="center"/>
    </xf>
    <xf numFmtId="0" fontId="2" fillId="5" borderId="0" xfId="1" applyFill="1"/>
    <xf numFmtId="0" fontId="2" fillId="5" borderId="6" xfId="1" applyFill="1" applyBorder="1"/>
    <xf numFmtId="2" fontId="2" fillId="5" borderId="6" xfId="1" applyNumberFormat="1" applyFill="1" applyBorder="1"/>
    <xf numFmtId="164" fontId="0" fillId="5" borderId="6" xfId="2" applyFont="1" applyFill="1" applyBorder="1"/>
    <xf numFmtId="1" fontId="2" fillId="5" borderId="6" xfId="1" applyNumberFormat="1" applyFill="1" applyBorder="1"/>
    <xf numFmtId="0" fontId="2" fillId="3" borderId="0" xfId="1" applyFill="1"/>
    <xf numFmtId="0" fontId="2" fillId="3" borderId="6" xfId="1" applyFill="1" applyBorder="1"/>
    <xf numFmtId="2" fontId="2" fillId="3" borderId="6" xfId="1" applyNumberFormat="1" applyFill="1" applyBorder="1"/>
    <xf numFmtId="1" fontId="2" fillId="3" borderId="6" xfId="1" applyNumberFormat="1" applyFill="1" applyBorder="1"/>
    <xf numFmtId="2" fontId="3" fillId="2" borderId="1" xfId="1" applyNumberFormat="1" applyFont="1" applyFill="1" applyBorder="1" applyAlignment="1">
      <alignment horizontal="center" vertical="center"/>
    </xf>
    <xf numFmtId="2" fontId="3" fillId="2" borderId="2" xfId="1" applyNumberFormat="1" applyFont="1" applyFill="1" applyBorder="1" applyAlignment="1">
      <alignment horizontal="center" vertical="center" wrapText="1"/>
    </xf>
    <xf numFmtId="2" fontId="3" fillId="2" borderId="3" xfId="1" applyNumberFormat="1" applyFont="1" applyFill="1" applyBorder="1" applyAlignment="1">
      <alignment horizontal="center" vertical="center" wrapText="1"/>
    </xf>
    <xf numFmtId="2" fontId="3" fillId="2" borderId="0" xfId="1" applyNumberFormat="1" applyFont="1" applyFill="1" applyAlignment="1">
      <alignment horizontal="center" vertical="center" wrapText="1"/>
    </xf>
    <xf numFmtId="2" fontId="3" fillId="2" borderId="4" xfId="1" applyNumberFormat="1" applyFont="1" applyFill="1" applyBorder="1" applyAlignment="1">
      <alignment horizontal="center" vertical="center" wrapText="1"/>
    </xf>
    <xf numFmtId="1" fontId="3" fillId="0" borderId="0" xfId="1" applyNumberFormat="1" applyFont="1" applyAlignment="1">
      <alignment horizontal="center" vertical="center"/>
    </xf>
    <xf numFmtId="164" fontId="2" fillId="0" borderId="0" xfId="1" applyNumberFormat="1"/>
    <xf numFmtId="164" fontId="0" fillId="5" borderId="0" xfId="2" applyFont="1" applyFill="1" applyBorder="1"/>
    <xf numFmtId="0" fontId="2" fillId="6" borderId="0" xfId="1" applyFill="1"/>
    <xf numFmtId="0" fontId="2" fillId="6" borderId="6" xfId="1" applyFill="1" applyBorder="1"/>
    <xf numFmtId="2" fontId="2" fillId="6" borderId="6" xfId="1" applyNumberFormat="1" applyFill="1" applyBorder="1"/>
    <xf numFmtId="164" fontId="0" fillId="6" borderId="6" xfId="2" applyFont="1" applyFill="1" applyBorder="1"/>
    <xf numFmtId="164" fontId="0" fillId="6" borderId="0" xfId="2" applyFont="1" applyFill="1" applyBorder="1"/>
    <xf numFmtId="164" fontId="0" fillId="0" borderId="0" xfId="2" applyFont="1" applyBorder="1"/>
    <xf numFmtId="164" fontId="0" fillId="3" borderId="0" xfId="2" applyFont="1" applyFill="1" applyBorder="1"/>
    <xf numFmtId="0" fontId="1" fillId="0" borderId="0" xfId="1" applyFont="1"/>
    <xf numFmtId="2" fontId="1" fillId="0" borderId="0" xfId="1" applyNumberFormat="1" applyFont="1"/>
    <xf numFmtId="0" fontId="6" fillId="0" borderId="0" xfId="1" applyFont="1"/>
    <xf numFmtId="164" fontId="1" fillId="0" borderId="0" xfId="1" applyNumberFormat="1" applyFont="1"/>
    <xf numFmtId="164" fontId="1" fillId="0" borderId="0" xfId="2" applyFont="1"/>
    <xf numFmtId="0" fontId="4" fillId="0" borderId="0" xfId="1" applyFont="1" applyAlignment="1">
      <alignment horizontal="center"/>
    </xf>
    <xf numFmtId="2" fontId="7" fillId="8" borderId="0" xfId="0" applyNumberFormat="1" applyFont="1" applyFill="1" applyAlignment="1">
      <alignment horizontal="right"/>
    </xf>
    <xf numFmtId="2" fontId="7" fillId="8" borderId="3" xfId="0" applyNumberFormat="1" applyFont="1" applyFill="1" applyBorder="1" applyAlignment="1">
      <alignment horizontal="right"/>
    </xf>
    <xf numFmtId="2" fontId="7" fillId="8" borderId="8" xfId="0" applyNumberFormat="1" applyFont="1" applyFill="1" applyBorder="1" applyAlignment="1">
      <alignment horizontal="right"/>
    </xf>
    <xf numFmtId="2" fontId="7" fillId="9" borderId="3" xfId="0" applyNumberFormat="1" applyFont="1" applyFill="1" applyBorder="1" applyAlignment="1">
      <alignment horizontal="right"/>
    </xf>
    <xf numFmtId="2" fontId="7" fillId="9" borderId="8" xfId="0" applyNumberFormat="1" applyFont="1" applyFill="1" applyBorder="1" applyAlignment="1">
      <alignment horizontal="right"/>
    </xf>
    <xf numFmtId="2" fontId="7" fillId="9" borderId="0" xfId="0" applyNumberFormat="1" applyFont="1" applyFill="1" applyAlignment="1">
      <alignment horizontal="right"/>
    </xf>
    <xf numFmtId="2" fontId="7" fillId="10" borderId="0" xfId="0" applyNumberFormat="1" applyFont="1" applyFill="1" applyAlignment="1">
      <alignment horizontal="right"/>
    </xf>
    <xf numFmtId="2" fontId="7" fillId="7" borderId="0" xfId="0" applyNumberFormat="1" applyFont="1" applyFill="1" applyAlignment="1">
      <alignment horizontal="right"/>
    </xf>
    <xf numFmtId="2" fontId="7" fillId="11" borderId="0" xfId="0" applyNumberFormat="1" applyFont="1" applyFill="1" applyAlignment="1">
      <alignment horizontal="right"/>
    </xf>
    <xf numFmtId="2" fontId="7" fillId="12" borderId="0" xfId="0" applyNumberFormat="1" applyFont="1" applyFill="1" applyAlignment="1">
      <alignment horizontal="right"/>
    </xf>
    <xf numFmtId="2" fontId="7" fillId="13" borderId="0" xfId="0" applyNumberFormat="1" applyFont="1" applyFill="1" applyAlignment="1">
      <alignment horizontal="right"/>
    </xf>
    <xf numFmtId="2" fontId="7" fillId="14" borderId="0" xfId="0" applyNumberFormat="1" applyFont="1" applyFill="1" applyAlignment="1">
      <alignment horizontal="right"/>
    </xf>
  </cellXfs>
  <cellStyles count="3">
    <cellStyle name="Comma 2" xfId="2" xr:uid="{82F2E0FD-486A-4481-9BEB-7E7A5B0F3AF9}"/>
    <cellStyle name="Normal" xfId="0" builtinId="0"/>
    <cellStyle name="Normal 2" xfId="1" xr:uid="{FFE37A9A-07E6-4115-BAF2-9DBA481E58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375225</xdr:colOff>
      <xdr:row>191</xdr:row>
      <xdr:rowOff>151534</xdr:rowOff>
    </xdr:from>
    <xdr:to>
      <xdr:col>14</xdr:col>
      <xdr:colOff>512328</xdr:colOff>
      <xdr:row>196</xdr:row>
      <xdr:rowOff>43295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ABFDD64C-5FDC-4249-B993-3B47849A6B44}"/>
            </a:ext>
          </a:extLst>
        </xdr:cNvPr>
        <xdr:cNvSpPr/>
      </xdr:nvSpPr>
      <xdr:spPr>
        <a:xfrm>
          <a:off x="6928425" y="35637874"/>
          <a:ext cx="1013403" cy="806161"/>
        </a:xfrm>
        <a:prstGeom prst="downArrow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505110</xdr:colOff>
      <xdr:row>190</xdr:row>
      <xdr:rowOff>180397</xdr:rowOff>
    </xdr:from>
    <xdr:to>
      <xdr:col>22</xdr:col>
      <xdr:colOff>519542</xdr:colOff>
      <xdr:row>196</xdr:row>
      <xdr:rowOff>43295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B720C200-4B41-4409-9650-21F9A83620CB}"/>
            </a:ext>
          </a:extLst>
        </xdr:cNvPr>
        <xdr:cNvSpPr/>
      </xdr:nvSpPr>
      <xdr:spPr>
        <a:xfrm>
          <a:off x="12940950" y="35438137"/>
          <a:ext cx="997412" cy="1005898"/>
        </a:xfrm>
        <a:prstGeom prst="downArrow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505110</xdr:colOff>
      <xdr:row>190</xdr:row>
      <xdr:rowOff>180397</xdr:rowOff>
    </xdr:from>
    <xdr:to>
      <xdr:col>25</xdr:col>
      <xdr:colOff>519542</xdr:colOff>
      <xdr:row>196</xdr:row>
      <xdr:rowOff>43295</xdr:rowOff>
    </xdr:to>
    <xdr:sp macro="" textlink="">
      <xdr:nvSpPr>
        <xdr:cNvPr id="4" name="Arrow: Down 3">
          <a:extLst>
            <a:ext uri="{FF2B5EF4-FFF2-40B4-BE49-F238E27FC236}">
              <a16:creationId xmlns:a16="http://schemas.microsoft.com/office/drawing/2014/main" id="{9624A032-0ABA-416A-B7AA-60C931752D4D}"/>
            </a:ext>
          </a:extLst>
        </xdr:cNvPr>
        <xdr:cNvSpPr/>
      </xdr:nvSpPr>
      <xdr:spPr>
        <a:xfrm>
          <a:off x="15265050" y="35438137"/>
          <a:ext cx="997412" cy="1005898"/>
        </a:xfrm>
        <a:prstGeom prst="downArrow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375225</xdr:colOff>
      <xdr:row>191</xdr:row>
      <xdr:rowOff>151534</xdr:rowOff>
    </xdr:from>
    <xdr:to>
      <xdr:col>14</xdr:col>
      <xdr:colOff>512328</xdr:colOff>
      <xdr:row>196</xdr:row>
      <xdr:rowOff>43295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D5306D18-2EF8-4C3A-A3F9-0A92B80017F9}"/>
            </a:ext>
          </a:extLst>
        </xdr:cNvPr>
        <xdr:cNvSpPr/>
      </xdr:nvSpPr>
      <xdr:spPr>
        <a:xfrm>
          <a:off x="6905565" y="35637874"/>
          <a:ext cx="1013403" cy="806161"/>
        </a:xfrm>
        <a:prstGeom prst="downArrow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505110</xdr:colOff>
      <xdr:row>190</xdr:row>
      <xdr:rowOff>180397</xdr:rowOff>
    </xdr:from>
    <xdr:to>
      <xdr:col>22</xdr:col>
      <xdr:colOff>519542</xdr:colOff>
      <xdr:row>196</xdr:row>
      <xdr:rowOff>43295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621547D5-A84A-46DD-873A-CEFADB729A87}"/>
            </a:ext>
          </a:extLst>
        </xdr:cNvPr>
        <xdr:cNvSpPr/>
      </xdr:nvSpPr>
      <xdr:spPr>
        <a:xfrm>
          <a:off x="12918090" y="35438137"/>
          <a:ext cx="997412" cy="1005898"/>
        </a:xfrm>
        <a:prstGeom prst="downArrow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505110</xdr:colOff>
      <xdr:row>190</xdr:row>
      <xdr:rowOff>180397</xdr:rowOff>
    </xdr:from>
    <xdr:to>
      <xdr:col>25</xdr:col>
      <xdr:colOff>519542</xdr:colOff>
      <xdr:row>196</xdr:row>
      <xdr:rowOff>43295</xdr:rowOff>
    </xdr:to>
    <xdr:sp macro="" textlink="">
      <xdr:nvSpPr>
        <xdr:cNvPr id="4" name="Arrow: Down 3">
          <a:extLst>
            <a:ext uri="{FF2B5EF4-FFF2-40B4-BE49-F238E27FC236}">
              <a16:creationId xmlns:a16="http://schemas.microsoft.com/office/drawing/2014/main" id="{D736D735-0608-45C1-80B6-A70A771BA8EC}"/>
            </a:ext>
          </a:extLst>
        </xdr:cNvPr>
        <xdr:cNvSpPr/>
      </xdr:nvSpPr>
      <xdr:spPr>
        <a:xfrm>
          <a:off x="15242190" y="35438137"/>
          <a:ext cx="997412" cy="1005898"/>
        </a:xfrm>
        <a:prstGeom prst="downArrow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375225</xdr:colOff>
      <xdr:row>191</xdr:row>
      <xdr:rowOff>151534</xdr:rowOff>
    </xdr:from>
    <xdr:to>
      <xdr:col>14</xdr:col>
      <xdr:colOff>512328</xdr:colOff>
      <xdr:row>196</xdr:row>
      <xdr:rowOff>43295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6CB9CB8A-E902-4202-8DE9-74885B7CF8CF}"/>
            </a:ext>
          </a:extLst>
        </xdr:cNvPr>
        <xdr:cNvSpPr/>
      </xdr:nvSpPr>
      <xdr:spPr>
        <a:xfrm>
          <a:off x="9542085" y="35637874"/>
          <a:ext cx="1013403" cy="806161"/>
        </a:xfrm>
        <a:prstGeom prst="downArrow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505110</xdr:colOff>
      <xdr:row>190</xdr:row>
      <xdr:rowOff>180397</xdr:rowOff>
    </xdr:from>
    <xdr:to>
      <xdr:col>22</xdr:col>
      <xdr:colOff>519542</xdr:colOff>
      <xdr:row>196</xdr:row>
      <xdr:rowOff>43295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8329718A-CB56-48AF-BC63-B6FA774A7801}"/>
            </a:ext>
          </a:extLst>
        </xdr:cNvPr>
        <xdr:cNvSpPr/>
      </xdr:nvSpPr>
      <xdr:spPr>
        <a:xfrm>
          <a:off x="15554610" y="35438137"/>
          <a:ext cx="997412" cy="1005898"/>
        </a:xfrm>
        <a:prstGeom prst="downArrow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505110</xdr:colOff>
      <xdr:row>190</xdr:row>
      <xdr:rowOff>180397</xdr:rowOff>
    </xdr:from>
    <xdr:to>
      <xdr:col>25</xdr:col>
      <xdr:colOff>519542</xdr:colOff>
      <xdr:row>196</xdr:row>
      <xdr:rowOff>43295</xdr:rowOff>
    </xdr:to>
    <xdr:sp macro="" textlink="">
      <xdr:nvSpPr>
        <xdr:cNvPr id="4" name="Arrow: Down 3">
          <a:extLst>
            <a:ext uri="{FF2B5EF4-FFF2-40B4-BE49-F238E27FC236}">
              <a16:creationId xmlns:a16="http://schemas.microsoft.com/office/drawing/2014/main" id="{5D6C6F02-E38E-4EDE-94C0-52A8843FF996}"/>
            </a:ext>
          </a:extLst>
        </xdr:cNvPr>
        <xdr:cNvSpPr/>
      </xdr:nvSpPr>
      <xdr:spPr>
        <a:xfrm>
          <a:off x="17878710" y="35438137"/>
          <a:ext cx="997412" cy="1005898"/>
        </a:xfrm>
        <a:prstGeom prst="downArrow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375225</xdr:colOff>
      <xdr:row>191</xdr:row>
      <xdr:rowOff>151534</xdr:rowOff>
    </xdr:from>
    <xdr:to>
      <xdr:col>14</xdr:col>
      <xdr:colOff>512328</xdr:colOff>
      <xdr:row>196</xdr:row>
      <xdr:rowOff>43295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A7FA5A85-CA58-4C29-ADBD-47ECBEDF7E61}"/>
            </a:ext>
          </a:extLst>
        </xdr:cNvPr>
        <xdr:cNvSpPr/>
      </xdr:nvSpPr>
      <xdr:spPr>
        <a:xfrm>
          <a:off x="8780085" y="35637874"/>
          <a:ext cx="2743143" cy="806161"/>
        </a:xfrm>
        <a:prstGeom prst="downArrow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505110</xdr:colOff>
      <xdr:row>190</xdr:row>
      <xdr:rowOff>180397</xdr:rowOff>
    </xdr:from>
    <xdr:to>
      <xdr:col>22</xdr:col>
      <xdr:colOff>519542</xdr:colOff>
      <xdr:row>196</xdr:row>
      <xdr:rowOff>43295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B6152844-AAEF-42B0-9109-EF184DFECF0F}"/>
            </a:ext>
          </a:extLst>
        </xdr:cNvPr>
        <xdr:cNvSpPr/>
      </xdr:nvSpPr>
      <xdr:spPr>
        <a:xfrm>
          <a:off x="18046350" y="35438137"/>
          <a:ext cx="2963372" cy="1005898"/>
        </a:xfrm>
        <a:prstGeom prst="downArrow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375225</xdr:colOff>
      <xdr:row>191</xdr:row>
      <xdr:rowOff>151534</xdr:rowOff>
    </xdr:from>
    <xdr:to>
      <xdr:col>14</xdr:col>
      <xdr:colOff>512328</xdr:colOff>
      <xdr:row>196</xdr:row>
      <xdr:rowOff>43295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45F6CB15-6663-44EA-9C03-09F5479376D2}"/>
            </a:ext>
          </a:extLst>
        </xdr:cNvPr>
        <xdr:cNvSpPr/>
      </xdr:nvSpPr>
      <xdr:spPr>
        <a:xfrm>
          <a:off x="6981765" y="35637874"/>
          <a:ext cx="1005783" cy="806161"/>
        </a:xfrm>
        <a:prstGeom prst="downArrow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505110</xdr:colOff>
      <xdr:row>190</xdr:row>
      <xdr:rowOff>180397</xdr:rowOff>
    </xdr:from>
    <xdr:to>
      <xdr:col>22</xdr:col>
      <xdr:colOff>519542</xdr:colOff>
      <xdr:row>196</xdr:row>
      <xdr:rowOff>43295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F096C983-9726-4412-ABC0-CA68159B1A21}"/>
            </a:ext>
          </a:extLst>
        </xdr:cNvPr>
        <xdr:cNvSpPr/>
      </xdr:nvSpPr>
      <xdr:spPr>
        <a:xfrm>
          <a:off x="12758070" y="35438137"/>
          <a:ext cx="997412" cy="1005898"/>
        </a:xfrm>
        <a:prstGeom prst="downArrow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CD191-B3B9-400D-A371-00A575B8E5F8}">
  <dimension ref="A1:Y198"/>
  <sheetViews>
    <sheetView view="pageBreakPreview" topLeftCell="F1" zoomScale="85" zoomScaleNormal="85" zoomScaleSheetLayoutView="85" workbookViewId="0">
      <pane xSplit="2" ySplit="4" topLeftCell="H5" activePane="bottomRight" state="frozen"/>
      <selection activeCell="F1" sqref="F1"/>
      <selection pane="topRight" activeCell="H1" sqref="H1"/>
      <selection pane="bottomLeft" activeCell="F5" sqref="F5"/>
      <selection pane="bottomRight" activeCell="M33" sqref="M33"/>
    </sheetView>
  </sheetViews>
  <sheetFormatPr defaultRowHeight="14.4" x14ac:dyDescent="0.3"/>
  <cols>
    <col min="1" max="4" width="0" style="5" hidden="1" customWidth="1"/>
    <col min="5" max="5" width="12.109375" style="5" hidden="1" customWidth="1"/>
    <col min="6" max="6" width="4.21875" style="5" bestFit="1" customWidth="1"/>
    <col min="7" max="7" width="35.6640625" style="5" customWidth="1"/>
    <col min="8" max="8" width="11.44140625" style="5" bestFit="1" customWidth="1"/>
    <col min="9" max="10" width="8.88671875" style="5"/>
    <col min="11" max="12" width="8.77734375" style="5" customWidth="1"/>
    <col min="13" max="13" width="8.88671875" style="5"/>
    <col min="14" max="14" width="12.77734375" style="5" bestFit="1" customWidth="1"/>
    <col min="15" max="18" width="11.77734375" style="5" bestFit="1" customWidth="1"/>
    <col min="19" max="19" width="8.77734375" style="5" customWidth="1"/>
    <col min="20" max="20" width="8.21875" style="5" bestFit="1" customWidth="1"/>
    <col min="21" max="21" width="8.88671875" style="5"/>
    <col min="22" max="22" width="14.33203125" style="5" bestFit="1" customWidth="1"/>
    <col min="23" max="23" width="10.6640625" style="5" customWidth="1"/>
    <col min="24" max="24" width="8.88671875" style="5"/>
    <col min="25" max="25" width="14.33203125" style="5" bestFit="1" customWidth="1"/>
    <col min="26" max="96" width="8.88671875" style="5"/>
    <col min="97" max="97" width="10.44140625" style="5" customWidth="1"/>
    <col min="98" max="16384" width="8.88671875" style="5"/>
  </cols>
  <sheetData>
    <row r="1" spans="1:25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/>
      <c r="K1" s="4"/>
      <c r="L1" s="4"/>
      <c r="M1" s="4"/>
      <c r="N1" s="4" t="s">
        <v>9</v>
      </c>
      <c r="O1" s="4"/>
      <c r="P1" s="4"/>
      <c r="Q1" s="4"/>
      <c r="R1" s="4"/>
      <c r="S1" s="4"/>
      <c r="T1" s="4"/>
    </row>
    <row r="2" spans="1:25" ht="33.75" customHeight="1" x14ac:dyDescent="0.3">
      <c r="A2" s="1"/>
      <c r="B2" s="1"/>
      <c r="C2" s="1"/>
      <c r="D2" s="1"/>
      <c r="E2" s="1"/>
      <c r="F2" s="2"/>
      <c r="G2" s="6"/>
      <c r="H2" s="4"/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7" t="s">
        <v>15</v>
      </c>
      <c r="O2" s="7" t="s">
        <v>16</v>
      </c>
      <c r="P2" s="7" t="s">
        <v>17</v>
      </c>
      <c r="Q2" s="7" t="s">
        <v>18</v>
      </c>
      <c r="R2" s="7" t="s">
        <v>19</v>
      </c>
      <c r="S2" s="7" t="s">
        <v>20</v>
      </c>
      <c r="T2" s="7" t="s">
        <v>21</v>
      </c>
      <c r="V2" s="7" t="s">
        <v>22</v>
      </c>
      <c r="W2" s="7" t="s">
        <v>23</v>
      </c>
      <c r="Y2" s="7" t="s">
        <v>24</v>
      </c>
    </row>
    <row r="3" spans="1:25" ht="34.950000000000003" customHeight="1" x14ac:dyDescent="0.3">
      <c r="A3" s="1"/>
      <c r="B3" s="1"/>
      <c r="C3" s="1"/>
      <c r="D3" s="1"/>
      <c r="E3" s="1"/>
      <c r="F3" s="2"/>
      <c r="G3" s="8"/>
      <c r="H3" s="4"/>
      <c r="I3" s="4"/>
      <c r="J3" s="4"/>
      <c r="K3" s="4"/>
      <c r="L3" s="4"/>
      <c r="M3" s="4"/>
      <c r="N3" s="7" t="s">
        <v>25</v>
      </c>
      <c r="O3" s="7" t="s">
        <v>26</v>
      </c>
      <c r="P3" s="7" t="s">
        <v>27</v>
      </c>
      <c r="Q3" s="7" t="s">
        <v>26</v>
      </c>
      <c r="R3" s="7" t="s">
        <v>28</v>
      </c>
      <c r="S3" s="7" t="s">
        <v>27</v>
      </c>
      <c r="T3" s="7" t="s">
        <v>29</v>
      </c>
      <c r="V3" s="7" t="s">
        <v>30</v>
      </c>
      <c r="W3" s="7" t="s">
        <v>31</v>
      </c>
      <c r="Y3" s="7" t="s">
        <v>30</v>
      </c>
    </row>
    <row r="4" spans="1:25" ht="12.75" customHeight="1" x14ac:dyDescent="0.3">
      <c r="A4" s="1"/>
      <c r="B4" s="1"/>
      <c r="C4" s="1"/>
      <c r="D4" s="1"/>
      <c r="E4" s="1"/>
      <c r="F4" s="9">
        <v>1</v>
      </c>
      <c r="G4" s="9">
        <f>F4+1</f>
        <v>2</v>
      </c>
      <c r="H4" s="9">
        <v>3</v>
      </c>
      <c r="I4" s="9">
        <v>4</v>
      </c>
      <c r="J4" s="9">
        <v>5</v>
      </c>
      <c r="K4" s="9">
        <v>6</v>
      </c>
      <c r="L4" s="9">
        <v>7</v>
      </c>
      <c r="M4" s="9">
        <v>8</v>
      </c>
      <c r="N4" s="9">
        <v>9</v>
      </c>
      <c r="O4" s="9">
        <v>10</v>
      </c>
      <c r="P4" s="9">
        <v>11</v>
      </c>
      <c r="Q4" s="9">
        <v>12</v>
      </c>
      <c r="R4" s="9">
        <v>13</v>
      </c>
      <c r="S4" s="9">
        <v>14</v>
      </c>
      <c r="T4" s="9">
        <v>15</v>
      </c>
      <c r="V4" s="10">
        <v>16</v>
      </c>
      <c r="W4" s="10">
        <v>17</v>
      </c>
      <c r="Y4" s="10">
        <v>16</v>
      </c>
    </row>
    <row r="5" spans="1:25" ht="12.75" customHeight="1" x14ac:dyDescent="0.3">
      <c r="A5" s="11"/>
      <c r="B5" s="11"/>
      <c r="C5" s="11"/>
      <c r="D5" s="11"/>
      <c r="E5" s="11"/>
      <c r="F5" s="10"/>
      <c r="G5" s="12" t="s">
        <v>32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V5" s="13"/>
      <c r="W5" s="13"/>
      <c r="Y5" s="13"/>
    </row>
    <row r="6" spans="1:25" x14ac:dyDescent="0.3">
      <c r="A6" s="5">
        <v>35</v>
      </c>
      <c r="B6" s="5">
        <v>3500</v>
      </c>
      <c r="C6" s="5">
        <v>1096</v>
      </c>
      <c r="D6" s="5" t="s">
        <v>33</v>
      </c>
      <c r="E6" s="5" t="s">
        <v>34</v>
      </c>
      <c r="F6" s="13">
        <v>1</v>
      </c>
      <c r="G6" s="13" t="s">
        <v>35</v>
      </c>
      <c r="H6" s="13">
        <v>1523</v>
      </c>
      <c r="I6" s="13">
        <v>839</v>
      </c>
      <c r="J6" s="13">
        <v>0</v>
      </c>
      <c r="K6" s="13">
        <v>456</v>
      </c>
      <c r="L6" s="13">
        <v>228</v>
      </c>
      <c r="M6" s="13">
        <f>SUM(I6:L6)</f>
        <v>1523</v>
      </c>
      <c r="N6" s="14">
        <v>16.25</v>
      </c>
      <c r="O6" s="14">
        <v>6.246910782142244</v>
      </c>
      <c r="P6" s="14">
        <v>5.58</v>
      </c>
      <c r="Q6" s="14">
        <v>9.9499999999999993</v>
      </c>
      <c r="R6" s="14">
        <v>3.88</v>
      </c>
      <c r="S6" s="14">
        <v>6.41</v>
      </c>
      <c r="T6" s="14">
        <f>SUM(N6:S6)</f>
        <v>48.316910782142244</v>
      </c>
      <c r="V6" s="15">
        <f>(((N6/45)*100)*H6)/$H$190</f>
        <v>0.32907246076194424</v>
      </c>
      <c r="W6" s="15">
        <f>(((O6/15)*100)*H6)/$H$190</f>
        <v>0.37951131752120681</v>
      </c>
      <c r="Y6" s="15">
        <f>(T6*H6)/$H$190</f>
        <v>0.44030117706908861</v>
      </c>
    </row>
    <row r="7" spans="1:25" x14ac:dyDescent="0.3">
      <c r="A7" s="5">
        <v>35</v>
      </c>
      <c r="B7" s="5">
        <v>3500</v>
      </c>
      <c r="C7" s="5">
        <v>1097</v>
      </c>
      <c r="D7" s="5" t="s">
        <v>33</v>
      </c>
      <c r="E7" s="5" t="s">
        <v>34</v>
      </c>
      <c r="F7" s="13">
        <v>2</v>
      </c>
      <c r="G7" s="13" t="s">
        <v>36</v>
      </c>
      <c r="H7" s="13">
        <v>1744</v>
      </c>
      <c r="I7" s="13">
        <v>922</v>
      </c>
      <c r="J7" s="13">
        <v>0</v>
      </c>
      <c r="K7" s="13">
        <v>557</v>
      </c>
      <c r="L7" s="13">
        <v>265</v>
      </c>
      <c r="M7" s="13">
        <f t="shared" ref="M7:M70" si="0">SUM(I7:L7)</f>
        <v>1744</v>
      </c>
      <c r="N7" s="14">
        <v>25.74</v>
      </c>
      <c r="O7" s="14">
        <v>7.1574973297588134</v>
      </c>
      <c r="P7" s="14">
        <v>4</v>
      </c>
      <c r="Q7" s="14">
        <v>7.5</v>
      </c>
      <c r="R7" s="14">
        <v>2.5</v>
      </c>
      <c r="S7" s="14">
        <v>5</v>
      </c>
      <c r="T7" s="14">
        <f>SUM(N7:S7)</f>
        <v>51.897497329758814</v>
      </c>
      <c r="V7" s="15">
        <f t="shared" ref="V7:V70" si="1">(((N7/45)*100)*H7)/$H$190</f>
        <v>0.59688861232109514</v>
      </c>
      <c r="W7" s="15">
        <f t="shared" ref="W7:W70" si="2">(((O7/15)*100)*H7)/$H$190</f>
        <v>0.49792874695241057</v>
      </c>
      <c r="Y7" s="15">
        <f t="shared" ref="Y7:Y70" si="3">(T7*H7)/$H$190</f>
        <v>0.54155638398771822</v>
      </c>
    </row>
    <row r="8" spans="1:25" x14ac:dyDescent="0.3">
      <c r="A8" s="5">
        <v>35</v>
      </c>
      <c r="B8" s="5">
        <v>3500</v>
      </c>
      <c r="C8" s="5">
        <v>1098</v>
      </c>
      <c r="D8" s="5" t="s">
        <v>33</v>
      </c>
      <c r="E8" s="5" t="s">
        <v>34</v>
      </c>
      <c r="F8" s="13">
        <v>3</v>
      </c>
      <c r="G8" s="13" t="s">
        <v>37</v>
      </c>
      <c r="H8" s="13">
        <v>1126</v>
      </c>
      <c r="I8" s="13">
        <v>606</v>
      </c>
      <c r="J8" s="13">
        <v>0</v>
      </c>
      <c r="K8" s="13">
        <v>351</v>
      </c>
      <c r="L8" s="13">
        <v>169</v>
      </c>
      <c r="M8" s="13">
        <f t="shared" si="0"/>
        <v>1126</v>
      </c>
      <c r="N8" s="14">
        <v>24</v>
      </c>
      <c r="O8" s="14">
        <v>7.3858069790485441</v>
      </c>
      <c r="P8" s="14">
        <v>4</v>
      </c>
      <c r="Q8" s="14">
        <v>7.5</v>
      </c>
      <c r="R8" s="14">
        <v>2.5</v>
      </c>
      <c r="S8" s="14">
        <v>5</v>
      </c>
      <c r="T8" s="14">
        <f t="shared" ref="T8:T71" si="4">SUM(N8:S8)</f>
        <v>50.385806979048546</v>
      </c>
      <c r="V8" s="15">
        <f t="shared" si="1"/>
        <v>0.35932538732787644</v>
      </c>
      <c r="W8" s="15">
        <f t="shared" si="2"/>
        <v>0.3317384941844439</v>
      </c>
      <c r="Y8" s="15">
        <f t="shared" si="3"/>
        <v>0.339466867660767</v>
      </c>
    </row>
    <row r="9" spans="1:25" x14ac:dyDescent="0.3">
      <c r="A9" s="5">
        <v>35</v>
      </c>
      <c r="B9" s="5">
        <v>3500</v>
      </c>
      <c r="C9" s="5">
        <v>1099</v>
      </c>
      <c r="D9" s="5" t="s">
        <v>33</v>
      </c>
      <c r="E9" s="5" t="s">
        <v>34</v>
      </c>
      <c r="F9" s="13">
        <v>4</v>
      </c>
      <c r="G9" s="13" t="s">
        <v>38</v>
      </c>
      <c r="H9" s="13">
        <v>1909</v>
      </c>
      <c r="I9" s="13">
        <v>940</v>
      </c>
      <c r="J9" s="13">
        <v>360</v>
      </c>
      <c r="K9" s="13">
        <v>598</v>
      </c>
      <c r="L9" s="13">
        <v>11</v>
      </c>
      <c r="M9" s="13">
        <f t="shared" si="0"/>
        <v>1909</v>
      </c>
      <c r="N9" s="14">
        <v>24.52</v>
      </c>
      <c r="O9" s="14">
        <v>5.8496646340157623</v>
      </c>
      <c r="P9" s="14">
        <v>4.3499999999999996</v>
      </c>
      <c r="Q9" s="14">
        <v>6.7</v>
      </c>
      <c r="R9" s="14">
        <v>3</v>
      </c>
      <c r="S9" s="14">
        <v>8.1999999999999993</v>
      </c>
      <c r="T9" s="14">
        <f t="shared" si="4"/>
        <v>52.619664634015763</v>
      </c>
      <c r="V9" s="15">
        <f t="shared" si="1"/>
        <v>0.62239294964870573</v>
      </c>
      <c r="W9" s="15">
        <f t="shared" si="2"/>
        <v>0.44544739306942743</v>
      </c>
      <c r="Y9" s="15">
        <f t="shared" si="3"/>
        <v>0.60104195458771781</v>
      </c>
    </row>
    <row r="10" spans="1:25" x14ac:dyDescent="0.3">
      <c r="A10" s="5">
        <v>35</v>
      </c>
      <c r="B10" s="5">
        <v>3500</v>
      </c>
      <c r="C10" s="5">
        <v>1100</v>
      </c>
      <c r="D10" s="5" t="s">
        <v>33</v>
      </c>
      <c r="E10" s="5" t="s">
        <v>34</v>
      </c>
      <c r="F10" s="13">
        <v>5</v>
      </c>
      <c r="G10" s="13" t="s">
        <v>39</v>
      </c>
      <c r="H10" s="13">
        <v>1513</v>
      </c>
      <c r="I10" s="13">
        <v>738</v>
      </c>
      <c r="J10" s="13">
        <v>102</v>
      </c>
      <c r="K10" s="13">
        <v>446</v>
      </c>
      <c r="L10" s="13">
        <v>227</v>
      </c>
      <c r="M10" s="13">
        <f t="shared" si="0"/>
        <v>1513</v>
      </c>
      <c r="N10" s="14">
        <v>24</v>
      </c>
      <c r="O10" s="14">
        <v>8.4760199827562914</v>
      </c>
      <c r="P10" s="14">
        <v>4</v>
      </c>
      <c r="Q10" s="14">
        <v>7.5</v>
      </c>
      <c r="R10" s="14">
        <v>2.5</v>
      </c>
      <c r="S10" s="14">
        <v>5</v>
      </c>
      <c r="T10" s="14">
        <f t="shared" si="4"/>
        <v>51.476019982756291</v>
      </c>
      <c r="V10" s="15">
        <f t="shared" si="1"/>
        <v>0.48282354442902053</v>
      </c>
      <c r="W10" s="15">
        <f t="shared" si="2"/>
        <v>0.51155275134069977</v>
      </c>
      <c r="Y10" s="15">
        <f t="shared" si="3"/>
        <v>0.46600939539700276</v>
      </c>
    </row>
    <row r="11" spans="1:25" x14ac:dyDescent="0.3">
      <c r="A11" s="5">
        <v>35</v>
      </c>
      <c r="B11" s="5">
        <v>3500</v>
      </c>
      <c r="C11" s="5">
        <v>1101</v>
      </c>
      <c r="D11" s="5" t="s">
        <v>33</v>
      </c>
      <c r="E11" s="5" t="s">
        <v>34</v>
      </c>
      <c r="F11" s="13">
        <v>6</v>
      </c>
      <c r="G11" s="13" t="s">
        <v>40</v>
      </c>
      <c r="H11" s="13">
        <v>1843</v>
      </c>
      <c r="I11" s="13">
        <v>1304</v>
      </c>
      <c r="J11" s="13">
        <v>102</v>
      </c>
      <c r="K11" s="13">
        <v>386</v>
      </c>
      <c r="L11" s="13">
        <v>51</v>
      </c>
      <c r="M11" s="13">
        <f t="shared" si="0"/>
        <v>1843</v>
      </c>
      <c r="N11" s="14">
        <v>25.44</v>
      </c>
      <c r="O11" s="14">
        <v>11.942996557831972</v>
      </c>
      <c r="P11" s="14">
        <v>4</v>
      </c>
      <c r="Q11" s="14">
        <v>7.5</v>
      </c>
      <c r="R11" s="14">
        <v>2.5</v>
      </c>
      <c r="S11" s="14">
        <v>5</v>
      </c>
      <c r="T11" s="14">
        <f t="shared" si="4"/>
        <v>56.382996557831973</v>
      </c>
      <c r="V11" s="15">
        <f t="shared" si="1"/>
        <v>0.62341997351331524</v>
      </c>
      <c r="W11" s="15">
        <f t="shared" si="2"/>
        <v>0.8780073818105214</v>
      </c>
      <c r="Y11" s="15">
        <f t="shared" si="3"/>
        <v>0.62176213833758753</v>
      </c>
    </row>
    <row r="12" spans="1:25" x14ac:dyDescent="0.3">
      <c r="A12" s="5">
        <v>35</v>
      </c>
      <c r="B12" s="5">
        <v>3500</v>
      </c>
      <c r="C12" s="5">
        <v>1102</v>
      </c>
      <c r="D12" s="5" t="s">
        <v>33</v>
      </c>
      <c r="E12" s="5" t="s">
        <v>34</v>
      </c>
      <c r="F12" s="13">
        <v>7</v>
      </c>
      <c r="G12" s="13" t="s">
        <v>41</v>
      </c>
      <c r="H12" s="13">
        <v>1613</v>
      </c>
      <c r="I12" s="13">
        <v>1136</v>
      </c>
      <c r="J12" s="13">
        <v>334</v>
      </c>
      <c r="K12" s="13"/>
      <c r="L12" s="13">
        <v>143</v>
      </c>
      <c r="M12" s="13">
        <f t="shared" si="0"/>
        <v>1613</v>
      </c>
      <c r="N12" s="14">
        <v>36.069767441860471</v>
      </c>
      <c r="O12" s="14">
        <v>10.272116734402893</v>
      </c>
      <c r="P12" s="14">
        <v>4</v>
      </c>
      <c r="Q12" s="14">
        <v>7.5</v>
      </c>
      <c r="R12" s="14">
        <v>2.5</v>
      </c>
      <c r="S12" s="14">
        <v>5</v>
      </c>
      <c r="T12" s="14">
        <f t="shared" si="4"/>
        <v>65.341884176263363</v>
      </c>
      <c r="V12" s="15">
        <f t="shared" si="1"/>
        <v>0.77359914268931518</v>
      </c>
      <c r="W12" s="15">
        <f t="shared" si="2"/>
        <v>0.66092752431636703</v>
      </c>
      <c r="Y12" s="15">
        <f t="shared" si="3"/>
        <v>0.630633162464176</v>
      </c>
    </row>
    <row r="13" spans="1:25" x14ac:dyDescent="0.3">
      <c r="A13" s="5">
        <v>35</v>
      </c>
      <c r="B13" s="5">
        <v>3500</v>
      </c>
      <c r="C13" s="5">
        <v>1103</v>
      </c>
      <c r="D13" s="5" t="s">
        <v>33</v>
      </c>
      <c r="E13" s="5" t="s">
        <v>34</v>
      </c>
      <c r="F13" s="13">
        <v>8</v>
      </c>
      <c r="G13" s="13" t="s">
        <v>42</v>
      </c>
      <c r="H13" s="13">
        <v>1057</v>
      </c>
      <c r="I13" s="13">
        <v>745</v>
      </c>
      <c r="J13" s="13"/>
      <c r="K13" s="13">
        <v>312</v>
      </c>
      <c r="L13" s="13"/>
      <c r="M13" s="13">
        <f t="shared" si="0"/>
        <v>1057</v>
      </c>
      <c r="N13" s="14">
        <v>16.7</v>
      </c>
      <c r="O13" s="14">
        <v>11.394670052349209</v>
      </c>
      <c r="P13" s="14">
        <v>4.5</v>
      </c>
      <c r="Q13" s="14">
        <v>7.5</v>
      </c>
      <c r="R13" s="14">
        <v>3.15</v>
      </c>
      <c r="S13" s="14">
        <v>5</v>
      </c>
      <c r="T13" s="14">
        <f t="shared" si="4"/>
        <v>48.244670052349207</v>
      </c>
      <c r="V13" s="15">
        <f t="shared" si="1"/>
        <v>0.2347089921763226</v>
      </c>
      <c r="W13" s="15">
        <f t="shared" si="2"/>
        <v>0.48043680074885181</v>
      </c>
      <c r="Y13" s="15">
        <f t="shared" si="3"/>
        <v>0.30512311668501457</v>
      </c>
    </row>
    <row r="14" spans="1:25" x14ac:dyDescent="0.3">
      <c r="A14" s="5">
        <v>35</v>
      </c>
      <c r="B14" s="5">
        <v>3500</v>
      </c>
      <c r="C14" s="5">
        <v>1104</v>
      </c>
      <c r="D14" s="5" t="s">
        <v>33</v>
      </c>
      <c r="E14" s="5" t="s">
        <v>34</v>
      </c>
      <c r="F14" s="13">
        <v>9</v>
      </c>
      <c r="G14" s="13" t="s">
        <v>43</v>
      </c>
      <c r="H14" s="13">
        <v>1008</v>
      </c>
      <c r="I14" s="13">
        <v>654</v>
      </c>
      <c r="J14" s="13"/>
      <c r="K14" s="13">
        <v>348</v>
      </c>
      <c r="L14" s="13">
        <v>6</v>
      </c>
      <c r="M14" s="13">
        <f t="shared" si="0"/>
        <v>1008</v>
      </c>
      <c r="N14" s="14">
        <v>27</v>
      </c>
      <c r="O14" s="14">
        <v>12.39693715012889</v>
      </c>
      <c r="P14" s="14">
        <v>4</v>
      </c>
      <c r="Q14" s="14">
        <v>7.5</v>
      </c>
      <c r="R14" s="14">
        <v>2.5</v>
      </c>
      <c r="S14" s="14">
        <v>5</v>
      </c>
      <c r="T14" s="14">
        <f t="shared" si="4"/>
        <v>58.396937150128892</v>
      </c>
      <c r="V14" s="15">
        <f t="shared" si="1"/>
        <v>0.36187832080800347</v>
      </c>
      <c r="W14" s="15">
        <f t="shared" si="2"/>
        <v>0.49846475545011087</v>
      </c>
      <c r="Y14" s="15">
        <f t="shared" si="3"/>
        <v>0.35220975927031928</v>
      </c>
    </row>
    <row r="15" spans="1:25" x14ac:dyDescent="0.3">
      <c r="A15" s="5">
        <v>35</v>
      </c>
      <c r="B15" s="5">
        <v>3500</v>
      </c>
      <c r="C15" s="5">
        <v>1105</v>
      </c>
      <c r="D15" s="5" t="s">
        <v>33</v>
      </c>
      <c r="E15" s="5" t="s">
        <v>34</v>
      </c>
      <c r="F15" s="13">
        <v>10</v>
      </c>
      <c r="G15" s="13" t="s">
        <v>44</v>
      </c>
      <c r="H15" s="13">
        <v>1449</v>
      </c>
      <c r="I15" s="13">
        <v>816</v>
      </c>
      <c r="J15" s="13">
        <v>215</v>
      </c>
      <c r="K15" s="13">
        <v>401</v>
      </c>
      <c r="L15" s="13">
        <v>17</v>
      </c>
      <c r="M15" s="13">
        <f t="shared" si="0"/>
        <v>1449</v>
      </c>
      <c r="N15" s="14">
        <v>26</v>
      </c>
      <c r="O15" s="14">
        <v>13.721801646082765</v>
      </c>
      <c r="P15" s="14">
        <v>4</v>
      </c>
      <c r="Q15" s="14">
        <v>7.5</v>
      </c>
      <c r="R15" s="14">
        <v>2.5</v>
      </c>
      <c r="S15" s="14">
        <v>5</v>
      </c>
      <c r="T15" s="14">
        <f t="shared" si="4"/>
        <v>58.721801646082767</v>
      </c>
      <c r="V15" s="15">
        <f t="shared" si="1"/>
        <v>0.50093341630367139</v>
      </c>
      <c r="W15" s="15">
        <f t="shared" si="2"/>
        <v>0.79312026650925949</v>
      </c>
      <c r="Y15" s="16">
        <f t="shared" si="3"/>
        <v>0.50911810459751761</v>
      </c>
    </row>
    <row r="16" spans="1:25" x14ac:dyDescent="0.3">
      <c r="A16" s="5">
        <v>35</v>
      </c>
      <c r="B16" s="5">
        <v>3500</v>
      </c>
      <c r="C16" s="5">
        <v>1106</v>
      </c>
      <c r="D16" s="5" t="s">
        <v>33</v>
      </c>
      <c r="E16" s="5" t="s">
        <v>34</v>
      </c>
      <c r="F16" s="13">
        <v>11</v>
      </c>
      <c r="G16" s="13" t="s">
        <v>45</v>
      </c>
      <c r="H16" s="13">
        <v>1085</v>
      </c>
      <c r="I16" s="13">
        <v>606</v>
      </c>
      <c r="J16" s="13"/>
      <c r="K16" s="13">
        <v>305</v>
      </c>
      <c r="L16" s="13">
        <v>174</v>
      </c>
      <c r="M16" s="13">
        <f t="shared" si="0"/>
        <v>1085</v>
      </c>
      <c r="N16" s="14">
        <v>26</v>
      </c>
      <c r="O16" s="14">
        <v>11.873248246635988</v>
      </c>
      <c r="P16" s="14">
        <v>4</v>
      </c>
      <c r="Q16" s="14">
        <v>7.5</v>
      </c>
      <c r="R16" s="14">
        <v>2.5</v>
      </c>
      <c r="S16" s="14">
        <v>5</v>
      </c>
      <c r="T16" s="14">
        <f t="shared" si="4"/>
        <v>56.873248246635988</v>
      </c>
      <c r="V16" s="15">
        <f t="shared" si="1"/>
        <v>0.37509507017907762</v>
      </c>
      <c r="W16" s="15">
        <f t="shared" si="2"/>
        <v>0.51387656357602352</v>
      </c>
      <c r="Y16" s="15">
        <f t="shared" si="3"/>
        <v>0.36922283727203126</v>
      </c>
    </row>
    <row r="17" spans="1:25" x14ac:dyDescent="0.3">
      <c r="A17" s="5">
        <v>35</v>
      </c>
      <c r="B17" s="5">
        <v>3500</v>
      </c>
      <c r="C17" s="5">
        <v>1107</v>
      </c>
      <c r="D17" s="5" t="s">
        <v>33</v>
      </c>
      <c r="E17" s="5" t="s">
        <v>34</v>
      </c>
      <c r="F17" s="13">
        <v>12</v>
      </c>
      <c r="G17" s="13" t="s">
        <v>46</v>
      </c>
      <c r="H17" s="13">
        <v>1090</v>
      </c>
      <c r="I17" s="13">
        <v>548</v>
      </c>
      <c r="J17" s="13">
        <v>148</v>
      </c>
      <c r="K17" s="13">
        <v>336</v>
      </c>
      <c r="L17" s="13">
        <v>58</v>
      </c>
      <c r="M17" s="13">
        <f t="shared" si="0"/>
        <v>1090</v>
      </c>
      <c r="N17" s="14">
        <v>23</v>
      </c>
      <c r="O17" s="14">
        <v>9.0736883435741085</v>
      </c>
      <c r="P17" s="14">
        <v>4</v>
      </c>
      <c r="Q17" s="14">
        <v>7.5</v>
      </c>
      <c r="R17" s="14">
        <v>2.5</v>
      </c>
      <c r="S17" s="14">
        <v>5</v>
      </c>
      <c r="T17" s="14">
        <f t="shared" si="4"/>
        <v>51.073688343574105</v>
      </c>
      <c r="V17" s="15">
        <f t="shared" si="1"/>
        <v>0.33334397055616721</v>
      </c>
      <c r="W17" s="15">
        <f t="shared" si="2"/>
        <v>0.39452077826559201</v>
      </c>
      <c r="Y17" s="15">
        <f t="shared" si="3"/>
        <v>0.33309990124034139</v>
      </c>
    </row>
    <row r="18" spans="1:25" x14ac:dyDescent="0.3">
      <c r="A18" s="5">
        <v>35</v>
      </c>
      <c r="B18" s="5">
        <v>3500</v>
      </c>
      <c r="C18" s="5">
        <v>1108</v>
      </c>
      <c r="D18" s="5" t="s">
        <v>33</v>
      </c>
      <c r="E18" s="5" t="s">
        <v>34</v>
      </c>
      <c r="F18" s="13">
        <v>13</v>
      </c>
      <c r="G18" s="13" t="s">
        <v>47</v>
      </c>
      <c r="H18" s="13">
        <v>1132</v>
      </c>
      <c r="I18" s="13">
        <v>748</v>
      </c>
      <c r="J18" s="13">
        <v>366</v>
      </c>
      <c r="K18" s="13"/>
      <c r="L18" s="13">
        <v>18</v>
      </c>
      <c r="M18" s="13">
        <f t="shared" si="0"/>
        <v>1132</v>
      </c>
      <c r="N18" s="14">
        <v>39.676624346527255</v>
      </c>
      <c r="O18" s="14">
        <v>13.727806821305526</v>
      </c>
      <c r="P18" s="14">
        <v>4</v>
      </c>
      <c r="Q18" s="14">
        <v>7.5</v>
      </c>
      <c r="R18" s="14">
        <v>2.5</v>
      </c>
      <c r="S18" s="14">
        <v>5</v>
      </c>
      <c r="T18" s="14">
        <f t="shared" si="4"/>
        <v>72.404431167832783</v>
      </c>
      <c r="V18" s="15">
        <f t="shared" si="1"/>
        <v>0.5971994686742943</v>
      </c>
      <c r="W18" s="15">
        <f t="shared" si="2"/>
        <v>0.61987926705749896</v>
      </c>
      <c r="Y18" s="15">
        <f t="shared" si="3"/>
        <v>0.49041343211183469</v>
      </c>
    </row>
    <row r="19" spans="1:25" x14ac:dyDescent="0.3">
      <c r="A19" s="5">
        <v>35</v>
      </c>
      <c r="B19" s="5">
        <v>3500</v>
      </c>
      <c r="C19" s="5">
        <v>1236</v>
      </c>
      <c r="D19" s="5" t="s">
        <v>33</v>
      </c>
      <c r="E19" s="5" t="s">
        <v>34</v>
      </c>
      <c r="F19" s="13">
        <v>14</v>
      </c>
      <c r="G19" s="13" t="s">
        <v>48</v>
      </c>
      <c r="H19" s="13">
        <v>190</v>
      </c>
      <c r="I19" s="13">
        <v>162</v>
      </c>
      <c r="J19" s="13"/>
      <c r="K19" s="13">
        <v>28</v>
      </c>
      <c r="L19" s="13"/>
      <c r="M19" s="13">
        <f t="shared" si="0"/>
        <v>190</v>
      </c>
      <c r="N19" s="14">
        <v>40.813953488372093</v>
      </c>
      <c r="O19" s="14">
        <v>4.8378418913608821</v>
      </c>
      <c r="P19" s="14">
        <v>4</v>
      </c>
      <c r="Q19" s="14">
        <v>7.5</v>
      </c>
      <c r="R19" s="14">
        <v>2.5</v>
      </c>
      <c r="S19" s="14">
        <v>5</v>
      </c>
      <c r="T19" s="14">
        <f t="shared" si="4"/>
        <v>64.651795379732974</v>
      </c>
      <c r="V19" s="15">
        <f t="shared" si="1"/>
        <v>0.10310994052184483</v>
      </c>
      <c r="W19" s="15">
        <f t="shared" si="2"/>
        <v>3.6666106591297994E-2</v>
      </c>
      <c r="Y19" s="15">
        <f t="shared" si="3"/>
        <v>7.3499599840536986E-2</v>
      </c>
    </row>
    <row r="20" spans="1:25" x14ac:dyDescent="0.3">
      <c r="A20" s="5">
        <v>35</v>
      </c>
      <c r="B20" s="5">
        <v>3500</v>
      </c>
      <c r="C20" s="5">
        <v>1237</v>
      </c>
      <c r="D20" s="5" t="s">
        <v>33</v>
      </c>
      <c r="E20" s="5" t="s">
        <v>34</v>
      </c>
      <c r="F20" s="13">
        <v>15</v>
      </c>
      <c r="G20" s="13" t="s">
        <v>49</v>
      </c>
      <c r="H20" s="13">
        <v>151</v>
      </c>
      <c r="I20" s="13">
        <v>81</v>
      </c>
      <c r="J20" s="13">
        <v>45</v>
      </c>
      <c r="K20" s="13"/>
      <c r="L20" s="13">
        <v>25</v>
      </c>
      <c r="M20" s="13">
        <f t="shared" si="0"/>
        <v>151</v>
      </c>
      <c r="N20" s="14">
        <v>25</v>
      </c>
      <c r="O20" s="14">
        <v>4.6041774861818796</v>
      </c>
      <c r="P20" s="14">
        <v>3.8</v>
      </c>
      <c r="Q20" s="14">
        <v>5.9</v>
      </c>
      <c r="R20" s="14">
        <v>2.5</v>
      </c>
      <c r="S20" s="14">
        <v>3.6</v>
      </c>
      <c r="T20" s="14">
        <f t="shared" si="4"/>
        <v>45.404177486181879</v>
      </c>
      <c r="V20" s="15">
        <f t="shared" si="1"/>
        <v>5.0194395247288838E-2</v>
      </c>
      <c r="W20" s="15">
        <f t="shared" si="2"/>
        <v>2.7732468543609844E-2</v>
      </c>
      <c r="Y20" s="15">
        <f t="shared" si="3"/>
        <v>4.10226341511504E-2</v>
      </c>
    </row>
    <row r="21" spans="1:25" x14ac:dyDescent="0.3">
      <c r="A21" s="5">
        <v>35</v>
      </c>
      <c r="B21" s="5">
        <v>3500</v>
      </c>
      <c r="C21" s="5">
        <v>1238</v>
      </c>
      <c r="D21" s="5" t="s">
        <v>33</v>
      </c>
      <c r="E21" s="5" t="s">
        <v>34</v>
      </c>
      <c r="F21" s="13">
        <v>16</v>
      </c>
      <c r="G21" s="13" t="s">
        <v>50</v>
      </c>
      <c r="H21" s="13">
        <v>62</v>
      </c>
      <c r="I21" s="13">
        <v>48</v>
      </c>
      <c r="J21" s="13"/>
      <c r="K21" s="13"/>
      <c r="L21" s="13">
        <v>14</v>
      </c>
      <c r="M21" s="13">
        <f t="shared" si="0"/>
        <v>62</v>
      </c>
      <c r="N21" s="14">
        <v>26</v>
      </c>
      <c r="O21" s="14">
        <v>5.560874101263904</v>
      </c>
      <c r="P21" s="14">
        <v>4.0999999999999996</v>
      </c>
      <c r="Q21" s="14">
        <v>6.6</v>
      </c>
      <c r="R21" s="14">
        <v>2.8</v>
      </c>
      <c r="S21" s="14">
        <v>8.1999999999999993</v>
      </c>
      <c r="T21" s="14">
        <f t="shared" si="4"/>
        <v>53.260874101263909</v>
      </c>
      <c r="V21" s="15">
        <f t="shared" si="1"/>
        <v>2.1434004010233005E-2</v>
      </c>
      <c r="W21" s="15">
        <f t="shared" si="2"/>
        <v>1.3752899744641315E-2</v>
      </c>
      <c r="Y21" s="15">
        <f t="shared" si="3"/>
        <v>1.9758354041682795E-2</v>
      </c>
    </row>
    <row r="22" spans="1:25" x14ac:dyDescent="0.3">
      <c r="A22" s="5">
        <v>35</v>
      </c>
      <c r="B22" s="5">
        <v>3500</v>
      </c>
      <c r="C22" s="5">
        <v>1239</v>
      </c>
      <c r="D22" s="5" t="s">
        <v>33</v>
      </c>
      <c r="E22" s="5" t="s">
        <v>34</v>
      </c>
      <c r="F22" s="13">
        <v>17</v>
      </c>
      <c r="G22" s="13" t="s">
        <v>51</v>
      </c>
      <c r="H22" s="13">
        <v>696</v>
      </c>
      <c r="I22" s="13">
        <v>696</v>
      </c>
      <c r="J22" s="13"/>
      <c r="K22" s="13"/>
      <c r="L22" s="13"/>
      <c r="M22" s="13">
        <f t="shared" si="0"/>
        <v>696</v>
      </c>
      <c r="N22" s="14">
        <v>26</v>
      </c>
      <c r="O22" s="14">
        <v>3.5194051276250207</v>
      </c>
      <c r="P22" s="14">
        <v>4.0999999999999996</v>
      </c>
      <c r="Q22" s="14">
        <v>6.6</v>
      </c>
      <c r="R22" s="14">
        <v>2.8</v>
      </c>
      <c r="S22" s="14">
        <v>8.1999999999999993</v>
      </c>
      <c r="T22" s="14">
        <f t="shared" si="4"/>
        <v>51.219405127625024</v>
      </c>
      <c r="V22" s="15">
        <f t="shared" si="1"/>
        <v>0.24061398050197053</v>
      </c>
      <c r="W22" s="15">
        <f t="shared" si="2"/>
        <v>9.7709778087334831E-2</v>
      </c>
      <c r="Y22" s="15">
        <f t="shared" si="3"/>
        <v>0.21330181638520784</v>
      </c>
    </row>
    <row r="23" spans="1:25" x14ac:dyDescent="0.3">
      <c r="A23" s="5">
        <v>35</v>
      </c>
      <c r="B23" s="5">
        <v>3500</v>
      </c>
      <c r="C23" s="5">
        <v>1240</v>
      </c>
      <c r="D23" s="5" t="s">
        <v>33</v>
      </c>
      <c r="E23" s="5" t="s">
        <v>34</v>
      </c>
      <c r="F23" s="13">
        <v>18</v>
      </c>
      <c r="G23" s="13" t="s">
        <v>52</v>
      </c>
      <c r="H23" s="13">
        <v>598</v>
      </c>
      <c r="I23" s="13">
        <v>473</v>
      </c>
      <c r="J23" s="13"/>
      <c r="K23" s="13">
        <v>125</v>
      </c>
      <c r="L23" s="13"/>
      <c r="M23" s="13">
        <f t="shared" si="0"/>
        <v>598</v>
      </c>
      <c r="N23" s="14">
        <v>26</v>
      </c>
      <c r="O23" s="14">
        <v>4.6480346654613411</v>
      </c>
      <c r="P23" s="14">
        <v>4.0999999999999996</v>
      </c>
      <c r="Q23" s="14">
        <v>6.6</v>
      </c>
      <c r="R23" s="14">
        <v>2.8</v>
      </c>
      <c r="S23" s="14">
        <v>4.7</v>
      </c>
      <c r="T23" s="14">
        <f t="shared" si="4"/>
        <v>48.848034665461341</v>
      </c>
      <c r="V23" s="15">
        <f t="shared" si="1"/>
        <v>0.20673442577611836</v>
      </c>
      <c r="W23" s="15">
        <f t="shared" si="2"/>
        <v>0.11087408971749722</v>
      </c>
      <c r="Y23" s="15">
        <f t="shared" si="3"/>
        <v>0.17478294917635515</v>
      </c>
    </row>
    <row r="24" spans="1:25" x14ac:dyDescent="0.3">
      <c r="A24" s="5">
        <v>35</v>
      </c>
      <c r="B24" s="5">
        <v>3500</v>
      </c>
      <c r="C24" s="5">
        <v>1241</v>
      </c>
      <c r="D24" s="5" t="s">
        <v>33</v>
      </c>
      <c r="E24" s="5" t="s">
        <v>34</v>
      </c>
      <c r="F24" s="13">
        <v>19</v>
      </c>
      <c r="G24" s="13" t="s">
        <v>53</v>
      </c>
      <c r="H24" s="13">
        <v>445</v>
      </c>
      <c r="I24" s="13">
        <v>306</v>
      </c>
      <c r="J24" s="13"/>
      <c r="K24" s="13">
        <v>105</v>
      </c>
      <c r="L24" s="13">
        <v>34</v>
      </c>
      <c r="M24" s="13">
        <f t="shared" si="0"/>
        <v>445</v>
      </c>
      <c r="N24" s="14">
        <v>27</v>
      </c>
      <c r="O24" s="14">
        <v>4.4674874934588944</v>
      </c>
      <c r="P24" s="14">
        <v>4.1500000000000004</v>
      </c>
      <c r="Q24" s="14">
        <v>6.7</v>
      </c>
      <c r="R24" s="14">
        <v>3.8</v>
      </c>
      <c r="S24" s="14">
        <v>8.1999999999999993</v>
      </c>
      <c r="T24" s="14">
        <f t="shared" si="4"/>
        <v>54.317487493458898</v>
      </c>
      <c r="V24" s="15">
        <f t="shared" si="1"/>
        <v>0.15975779043607294</v>
      </c>
      <c r="W24" s="15">
        <f t="shared" si="2"/>
        <v>7.9301770083975862E-2</v>
      </c>
      <c r="Y24" s="15">
        <f t="shared" si="3"/>
        <v>0.14462736306656701</v>
      </c>
    </row>
    <row r="25" spans="1:25" x14ac:dyDescent="0.3">
      <c r="A25" s="5">
        <v>35</v>
      </c>
      <c r="B25" s="5">
        <v>3500</v>
      </c>
      <c r="C25" s="5">
        <v>1242</v>
      </c>
      <c r="D25" s="5" t="s">
        <v>33</v>
      </c>
      <c r="E25" s="5" t="s">
        <v>34</v>
      </c>
      <c r="F25" s="13">
        <v>20</v>
      </c>
      <c r="G25" s="13" t="s">
        <v>54</v>
      </c>
      <c r="H25" s="13">
        <v>64</v>
      </c>
      <c r="I25" s="13">
        <v>54</v>
      </c>
      <c r="J25" s="13"/>
      <c r="K25" s="13"/>
      <c r="L25" s="13">
        <v>10</v>
      </c>
      <c r="M25" s="13">
        <f t="shared" si="0"/>
        <v>64</v>
      </c>
      <c r="N25" s="14">
        <v>29</v>
      </c>
      <c r="O25" s="14">
        <v>4.3856109857800956</v>
      </c>
      <c r="P25" s="14">
        <v>4.0999999999999996</v>
      </c>
      <c r="Q25" s="14">
        <v>6.6</v>
      </c>
      <c r="R25" s="14">
        <v>2.8</v>
      </c>
      <c r="S25" s="14">
        <v>4.7</v>
      </c>
      <c r="T25" s="14">
        <f t="shared" si="4"/>
        <v>51.5856109857801</v>
      </c>
      <c r="V25" s="15">
        <f t="shared" si="1"/>
        <v>2.467835697456108E-2</v>
      </c>
      <c r="W25" s="15">
        <f t="shared" si="2"/>
        <v>1.1196173116410819E-2</v>
      </c>
      <c r="Y25" s="15">
        <f t="shared" si="3"/>
        <v>1.9754195006760844E-2</v>
      </c>
    </row>
    <row r="26" spans="1:25" x14ac:dyDescent="0.3">
      <c r="A26" s="5">
        <v>35</v>
      </c>
      <c r="B26" s="5">
        <v>3500</v>
      </c>
      <c r="C26" s="5">
        <v>1243</v>
      </c>
      <c r="D26" s="5" t="s">
        <v>33</v>
      </c>
      <c r="E26" s="5" t="s">
        <v>34</v>
      </c>
      <c r="F26" s="13">
        <v>21</v>
      </c>
      <c r="G26" s="13" t="s">
        <v>55</v>
      </c>
      <c r="H26" s="13">
        <v>695</v>
      </c>
      <c r="I26" s="13">
        <v>474</v>
      </c>
      <c r="J26" s="13"/>
      <c r="K26" s="13">
        <v>205</v>
      </c>
      <c r="L26" s="13">
        <v>16</v>
      </c>
      <c r="M26" s="13">
        <f t="shared" si="0"/>
        <v>695</v>
      </c>
      <c r="N26" s="14">
        <v>19.7</v>
      </c>
      <c r="O26" s="14">
        <v>10.467057858613389</v>
      </c>
      <c r="P26" s="14">
        <v>6.88</v>
      </c>
      <c r="Q26" s="14">
        <v>9.68</v>
      </c>
      <c r="R26" s="14">
        <v>2.9</v>
      </c>
      <c r="S26" s="14">
        <v>6.1</v>
      </c>
      <c r="T26" s="14">
        <f t="shared" si="4"/>
        <v>55.727057858613392</v>
      </c>
      <c r="V26" s="15">
        <f t="shared" si="1"/>
        <v>0.18204942053728612</v>
      </c>
      <c r="W26" s="15">
        <f t="shared" si="2"/>
        <v>0.29018098749606308</v>
      </c>
      <c r="Y26" s="15">
        <f t="shared" si="3"/>
        <v>0.23174037391541993</v>
      </c>
    </row>
    <row r="27" spans="1:25" x14ac:dyDescent="0.3">
      <c r="A27" s="5">
        <v>35</v>
      </c>
      <c r="B27" s="5">
        <v>3500</v>
      </c>
      <c r="C27" s="5">
        <v>1244</v>
      </c>
      <c r="D27" s="5" t="s">
        <v>33</v>
      </c>
      <c r="E27" s="5" t="s">
        <v>34</v>
      </c>
      <c r="F27" s="13">
        <v>22</v>
      </c>
      <c r="G27" s="13" t="s">
        <v>56</v>
      </c>
      <c r="H27" s="13">
        <v>463</v>
      </c>
      <c r="I27" s="13">
        <v>446</v>
      </c>
      <c r="J27" s="13"/>
      <c r="K27" s="13"/>
      <c r="L27" s="13">
        <v>17</v>
      </c>
      <c r="M27" s="13">
        <f t="shared" si="0"/>
        <v>463</v>
      </c>
      <c r="N27" s="14">
        <v>39.58</v>
      </c>
      <c r="O27" s="14">
        <v>14.099060012652261</v>
      </c>
      <c r="P27" s="14">
        <v>5.75</v>
      </c>
      <c r="Q27" s="14">
        <v>8.6</v>
      </c>
      <c r="R27" s="14">
        <v>2</v>
      </c>
      <c r="S27" s="14">
        <v>4.9000000000000004</v>
      </c>
      <c r="T27" s="14">
        <f t="shared" si="4"/>
        <v>74.929060012652258</v>
      </c>
      <c r="V27" s="15">
        <f t="shared" si="1"/>
        <v>0.24366606566357651</v>
      </c>
      <c r="W27" s="15">
        <f t="shared" si="2"/>
        <v>0.26039382133685951</v>
      </c>
      <c r="Y27" s="15">
        <f t="shared" si="3"/>
        <v>0.20757835183726242</v>
      </c>
    </row>
    <row r="28" spans="1:25" x14ac:dyDescent="0.3">
      <c r="A28" s="5">
        <v>35</v>
      </c>
      <c r="B28" s="5">
        <v>3500</v>
      </c>
      <c r="C28" s="5">
        <v>1245</v>
      </c>
      <c r="D28" s="5" t="s">
        <v>33</v>
      </c>
      <c r="E28" s="5" t="s">
        <v>34</v>
      </c>
      <c r="F28" s="13">
        <v>23</v>
      </c>
      <c r="G28" s="13" t="s">
        <v>57</v>
      </c>
      <c r="H28" s="13">
        <v>296</v>
      </c>
      <c r="I28" s="13">
        <v>181</v>
      </c>
      <c r="J28" s="13">
        <v>115</v>
      </c>
      <c r="K28" s="13"/>
      <c r="L28" s="13"/>
      <c r="M28" s="13">
        <f t="shared" si="0"/>
        <v>296</v>
      </c>
      <c r="N28" s="14">
        <v>26</v>
      </c>
      <c r="O28" s="14">
        <v>13.452416035609659</v>
      </c>
      <c r="P28" s="14">
        <v>5.75</v>
      </c>
      <c r="Q28" s="14">
        <v>8.6</v>
      </c>
      <c r="R28" s="14">
        <v>2</v>
      </c>
      <c r="S28" s="14">
        <v>4.55</v>
      </c>
      <c r="T28" s="14">
        <f t="shared" si="4"/>
        <v>60.352416035609657</v>
      </c>
      <c r="V28" s="15">
        <f t="shared" si="1"/>
        <v>0.10233008366175757</v>
      </c>
      <c r="W28" s="15">
        <f t="shared" si="2"/>
        <v>0.1588369451973122</v>
      </c>
      <c r="Y28" s="15">
        <f t="shared" si="3"/>
        <v>0.10689001930580429</v>
      </c>
    </row>
    <row r="29" spans="1:25" x14ac:dyDescent="0.3">
      <c r="A29" s="5">
        <v>35</v>
      </c>
      <c r="B29" s="5">
        <v>3500</v>
      </c>
      <c r="C29" s="5">
        <v>1246</v>
      </c>
      <c r="D29" s="5" t="s">
        <v>33</v>
      </c>
      <c r="E29" s="5" t="s">
        <v>34</v>
      </c>
      <c r="F29" s="13">
        <v>24</v>
      </c>
      <c r="G29" s="13" t="s">
        <v>58</v>
      </c>
      <c r="H29" s="13">
        <v>2581</v>
      </c>
      <c r="I29" s="13">
        <v>1149</v>
      </c>
      <c r="J29" s="13">
        <v>789</v>
      </c>
      <c r="K29" s="13">
        <v>568</v>
      </c>
      <c r="L29" s="13">
        <v>75</v>
      </c>
      <c r="M29" s="13">
        <f t="shared" si="0"/>
        <v>2581</v>
      </c>
      <c r="N29" s="14">
        <v>27</v>
      </c>
      <c r="O29" s="14">
        <v>13.9227841545486</v>
      </c>
      <c r="P29" s="14">
        <v>5.55</v>
      </c>
      <c r="Q29" s="14">
        <v>8.6999999999999993</v>
      </c>
      <c r="R29" s="14">
        <v>3.2</v>
      </c>
      <c r="S29" s="14">
        <v>3.7</v>
      </c>
      <c r="T29" s="14">
        <f t="shared" si="4"/>
        <v>62.0727841545486</v>
      </c>
      <c r="V29" s="15">
        <f t="shared" si="1"/>
        <v>0.92659518452922307</v>
      </c>
      <c r="W29" s="15">
        <f t="shared" si="2"/>
        <v>1.4334205280938335</v>
      </c>
      <c r="Y29" s="16">
        <f t="shared" si="3"/>
        <v>0.95860571479877665</v>
      </c>
    </row>
    <row r="30" spans="1:25" x14ac:dyDescent="0.3">
      <c r="A30" s="5">
        <v>35</v>
      </c>
      <c r="B30" s="5">
        <v>3500</v>
      </c>
      <c r="C30" s="5">
        <v>1247</v>
      </c>
      <c r="D30" s="5" t="s">
        <v>33</v>
      </c>
      <c r="E30" s="5" t="s">
        <v>34</v>
      </c>
      <c r="F30" s="13">
        <v>25</v>
      </c>
      <c r="G30" s="13" t="s">
        <v>59</v>
      </c>
      <c r="H30" s="13">
        <v>876</v>
      </c>
      <c r="I30" s="13">
        <v>686</v>
      </c>
      <c r="J30" s="13"/>
      <c r="K30" s="13">
        <v>148</v>
      </c>
      <c r="L30" s="13">
        <v>42</v>
      </c>
      <c r="M30" s="13">
        <f t="shared" si="0"/>
        <v>876</v>
      </c>
      <c r="N30" s="14">
        <v>24</v>
      </c>
      <c r="O30" s="14">
        <v>9.4813883742758538</v>
      </c>
      <c r="P30" s="14">
        <v>4</v>
      </c>
      <c r="Q30" s="14">
        <v>7.5</v>
      </c>
      <c r="R30" s="14">
        <v>2.5</v>
      </c>
      <c r="S30" s="14">
        <v>3</v>
      </c>
      <c r="T30" s="14">
        <f t="shared" si="4"/>
        <v>50.481388374275852</v>
      </c>
      <c r="V30" s="15">
        <f t="shared" si="1"/>
        <v>0.27954621607390745</v>
      </c>
      <c r="W30" s="15">
        <f t="shared" si="2"/>
        <v>0.33131078039449402</v>
      </c>
      <c r="Y30" s="15">
        <f t="shared" si="3"/>
        <v>0.26459777066599044</v>
      </c>
    </row>
    <row r="31" spans="1:25" x14ac:dyDescent="0.3">
      <c r="F31" s="13"/>
      <c r="G31" s="17" t="s">
        <v>60</v>
      </c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4"/>
      <c r="V31" s="15">
        <f t="shared" si="1"/>
        <v>0</v>
      </c>
      <c r="W31" s="15">
        <f t="shared" si="2"/>
        <v>0</v>
      </c>
      <c r="Y31" s="15">
        <f t="shared" si="3"/>
        <v>0</v>
      </c>
    </row>
    <row r="32" spans="1:25" x14ac:dyDescent="0.3">
      <c r="A32" s="5">
        <v>35</v>
      </c>
      <c r="B32" s="5">
        <v>3500</v>
      </c>
      <c r="C32" s="5">
        <v>1148</v>
      </c>
      <c r="D32" s="5" t="s">
        <v>33</v>
      </c>
      <c r="E32" s="5" t="s">
        <v>34</v>
      </c>
      <c r="F32" s="13">
        <v>26</v>
      </c>
      <c r="G32" s="13" t="s">
        <v>61</v>
      </c>
      <c r="H32" s="13">
        <v>1085</v>
      </c>
      <c r="I32" s="18">
        <v>530</v>
      </c>
      <c r="J32" s="18"/>
      <c r="K32" s="18">
        <v>440</v>
      </c>
      <c r="L32" s="18">
        <v>115</v>
      </c>
      <c r="M32" s="13">
        <f t="shared" si="0"/>
        <v>1085</v>
      </c>
      <c r="N32" s="14">
        <v>14.7</v>
      </c>
      <c r="O32" s="14">
        <v>8.6422633602547023</v>
      </c>
      <c r="P32" s="14">
        <v>5.2</v>
      </c>
      <c r="Q32" s="14">
        <v>5.55</v>
      </c>
      <c r="R32" s="14">
        <v>2.2000000000000002</v>
      </c>
      <c r="S32" s="14">
        <v>4.9000000000000004</v>
      </c>
      <c r="T32" s="14">
        <f t="shared" si="4"/>
        <v>41.192263360254699</v>
      </c>
      <c r="V32" s="15">
        <f t="shared" si="1"/>
        <v>0.21207298198586311</v>
      </c>
      <c r="W32" s="15">
        <f t="shared" si="2"/>
        <v>0.37403889018701642</v>
      </c>
      <c r="Y32" s="15">
        <f t="shared" si="3"/>
        <v>0.26742141200682318</v>
      </c>
    </row>
    <row r="33" spans="1:25" x14ac:dyDescent="0.3">
      <c r="A33" s="5">
        <v>35</v>
      </c>
      <c r="B33" s="5">
        <v>3500</v>
      </c>
      <c r="C33" s="5">
        <v>1149</v>
      </c>
      <c r="D33" s="5" t="s">
        <v>33</v>
      </c>
      <c r="E33" s="5" t="s">
        <v>34</v>
      </c>
      <c r="F33" s="13">
        <v>27</v>
      </c>
      <c r="G33" s="13" t="s">
        <v>62</v>
      </c>
      <c r="H33" s="13">
        <v>1807</v>
      </c>
      <c r="I33" s="18">
        <v>1325</v>
      </c>
      <c r="J33" s="18"/>
      <c r="K33" s="18">
        <v>387</v>
      </c>
      <c r="L33" s="18">
        <v>95</v>
      </c>
      <c r="M33" s="13">
        <f t="shared" si="0"/>
        <v>1807</v>
      </c>
      <c r="N33" s="14">
        <v>17.05</v>
      </c>
      <c r="O33" s="14">
        <v>10.645501084862245</v>
      </c>
      <c r="P33" s="14">
        <v>3.6</v>
      </c>
      <c r="Q33" s="14">
        <v>5.15</v>
      </c>
      <c r="R33" s="14">
        <v>2.2000000000000002</v>
      </c>
      <c r="S33" s="14">
        <v>4.7</v>
      </c>
      <c r="T33" s="14">
        <f t="shared" si="4"/>
        <v>43.345501084862249</v>
      </c>
      <c r="V33" s="15">
        <f t="shared" si="1"/>
        <v>0.40965740164557835</v>
      </c>
      <c r="W33" s="15">
        <f t="shared" si="2"/>
        <v>0.76733284110965161</v>
      </c>
      <c r="Y33" s="15">
        <f t="shared" si="3"/>
        <v>0.46865468658959653</v>
      </c>
    </row>
    <row r="34" spans="1:25" x14ac:dyDescent="0.3">
      <c r="A34" s="5">
        <v>35</v>
      </c>
      <c r="B34" s="5">
        <v>3500</v>
      </c>
      <c r="C34" s="5">
        <v>1150</v>
      </c>
      <c r="D34" s="5" t="s">
        <v>33</v>
      </c>
      <c r="E34" s="5" t="s">
        <v>34</v>
      </c>
      <c r="F34" s="13">
        <v>28</v>
      </c>
      <c r="G34" s="13" t="s">
        <v>63</v>
      </c>
      <c r="H34" s="13">
        <v>1799</v>
      </c>
      <c r="I34" s="18">
        <v>1041</v>
      </c>
      <c r="J34" s="18"/>
      <c r="K34" s="18">
        <v>758</v>
      </c>
      <c r="L34" s="18"/>
      <c r="M34" s="13">
        <f t="shared" si="0"/>
        <v>1799</v>
      </c>
      <c r="N34" s="14">
        <v>17</v>
      </c>
      <c r="O34" s="14">
        <v>8.4850306112061755</v>
      </c>
      <c r="P34" s="14">
        <v>3.5</v>
      </c>
      <c r="Q34" s="14">
        <v>7.5</v>
      </c>
      <c r="R34" s="14">
        <v>1.5</v>
      </c>
      <c r="S34" s="14">
        <v>2</v>
      </c>
      <c r="T34" s="14">
        <f t="shared" si="4"/>
        <v>39.985030611206177</v>
      </c>
      <c r="V34" s="15">
        <f t="shared" si="1"/>
        <v>0.40664773241002239</v>
      </c>
      <c r="W34" s="15">
        <f t="shared" si="2"/>
        <v>0.6088973748488149</v>
      </c>
      <c r="Y34" s="15">
        <f t="shared" si="3"/>
        <v>0.43040705369273796</v>
      </c>
    </row>
    <row r="35" spans="1:25" x14ac:dyDescent="0.3">
      <c r="A35" s="5">
        <v>35</v>
      </c>
      <c r="B35" s="5">
        <v>3500</v>
      </c>
      <c r="C35" s="5">
        <v>1151</v>
      </c>
      <c r="D35" s="5" t="s">
        <v>33</v>
      </c>
      <c r="E35" s="5" t="s">
        <v>34</v>
      </c>
      <c r="F35" s="13">
        <v>29</v>
      </c>
      <c r="G35" s="13" t="s">
        <v>64</v>
      </c>
      <c r="H35" s="13">
        <v>2462</v>
      </c>
      <c r="I35" s="18">
        <v>1386</v>
      </c>
      <c r="J35" s="18">
        <v>512</v>
      </c>
      <c r="K35" s="18">
        <v>564</v>
      </c>
      <c r="L35" s="18"/>
      <c r="M35" s="13">
        <f t="shared" si="0"/>
        <v>2462</v>
      </c>
      <c r="N35" s="14">
        <v>21</v>
      </c>
      <c r="O35" s="14">
        <v>9.1336818178134678</v>
      </c>
      <c r="P35" s="14">
        <v>5.2</v>
      </c>
      <c r="Q35" s="14">
        <v>5.55</v>
      </c>
      <c r="R35" s="14">
        <v>2.2000000000000002</v>
      </c>
      <c r="S35" s="14">
        <v>4.9000000000000004</v>
      </c>
      <c r="T35" s="14">
        <f t="shared" si="4"/>
        <v>47.983681817813469</v>
      </c>
      <c r="V35" s="15">
        <f t="shared" si="1"/>
        <v>0.68745711869545101</v>
      </c>
      <c r="W35" s="15">
        <f t="shared" si="2"/>
        <v>0.89700208365072509</v>
      </c>
      <c r="Y35" s="16">
        <f t="shared" si="3"/>
        <v>0.70685836386157175</v>
      </c>
    </row>
    <row r="36" spans="1:25" x14ac:dyDescent="0.3">
      <c r="A36" s="5">
        <v>35</v>
      </c>
      <c r="B36" s="5">
        <v>3500</v>
      </c>
      <c r="C36" s="5">
        <v>1152</v>
      </c>
      <c r="D36" s="5" t="s">
        <v>33</v>
      </c>
      <c r="E36" s="5" t="s">
        <v>34</v>
      </c>
      <c r="F36" s="13">
        <v>30</v>
      </c>
      <c r="G36" s="13" t="s">
        <v>65</v>
      </c>
      <c r="H36" s="13">
        <v>1424</v>
      </c>
      <c r="I36" s="13">
        <v>712</v>
      </c>
      <c r="J36" s="13">
        <v>400</v>
      </c>
      <c r="K36" s="13">
        <v>312</v>
      </c>
      <c r="L36" s="14"/>
      <c r="M36" s="13">
        <f t="shared" si="0"/>
        <v>1424</v>
      </c>
      <c r="N36" s="14">
        <v>34.229999999999997</v>
      </c>
      <c r="O36" s="14">
        <v>9.2348027056726281</v>
      </c>
      <c r="P36" s="14">
        <v>7.45</v>
      </c>
      <c r="Q36" s="14">
        <v>11.35</v>
      </c>
      <c r="R36" s="14">
        <v>3.8</v>
      </c>
      <c r="S36" s="14">
        <v>7.08</v>
      </c>
      <c r="T36" s="14">
        <f t="shared" si="4"/>
        <v>73.144802705672632</v>
      </c>
      <c r="V36" s="15">
        <f t="shared" si="1"/>
        <v>0.64811960493354392</v>
      </c>
      <c r="W36" s="15">
        <f t="shared" si="2"/>
        <v>0.52456237346536083</v>
      </c>
      <c r="Y36" s="15">
        <f t="shared" si="3"/>
        <v>0.62322410998083999</v>
      </c>
    </row>
    <row r="37" spans="1:25" x14ac:dyDescent="0.3">
      <c r="F37" s="13"/>
      <c r="G37" s="17" t="s">
        <v>66</v>
      </c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4"/>
      <c r="V37" s="15">
        <f t="shared" si="1"/>
        <v>0</v>
      </c>
      <c r="W37" s="15">
        <f t="shared" si="2"/>
        <v>0</v>
      </c>
      <c r="Y37" s="15">
        <f t="shared" si="3"/>
        <v>0</v>
      </c>
    </row>
    <row r="38" spans="1:25" x14ac:dyDescent="0.3">
      <c r="A38" s="5">
        <v>35</v>
      </c>
      <c r="B38" s="5">
        <v>3500</v>
      </c>
      <c r="C38" s="5">
        <v>122203</v>
      </c>
      <c r="D38" s="5" t="s">
        <v>33</v>
      </c>
      <c r="E38" s="5" t="s">
        <v>34</v>
      </c>
      <c r="F38" s="13">
        <v>31</v>
      </c>
      <c r="G38" s="13" t="s">
        <v>67</v>
      </c>
      <c r="H38" s="13">
        <v>148</v>
      </c>
      <c r="I38" s="13">
        <v>35</v>
      </c>
      <c r="J38" s="13">
        <v>113</v>
      </c>
      <c r="K38" s="13"/>
      <c r="L38" s="13"/>
      <c r="M38" s="13">
        <f t="shared" si="0"/>
        <v>148</v>
      </c>
      <c r="N38" s="14">
        <v>34</v>
      </c>
      <c r="O38" s="14">
        <v>8.9285614298797551</v>
      </c>
      <c r="P38" s="14">
        <v>4</v>
      </c>
      <c r="Q38" s="14">
        <v>7.5</v>
      </c>
      <c r="R38" s="14">
        <v>2.5</v>
      </c>
      <c r="S38" s="14">
        <v>5</v>
      </c>
      <c r="T38" s="14">
        <f t="shared" si="4"/>
        <v>61.928561429879757</v>
      </c>
      <c r="V38" s="15">
        <f t="shared" si="1"/>
        <v>6.6908131624995343E-2</v>
      </c>
      <c r="W38" s="15">
        <f t="shared" si="2"/>
        <v>5.2711179121081003E-2</v>
      </c>
      <c r="Y38" s="15">
        <f t="shared" si="3"/>
        <v>5.4840763316872126E-2</v>
      </c>
    </row>
    <row r="39" spans="1:25" x14ac:dyDescent="0.3">
      <c r="A39" s="5">
        <v>35</v>
      </c>
      <c r="B39" s="5">
        <v>3500</v>
      </c>
      <c r="C39" s="5">
        <v>1153</v>
      </c>
      <c r="D39" s="5" t="s">
        <v>33</v>
      </c>
      <c r="E39" s="5" t="s">
        <v>34</v>
      </c>
      <c r="F39" s="13">
        <v>32</v>
      </c>
      <c r="G39" s="13" t="s">
        <v>68</v>
      </c>
      <c r="H39" s="13">
        <v>156</v>
      </c>
      <c r="I39" s="13">
        <v>60</v>
      </c>
      <c r="J39" s="13">
        <v>66</v>
      </c>
      <c r="K39" s="13">
        <v>30</v>
      </c>
      <c r="L39" s="13"/>
      <c r="M39" s="13">
        <f t="shared" si="0"/>
        <v>156</v>
      </c>
      <c r="N39" s="14">
        <v>28</v>
      </c>
      <c r="O39" s="14">
        <v>8.1082705364897745</v>
      </c>
      <c r="P39" s="14">
        <v>4</v>
      </c>
      <c r="Q39" s="14">
        <v>7.5</v>
      </c>
      <c r="R39" s="14">
        <v>2.5</v>
      </c>
      <c r="S39" s="14">
        <v>5</v>
      </c>
      <c r="T39" s="14">
        <f t="shared" si="4"/>
        <v>55.108270536489776</v>
      </c>
      <c r="V39" s="15">
        <f t="shared" si="1"/>
        <v>5.8079236672889438E-2</v>
      </c>
      <c r="W39" s="15">
        <f t="shared" si="2"/>
        <v>5.0455946088922066E-2</v>
      </c>
      <c r="Y39" s="15">
        <f t="shared" si="3"/>
        <v>5.1438958185895868E-2</v>
      </c>
    </row>
    <row r="40" spans="1:25" x14ac:dyDescent="0.3">
      <c r="A40" s="5">
        <v>35</v>
      </c>
      <c r="B40" s="5">
        <v>3500</v>
      </c>
      <c r="C40" s="5">
        <v>1154</v>
      </c>
      <c r="D40" s="5" t="s">
        <v>33</v>
      </c>
      <c r="E40" s="5" t="s">
        <v>34</v>
      </c>
      <c r="F40" s="13">
        <v>33</v>
      </c>
      <c r="G40" s="13" t="s">
        <v>69</v>
      </c>
      <c r="H40" s="13">
        <v>1212</v>
      </c>
      <c r="I40" s="13">
        <v>562</v>
      </c>
      <c r="J40" s="13">
        <v>197</v>
      </c>
      <c r="K40" s="13">
        <v>102</v>
      </c>
      <c r="L40" s="13">
        <v>351</v>
      </c>
      <c r="M40" s="13">
        <f t="shared" si="0"/>
        <v>1212</v>
      </c>
      <c r="N40" s="14">
        <v>22</v>
      </c>
      <c r="O40" s="14">
        <v>8.6261680337426156</v>
      </c>
      <c r="P40" s="14">
        <v>5</v>
      </c>
      <c r="Q40" s="14">
        <v>7.5</v>
      </c>
      <c r="R40" s="14">
        <v>2.5</v>
      </c>
      <c r="S40" s="14">
        <v>5</v>
      </c>
      <c r="T40" s="14">
        <f t="shared" si="4"/>
        <v>50.626168033742616</v>
      </c>
      <c r="V40" s="15">
        <f t="shared" si="1"/>
        <v>0.35453863705263827</v>
      </c>
      <c r="W40" s="15">
        <f t="shared" si="2"/>
        <v>0.41704225331865602</v>
      </c>
      <c r="Y40" s="15">
        <f t="shared" si="3"/>
        <v>0.36713725801120134</v>
      </c>
    </row>
    <row r="41" spans="1:25" x14ac:dyDescent="0.3">
      <c r="A41" s="5">
        <v>35</v>
      </c>
      <c r="B41" s="5">
        <v>3500</v>
      </c>
      <c r="C41" s="5">
        <v>1155</v>
      </c>
      <c r="D41" s="5" t="s">
        <v>33</v>
      </c>
      <c r="E41" s="5" t="s">
        <v>34</v>
      </c>
      <c r="F41" s="13">
        <v>34</v>
      </c>
      <c r="G41" s="13" t="s">
        <v>70</v>
      </c>
      <c r="H41" s="13">
        <v>20</v>
      </c>
      <c r="I41" s="13">
        <v>12</v>
      </c>
      <c r="J41" s="13">
        <v>8</v>
      </c>
      <c r="K41" s="13"/>
      <c r="L41" s="13"/>
      <c r="M41" s="13">
        <f t="shared" si="0"/>
        <v>20</v>
      </c>
      <c r="N41" s="14">
        <v>40.813953488372093</v>
      </c>
      <c r="O41" s="14">
        <v>9.1666666666666661</v>
      </c>
      <c r="P41" s="14">
        <v>4</v>
      </c>
      <c r="Q41" s="14">
        <v>7.5</v>
      </c>
      <c r="R41" s="14">
        <v>2.5</v>
      </c>
      <c r="S41" s="14">
        <v>5</v>
      </c>
      <c r="T41" s="14">
        <f t="shared" si="4"/>
        <v>68.980620155038764</v>
      </c>
      <c r="V41" s="15">
        <f t="shared" si="1"/>
        <v>1.0853677949667878E-2</v>
      </c>
      <c r="W41" s="15">
        <f t="shared" si="2"/>
        <v>7.3130906982804928E-3</v>
      </c>
      <c r="Y41" s="15">
        <f t="shared" si="3"/>
        <v>8.2548250628307358E-3</v>
      </c>
    </row>
    <row r="42" spans="1:25" x14ac:dyDescent="0.3">
      <c r="A42" s="5">
        <v>35</v>
      </c>
      <c r="B42" s="5">
        <v>3500</v>
      </c>
      <c r="C42" s="5">
        <v>1156</v>
      </c>
      <c r="D42" s="5" t="s">
        <v>33</v>
      </c>
      <c r="E42" s="5" t="s">
        <v>34</v>
      </c>
      <c r="F42" s="13">
        <v>35</v>
      </c>
      <c r="G42" s="13" t="s">
        <v>71</v>
      </c>
      <c r="H42" s="13">
        <v>527</v>
      </c>
      <c r="I42" s="13">
        <v>352</v>
      </c>
      <c r="J42" s="13">
        <v>163</v>
      </c>
      <c r="K42" s="13">
        <v>12</v>
      </c>
      <c r="L42" s="13"/>
      <c r="M42" s="13">
        <f t="shared" si="0"/>
        <v>527</v>
      </c>
      <c r="N42" s="14">
        <v>34</v>
      </c>
      <c r="O42" s="14">
        <v>9.781264786830393</v>
      </c>
      <c r="P42" s="14">
        <v>4</v>
      </c>
      <c r="Q42" s="14">
        <v>8</v>
      </c>
      <c r="R42" s="14">
        <v>3</v>
      </c>
      <c r="S42" s="14">
        <v>5</v>
      </c>
      <c r="T42" s="14">
        <f t="shared" si="4"/>
        <v>63.781264786830391</v>
      </c>
      <c r="V42" s="15">
        <f t="shared" si="1"/>
        <v>0.23824719842143616</v>
      </c>
      <c r="W42" s="15">
        <f t="shared" si="2"/>
        <v>0.20561990580711059</v>
      </c>
      <c r="Y42" s="15">
        <f t="shared" si="3"/>
        <v>0.20111966003697535</v>
      </c>
    </row>
    <row r="43" spans="1:25" x14ac:dyDescent="0.3">
      <c r="A43" s="5">
        <v>35</v>
      </c>
      <c r="B43" s="5">
        <v>3500</v>
      </c>
      <c r="C43" s="5">
        <v>1157</v>
      </c>
      <c r="D43" s="5" t="s">
        <v>33</v>
      </c>
      <c r="E43" s="5" t="s">
        <v>34</v>
      </c>
      <c r="F43" s="13">
        <v>36</v>
      </c>
      <c r="G43" s="13" t="s">
        <v>72</v>
      </c>
      <c r="H43" s="13">
        <v>457</v>
      </c>
      <c r="I43" s="13">
        <v>350</v>
      </c>
      <c r="J43" s="13">
        <v>107</v>
      </c>
      <c r="K43" s="13"/>
      <c r="L43" s="13"/>
      <c r="M43" s="13">
        <f t="shared" si="0"/>
        <v>457</v>
      </c>
      <c r="N43" s="14">
        <v>40</v>
      </c>
      <c r="O43" s="14">
        <v>9.7029945583165027</v>
      </c>
      <c r="P43" s="14">
        <v>4</v>
      </c>
      <c r="Q43" s="14">
        <v>7.5</v>
      </c>
      <c r="R43" s="14">
        <v>2.5</v>
      </c>
      <c r="S43" s="14">
        <v>5</v>
      </c>
      <c r="T43" s="14">
        <f t="shared" si="4"/>
        <v>68.702994558316504</v>
      </c>
      <c r="V43" s="15">
        <f t="shared" si="1"/>
        <v>0.24306054175375891</v>
      </c>
      <c r="W43" s="15">
        <f t="shared" si="2"/>
        <v>0.17688113354836379</v>
      </c>
      <c r="Y43" s="15">
        <f t="shared" si="3"/>
        <v>0.18786360462131207</v>
      </c>
    </row>
    <row r="44" spans="1:25" x14ac:dyDescent="0.3">
      <c r="A44" s="5">
        <v>35</v>
      </c>
      <c r="B44" s="5">
        <v>3500</v>
      </c>
      <c r="C44" s="5">
        <v>1158</v>
      </c>
      <c r="D44" s="5" t="s">
        <v>33</v>
      </c>
      <c r="E44" s="5" t="s">
        <v>34</v>
      </c>
      <c r="F44" s="13">
        <v>37</v>
      </c>
      <c r="G44" s="13" t="s">
        <v>73</v>
      </c>
      <c r="H44" s="13">
        <v>107</v>
      </c>
      <c r="I44" s="13">
        <v>75</v>
      </c>
      <c r="J44" s="13">
        <v>29</v>
      </c>
      <c r="K44" s="13">
        <v>3</v>
      </c>
      <c r="L44" s="13"/>
      <c r="M44" s="13">
        <f t="shared" si="0"/>
        <v>107</v>
      </c>
      <c r="N44" s="14">
        <v>33</v>
      </c>
      <c r="O44" s="14">
        <v>9.6360593251398825</v>
      </c>
      <c r="P44" s="14">
        <v>4</v>
      </c>
      <c r="Q44" s="14">
        <v>7.5</v>
      </c>
      <c r="R44" s="14">
        <v>2.5</v>
      </c>
      <c r="S44" s="14">
        <v>5</v>
      </c>
      <c r="T44" s="14">
        <f t="shared" si="4"/>
        <v>61.636059325139883</v>
      </c>
      <c r="V44" s="15">
        <f t="shared" si="1"/>
        <v>4.6950042282960763E-2</v>
      </c>
      <c r="W44" s="15">
        <f t="shared" si="2"/>
        <v>4.1128490250585077E-2</v>
      </c>
      <c r="Y44" s="15">
        <f t="shared" si="3"/>
        <v>3.946112170186903E-2</v>
      </c>
    </row>
    <row r="45" spans="1:25" x14ac:dyDescent="0.3">
      <c r="A45" s="5">
        <v>35</v>
      </c>
      <c r="B45" s="5">
        <v>3500</v>
      </c>
      <c r="C45" s="5">
        <v>1159</v>
      </c>
      <c r="D45" s="5" t="s">
        <v>33</v>
      </c>
      <c r="E45" s="5" t="s">
        <v>34</v>
      </c>
      <c r="F45" s="13">
        <v>38</v>
      </c>
      <c r="G45" s="13" t="s">
        <v>74</v>
      </c>
      <c r="H45" s="13">
        <v>39</v>
      </c>
      <c r="I45" s="13">
        <v>25</v>
      </c>
      <c r="J45" s="13">
        <v>14</v>
      </c>
      <c r="K45" s="13"/>
      <c r="L45" s="13"/>
      <c r="M45" s="13">
        <f t="shared" si="0"/>
        <v>39</v>
      </c>
      <c r="N45" s="14">
        <v>28</v>
      </c>
      <c r="O45" s="14">
        <v>8.9832916587864702</v>
      </c>
      <c r="P45" s="14">
        <v>4</v>
      </c>
      <c r="Q45" s="14">
        <v>7.5</v>
      </c>
      <c r="R45" s="14">
        <v>2.5</v>
      </c>
      <c r="S45" s="14">
        <v>5</v>
      </c>
      <c r="T45" s="14">
        <f t="shared" si="4"/>
        <v>55.98329165878647</v>
      </c>
      <c r="V45" s="15">
        <f t="shared" si="1"/>
        <v>1.4519809168222359E-2</v>
      </c>
      <c r="W45" s="15">
        <f t="shared" si="2"/>
        <v>1.3975251491578205E-2</v>
      </c>
      <c r="Y45" s="15">
        <f t="shared" si="3"/>
        <v>1.3063929291876121E-2</v>
      </c>
    </row>
    <row r="46" spans="1:25" x14ac:dyDescent="0.3">
      <c r="A46" s="5">
        <v>35</v>
      </c>
      <c r="B46" s="5">
        <v>3500</v>
      </c>
      <c r="C46" s="5">
        <v>1160</v>
      </c>
      <c r="D46" s="5" t="s">
        <v>33</v>
      </c>
      <c r="E46" s="5" t="s">
        <v>34</v>
      </c>
      <c r="F46" s="13">
        <v>39</v>
      </c>
      <c r="G46" s="13" t="s">
        <v>75</v>
      </c>
      <c r="H46" s="13">
        <v>282</v>
      </c>
      <c r="I46" s="13">
        <v>195</v>
      </c>
      <c r="J46" s="13">
        <v>87</v>
      </c>
      <c r="K46" s="13"/>
      <c r="L46" s="13"/>
      <c r="M46" s="13">
        <f t="shared" si="0"/>
        <v>282</v>
      </c>
      <c r="N46" s="14">
        <v>35</v>
      </c>
      <c r="O46" s="14">
        <v>9.3512379582902909</v>
      </c>
      <c r="P46" s="14">
        <v>4</v>
      </c>
      <c r="Q46" s="14">
        <v>7.5</v>
      </c>
      <c r="R46" s="14">
        <v>2.5</v>
      </c>
      <c r="S46" s="14">
        <v>5</v>
      </c>
      <c r="T46" s="14">
        <f t="shared" si="4"/>
        <v>63.351237958290291</v>
      </c>
      <c r="V46" s="15">
        <f t="shared" si="1"/>
        <v>0.13123673671277905</v>
      </c>
      <c r="W46" s="15">
        <f t="shared" si="2"/>
        <v>0.10519079604605901</v>
      </c>
      <c r="Y46" s="15">
        <f t="shared" si="3"/>
        <v>0.10689441089606687</v>
      </c>
    </row>
    <row r="47" spans="1:25" x14ac:dyDescent="0.3">
      <c r="A47" s="5">
        <v>35</v>
      </c>
      <c r="B47" s="5">
        <v>3500</v>
      </c>
      <c r="C47" s="5">
        <v>1161</v>
      </c>
      <c r="D47" s="5" t="s">
        <v>33</v>
      </c>
      <c r="E47" s="5" t="s">
        <v>34</v>
      </c>
      <c r="F47" s="13">
        <v>40</v>
      </c>
      <c r="G47" s="13" t="s">
        <v>76</v>
      </c>
      <c r="H47" s="13">
        <v>726</v>
      </c>
      <c r="I47" s="13">
        <v>452</v>
      </c>
      <c r="J47" s="13">
        <v>261</v>
      </c>
      <c r="K47" s="13">
        <v>13</v>
      </c>
      <c r="L47" s="13"/>
      <c r="M47" s="13">
        <f t="shared" si="0"/>
        <v>726</v>
      </c>
      <c r="N47" s="14">
        <v>34</v>
      </c>
      <c r="O47" s="14">
        <v>8.2706922680979158</v>
      </c>
      <c r="P47" s="14">
        <v>4</v>
      </c>
      <c r="Q47" s="14">
        <v>7.5</v>
      </c>
      <c r="R47" s="14">
        <v>2.5</v>
      </c>
      <c r="S47" s="14">
        <v>5</v>
      </c>
      <c r="T47" s="14">
        <f t="shared" si="4"/>
        <v>61.270692268097918</v>
      </c>
      <c r="V47" s="15">
        <f t="shared" si="1"/>
        <v>0.32821151053882852</v>
      </c>
      <c r="W47" s="15">
        <f t="shared" si="2"/>
        <v>0.23951791786890236</v>
      </c>
      <c r="Y47" s="15">
        <f t="shared" si="3"/>
        <v>0.26615840904360183</v>
      </c>
    </row>
    <row r="48" spans="1:25" x14ac:dyDescent="0.3">
      <c r="A48" s="5">
        <v>35</v>
      </c>
      <c r="B48" s="5">
        <v>3500</v>
      </c>
      <c r="C48" s="5">
        <v>1162</v>
      </c>
      <c r="D48" s="5" t="s">
        <v>33</v>
      </c>
      <c r="E48" s="5" t="s">
        <v>34</v>
      </c>
      <c r="F48" s="13">
        <v>41</v>
      </c>
      <c r="G48" s="13" t="s">
        <v>77</v>
      </c>
      <c r="H48" s="13">
        <v>63</v>
      </c>
      <c r="I48" s="13">
        <v>51</v>
      </c>
      <c r="J48" s="13">
        <v>12</v>
      </c>
      <c r="K48" s="13"/>
      <c r="L48" s="13"/>
      <c r="M48" s="13">
        <f t="shared" si="0"/>
        <v>63</v>
      </c>
      <c r="N48" s="14">
        <v>33</v>
      </c>
      <c r="O48" s="14">
        <v>8.8982734944481994</v>
      </c>
      <c r="P48" s="14">
        <v>4</v>
      </c>
      <c r="Q48" s="14">
        <v>8</v>
      </c>
      <c r="R48" s="14">
        <v>3</v>
      </c>
      <c r="S48" s="14">
        <v>5</v>
      </c>
      <c r="T48" s="14">
        <f t="shared" si="4"/>
        <v>61.898273494448198</v>
      </c>
      <c r="V48" s="15">
        <f t="shared" si="1"/>
        <v>2.7643482839500265E-2</v>
      </c>
      <c r="W48" s="15">
        <f t="shared" si="2"/>
        <v>2.236175187681444E-2</v>
      </c>
      <c r="Y48" s="15">
        <f t="shared" si="3"/>
        <v>2.3332961742797354E-2</v>
      </c>
    </row>
    <row r="49" spans="1:25" x14ac:dyDescent="0.3">
      <c r="A49" s="5">
        <v>35</v>
      </c>
      <c r="B49" s="5">
        <v>3500</v>
      </c>
      <c r="C49" s="5">
        <v>1163</v>
      </c>
      <c r="D49" s="5" t="s">
        <v>33</v>
      </c>
      <c r="E49" s="5" t="s">
        <v>34</v>
      </c>
      <c r="F49" s="13">
        <v>42</v>
      </c>
      <c r="G49" s="13" t="s">
        <v>78</v>
      </c>
      <c r="H49" s="13">
        <v>70</v>
      </c>
      <c r="I49" s="13">
        <v>50</v>
      </c>
      <c r="J49" s="13">
        <v>20</v>
      </c>
      <c r="K49" s="13"/>
      <c r="L49" s="13"/>
      <c r="M49" s="13">
        <f t="shared" si="0"/>
        <v>70</v>
      </c>
      <c r="N49" s="14">
        <v>34</v>
      </c>
      <c r="O49" s="14">
        <v>9.4094500817980613</v>
      </c>
      <c r="P49" s="14">
        <v>5</v>
      </c>
      <c r="Q49" s="14">
        <v>8</v>
      </c>
      <c r="R49" s="14">
        <v>3</v>
      </c>
      <c r="S49" s="14">
        <v>5</v>
      </c>
      <c r="T49" s="14">
        <f t="shared" si="4"/>
        <v>64.40945008179807</v>
      </c>
      <c r="V49" s="15">
        <f t="shared" si="1"/>
        <v>3.164573793074104E-2</v>
      </c>
      <c r="W49" s="15">
        <f t="shared" si="2"/>
        <v>2.6273734531850411E-2</v>
      </c>
      <c r="Y49" s="15">
        <f t="shared" si="3"/>
        <v>2.6977295879361117E-2</v>
      </c>
    </row>
    <row r="50" spans="1:25" x14ac:dyDescent="0.3">
      <c r="A50" s="5">
        <v>35</v>
      </c>
      <c r="B50" s="5">
        <v>3500</v>
      </c>
      <c r="C50" s="5">
        <v>1164</v>
      </c>
      <c r="D50" s="5" t="s">
        <v>33</v>
      </c>
      <c r="E50" s="5" t="s">
        <v>34</v>
      </c>
      <c r="F50" s="13">
        <v>43</v>
      </c>
      <c r="G50" s="13" t="s">
        <v>79</v>
      </c>
      <c r="H50" s="13">
        <v>53</v>
      </c>
      <c r="I50" s="13">
        <v>53</v>
      </c>
      <c r="J50" s="13"/>
      <c r="K50" s="13"/>
      <c r="L50" s="13"/>
      <c r="M50" s="13">
        <f t="shared" si="0"/>
        <v>53</v>
      </c>
      <c r="N50" s="14">
        <v>40</v>
      </c>
      <c r="O50" s="14">
        <v>9.6926167715557927</v>
      </c>
      <c r="P50" s="14">
        <v>5</v>
      </c>
      <c r="Q50" s="14">
        <v>8</v>
      </c>
      <c r="R50" s="14">
        <v>3</v>
      </c>
      <c r="S50" s="14">
        <v>5</v>
      </c>
      <c r="T50" s="14">
        <f t="shared" si="4"/>
        <v>70.692616771555791</v>
      </c>
      <c r="V50" s="15">
        <f t="shared" si="1"/>
        <v>2.818864050973572E-2</v>
      </c>
      <c r="W50" s="15">
        <f t="shared" si="2"/>
        <v>2.049162673290161E-2</v>
      </c>
      <c r="Y50" s="15">
        <f t="shared" si="3"/>
        <v>2.2418198559741379E-2</v>
      </c>
    </row>
    <row r="51" spans="1:25" x14ac:dyDescent="0.3">
      <c r="A51" s="5">
        <v>35</v>
      </c>
      <c r="B51" s="5">
        <v>3500</v>
      </c>
      <c r="C51" s="5">
        <v>1165</v>
      </c>
      <c r="D51" s="5" t="s">
        <v>33</v>
      </c>
      <c r="E51" s="5" t="s">
        <v>34</v>
      </c>
      <c r="F51" s="13">
        <v>44</v>
      </c>
      <c r="G51" s="13" t="s">
        <v>80</v>
      </c>
      <c r="H51" s="13">
        <v>193</v>
      </c>
      <c r="I51" s="13">
        <v>154</v>
      </c>
      <c r="J51" s="13">
        <v>39</v>
      </c>
      <c r="K51" s="13"/>
      <c r="L51" s="13"/>
      <c r="M51" s="13">
        <f t="shared" si="0"/>
        <v>193</v>
      </c>
      <c r="N51" s="14">
        <v>28</v>
      </c>
      <c r="O51" s="14">
        <v>9.755277181064935</v>
      </c>
      <c r="P51" s="14">
        <v>4</v>
      </c>
      <c r="Q51" s="14">
        <v>7.5</v>
      </c>
      <c r="R51" s="14">
        <v>2.5</v>
      </c>
      <c r="S51" s="14">
        <v>5</v>
      </c>
      <c r="T51" s="14">
        <f t="shared" si="4"/>
        <v>56.755277181064933</v>
      </c>
      <c r="V51" s="15">
        <f t="shared" si="1"/>
        <v>7.185444024274143E-2</v>
      </c>
      <c r="W51" s="15">
        <f t="shared" si="2"/>
        <v>7.5102855134808147E-2</v>
      </c>
      <c r="Y51" s="15">
        <f t="shared" si="3"/>
        <v>6.5541192953577687E-2</v>
      </c>
    </row>
    <row r="52" spans="1:25" x14ac:dyDescent="0.3">
      <c r="A52" s="5">
        <v>35</v>
      </c>
      <c r="B52" s="5">
        <v>3500</v>
      </c>
      <c r="C52" s="5">
        <v>1166</v>
      </c>
      <c r="D52" s="5" t="s">
        <v>33</v>
      </c>
      <c r="E52" s="5" t="s">
        <v>34</v>
      </c>
      <c r="F52" s="13">
        <v>45</v>
      </c>
      <c r="G52" s="13" t="s">
        <v>81</v>
      </c>
      <c r="H52" s="13">
        <v>455</v>
      </c>
      <c r="I52" s="13">
        <v>405</v>
      </c>
      <c r="J52" s="13">
        <v>50</v>
      </c>
      <c r="K52" s="13"/>
      <c r="L52" s="13"/>
      <c r="M52" s="13">
        <f t="shared" si="0"/>
        <v>455</v>
      </c>
      <c r="N52" s="14">
        <v>27</v>
      </c>
      <c r="O52" s="14">
        <v>9.7802197802197792</v>
      </c>
      <c r="P52" s="14">
        <v>4</v>
      </c>
      <c r="Q52" s="14">
        <v>7.5</v>
      </c>
      <c r="R52" s="14">
        <v>2.5</v>
      </c>
      <c r="S52" s="14">
        <v>5</v>
      </c>
      <c r="T52" s="14">
        <f t="shared" si="4"/>
        <v>55.780219780219781</v>
      </c>
      <c r="V52" s="15">
        <f t="shared" si="1"/>
        <v>0.16334785314250155</v>
      </c>
      <c r="W52" s="15">
        <f t="shared" si="2"/>
        <v>0.17750865604008104</v>
      </c>
      <c r="Y52" s="15">
        <f t="shared" si="3"/>
        <v>0.15185965248193001</v>
      </c>
    </row>
    <row r="53" spans="1:25" x14ac:dyDescent="0.3">
      <c r="A53" s="5">
        <v>35</v>
      </c>
      <c r="B53" s="5">
        <v>3500</v>
      </c>
      <c r="C53" s="5">
        <v>1167</v>
      </c>
      <c r="D53" s="5" t="s">
        <v>33</v>
      </c>
      <c r="E53" s="5" t="s">
        <v>34</v>
      </c>
      <c r="F53" s="13">
        <v>46</v>
      </c>
      <c r="G53" s="13" t="s">
        <v>82</v>
      </c>
      <c r="H53" s="13">
        <v>16</v>
      </c>
      <c r="I53" s="13">
        <v>12</v>
      </c>
      <c r="J53" s="13">
        <v>4</v>
      </c>
      <c r="K53" s="13"/>
      <c r="L53" s="13"/>
      <c r="M53" s="13">
        <f t="shared" si="0"/>
        <v>16</v>
      </c>
      <c r="N53" s="14">
        <v>35</v>
      </c>
      <c r="O53" s="14">
        <v>9.7895862827918787</v>
      </c>
      <c r="P53" s="14">
        <v>4</v>
      </c>
      <c r="Q53" s="14">
        <v>8</v>
      </c>
      <c r="R53" s="14">
        <v>3</v>
      </c>
      <c r="S53" s="14">
        <v>5</v>
      </c>
      <c r="T53" s="14">
        <f t="shared" si="4"/>
        <v>64.789586282791873</v>
      </c>
      <c r="V53" s="15">
        <f t="shared" si="1"/>
        <v>7.4460559837037756E-3</v>
      </c>
      <c r="W53" s="15">
        <f t="shared" si="2"/>
        <v>6.248040644482874E-3</v>
      </c>
      <c r="Y53" s="15">
        <f t="shared" si="3"/>
        <v>6.2026313994343859E-3</v>
      </c>
    </row>
    <row r="54" spans="1:25" x14ac:dyDescent="0.3">
      <c r="A54" s="5">
        <v>35</v>
      </c>
      <c r="B54" s="5">
        <v>3500</v>
      </c>
      <c r="C54" s="5">
        <v>1168</v>
      </c>
      <c r="D54" s="5" t="s">
        <v>33</v>
      </c>
      <c r="E54" s="5" t="s">
        <v>34</v>
      </c>
      <c r="F54" s="13">
        <v>47</v>
      </c>
      <c r="G54" s="13" t="s">
        <v>83</v>
      </c>
      <c r="H54" s="13">
        <v>32</v>
      </c>
      <c r="I54" s="13">
        <v>32</v>
      </c>
      <c r="J54" s="13"/>
      <c r="K54" s="13"/>
      <c r="L54" s="13"/>
      <c r="M54" s="13">
        <f t="shared" si="0"/>
        <v>32</v>
      </c>
      <c r="N54" s="14">
        <v>34</v>
      </c>
      <c r="O54" s="14">
        <v>9.375</v>
      </c>
      <c r="P54" s="14">
        <v>4</v>
      </c>
      <c r="Q54" s="14">
        <v>8</v>
      </c>
      <c r="R54" s="14">
        <v>3</v>
      </c>
      <c r="S54" s="14">
        <v>5</v>
      </c>
      <c r="T54" s="14">
        <f t="shared" si="4"/>
        <v>63.375</v>
      </c>
      <c r="V54" s="15">
        <f t="shared" si="1"/>
        <v>1.4466623054053048E-2</v>
      </c>
      <c r="W54" s="15">
        <f t="shared" si="2"/>
        <v>1.1966875688095352E-2</v>
      </c>
      <c r="Y54" s="15">
        <f t="shared" si="3"/>
        <v>1.2134411947728687E-2</v>
      </c>
    </row>
    <row r="55" spans="1:25" x14ac:dyDescent="0.3">
      <c r="A55" s="5">
        <v>35</v>
      </c>
      <c r="B55" s="5">
        <v>3500</v>
      </c>
      <c r="C55" s="5">
        <v>1169</v>
      </c>
      <c r="D55" s="5" t="s">
        <v>33</v>
      </c>
      <c r="E55" s="5" t="s">
        <v>34</v>
      </c>
      <c r="F55" s="13">
        <v>48</v>
      </c>
      <c r="G55" s="13" t="s">
        <v>84</v>
      </c>
      <c r="H55" s="13">
        <v>46</v>
      </c>
      <c r="I55" s="13">
        <v>27</v>
      </c>
      <c r="J55" s="13">
        <v>19</v>
      </c>
      <c r="K55" s="13"/>
      <c r="L55" s="13"/>
      <c r="M55" s="13">
        <f t="shared" si="0"/>
        <v>46</v>
      </c>
      <c r="N55" s="14">
        <v>35</v>
      </c>
      <c r="O55" s="14">
        <v>8.7005024838146809</v>
      </c>
      <c r="P55" s="14">
        <v>4</v>
      </c>
      <c r="Q55" s="14">
        <v>8</v>
      </c>
      <c r="R55" s="14">
        <v>3</v>
      </c>
      <c r="S55" s="14">
        <v>5</v>
      </c>
      <c r="T55" s="14">
        <f t="shared" si="4"/>
        <v>63.700502483814681</v>
      </c>
      <c r="V55" s="15">
        <f t="shared" si="1"/>
        <v>2.1407410953148354E-2</v>
      </c>
      <c r="W55" s="15">
        <f t="shared" si="2"/>
        <v>1.5964734185992188E-2</v>
      </c>
      <c r="Y55" s="15">
        <f t="shared" si="3"/>
        <v>1.7532807873339447E-2</v>
      </c>
    </row>
    <row r="56" spans="1:25" x14ac:dyDescent="0.3">
      <c r="A56" s="5">
        <v>35</v>
      </c>
      <c r="B56" s="5">
        <v>3500</v>
      </c>
      <c r="C56" s="5">
        <v>1170</v>
      </c>
      <c r="D56" s="5" t="s">
        <v>33</v>
      </c>
      <c r="E56" s="5" t="s">
        <v>34</v>
      </c>
      <c r="F56" s="13">
        <v>49</v>
      </c>
      <c r="G56" s="13" t="s">
        <v>85</v>
      </c>
      <c r="H56" s="13">
        <v>59</v>
      </c>
      <c r="I56" s="13">
        <v>35</v>
      </c>
      <c r="J56" s="13">
        <v>24</v>
      </c>
      <c r="K56" s="13"/>
      <c r="L56" s="13"/>
      <c r="M56" s="13">
        <f t="shared" si="0"/>
        <v>59</v>
      </c>
      <c r="N56" s="14">
        <v>35</v>
      </c>
      <c r="O56" s="14">
        <v>7.7617990125266818</v>
      </c>
      <c r="P56" s="14">
        <v>4</v>
      </c>
      <c r="Q56" s="14">
        <v>8</v>
      </c>
      <c r="R56" s="14">
        <v>3</v>
      </c>
      <c r="S56" s="14">
        <v>5</v>
      </c>
      <c r="T56" s="14">
        <f t="shared" si="4"/>
        <v>62.76179901252668</v>
      </c>
      <c r="V56" s="15">
        <f t="shared" si="1"/>
        <v>2.7457331439907674E-2</v>
      </c>
      <c r="W56" s="15">
        <f t="shared" si="2"/>
        <v>1.8267281833447984E-2</v>
      </c>
      <c r="Y56" s="15">
        <f t="shared" si="3"/>
        <v>2.2156348078951903E-2</v>
      </c>
    </row>
    <row r="57" spans="1:25" x14ac:dyDescent="0.3">
      <c r="A57" s="5">
        <v>35</v>
      </c>
      <c r="B57" s="5">
        <v>3500</v>
      </c>
      <c r="C57" s="5">
        <v>1171</v>
      </c>
      <c r="D57" s="5" t="s">
        <v>33</v>
      </c>
      <c r="E57" s="5" t="s">
        <v>34</v>
      </c>
      <c r="F57" s="13">
        <v>50</v>
      </c>
      <c r="G57" s="13" t="s">
        <v>86</v>
      </c>
      <c r="H57" s="13">
        <v>119</v>
      </c>
      <c r="I57" s="13">
        <v>85</v>
      </c>
      <c r="J57" s="13">
        <v>34</v>
      </c>
      <c r="K57" s="13"/>
      <c r="L57" s="13"/>
      <c r="M57" s="13">
        <f t="shared" si="0"/>
        <v>119</v>
      </c>
      <c r="N57" s="14">
        <v>26</v>
      </c>
      <c r="O57" s="14">
        <v>9.1239141591742854</v>
      </c>
      <c r="P57" s="14">
        <v>5</v>
      </c>
      <c r="Q57" s="14">
        <v>9</v>
      </c>
      <c r="R57" s="14">
        <v>2.5</v>
      </c>
      <c r="S57" s="14">
        <v>5</v>
      </c>
      <c r="T57" s="14">
        <f t="shared" si="4"/>
        <v>56.623914159174284</v>
      </c>
      <c r="V57" s="15">
        <f t="shared" si="1"/>
        <v>4.113945930996335E-2</v>
      </c>
      <c r="W57" s="15">
        <f t="shared" si="2"/>
        <v>4.3309949457571044E-2</v>
      </c>
      <c r="Y57" s="15">
        <f t="shared" si="3"/>
        <v>4.0317874832115144E-2</v>
      </c>
    </row>
    <row r="58" spans="1:25" x14ac:dyDescent="0.3">
      <c r="A58" s="5">
        <v>35</v>
      </c>
      <c r="B58" s="5">
        <v>3500</v>
      </c>
      <c r="C58" s="5">
        <v>1172</v>
      </c>
      <c r="D58" s="5" t="s">
        <v>33</v>
      </c>
      <c r="E58" s="5" t="s">
        <v>34</v>
      </c>
      <c r="F58" s="13">
        <v>51</v>
      </c>
      <c r="G58" s="13" t="s">
        <v>87</v>
      </c>
      <c r="H58" s="13">
        <v>1926</v>
      </c>
      <c r="I58" s="13">
        <v>854</v>
      </c>
      <c r="J58" s="13">
        <v>636</v>
      </c>
      <c r="K58" s="13">
        <v>420</v>
      </c>
      <c r="L58" s="13">
        <v>16</v>
      </c>
      <c r="M58" s="13">
        <f t="shared" si="0"/>
        <v>1926</v>
      </c>
      <c r="N58" s="14">
        <v>24</v>
      </c>
      <c r="O58" s="14">
        <v>8.9494935804924651</v>
      </c>
      <c r="P58" s="14">
        <v>4</v>
      </c>
      <c r="Q58" s="14">
        <v>7.5</v>
      </c>
      <c r="R58" s="14">
        <v>2.5</v>
      </c>
      <c r="S58" s="14">
        <v>5</v>
      </c>
      <c r="T58" s="14">
        <f t="shared" si="4"/>
        <v>51.949493580492465</v>
      </c>
      <c r="V58" s="15">
        <f t="shared" si="1"/>
        <v>0.61461873534057732</v>
      </c>
      <c r="W58" s="15">
        <f t="shared" si="2"/>
        <v>0.68756580329761163</v>
      </c>
      <c r="Y58" s="15">
        <f t="shared" si="3"/>
        <v>0.59867122586298227</v>
      </c>
    </row>
    <row r="59" spans="1:25" x14ac:dyDescent="0.3">
      <c r="A59" s="5">
        <v>35</v>
      </c>
      <c r="B59" s="5">
        <v>3500</v>
      </c>
      <c r="C59" s="5">
        <v>1173</v>
      </c>
      <c r="D59" s="5" t="s">
        <v>33</v>
      </c>
      <c r="E59" s="5" t="s">
        <v>34</v>
      </c>
      <c r="F59" s="13">
        <v>52</v>
      </c>
      <c r="G59" s="13" t="s">
        <v>88</v>
      </c>
      <c r="H59" s="13">
        <v>165</v>
      </c>
      <c r="I59" s="13">
        <v>45</v>
      </c>
      <c r="J59" s="13">
        <v>88</v>
      </c>
      <c r="K59" s="13">
        <v>25</v>
      </c>
      <c r="L59" s="13">
        <v>7</v>
      </c>
      <c r="M59" s="13">
        <f t="shared" si="0"/>
        <v>165</v>
      </c>
      <c r="N59" s="14">
        <v>28</v>
      </c>
      <c r="O59" s="14">
        <v>7.0083582917756821</v>
      </c>
      <c r="P59" s="14">
        <v>4</v>
      </c>
      <c r="Q59" s="14">
        <v>7.5</v>
      </c>
      <c r="R59" s="14">
        <v>2.5</v>
      </c>
      <c r="S59" s="14">
        <v>7</v>
      </c>
      <c r="T59" s="14">
        <f t="shared" si="4"/>
        <v>56.008358291775679</v>
      </c>
      <c r="V59" s="15">
        <f t="shared" si="1"/>
        <v>6.1429961865556139E-2</v>
      </c>
      <c r="W59" s="15">
        <f t="shared" si="2"/>
        <v>4.6127483850421529E-2</v>
      </c>
      <c r="Y59" s="15">
        <f t="shared" si="3"/>
        <v>5.5295217546688695E-2</v>
      </c>
    </row>
    <row r="60" spans="1:25" x14ac:dyDescent="0.3">
      <c r="A60" s="5">
        <v>35</v>
      </c>
      <c r="B60" s="5">
        <v>3500</v>
      </c>
      <c r="C60" s="5">
        <v>1174</v>
      </c>
      <c r="D60" s="5" t="s">
        <v>33</v>
      </c>
      <c r="E60" s="5" t="s">
        <v>34</v>
      </c>
      <c r="F60" s="13">
        <v>53</v>
      </c>
      <c r="G60" s="13" t="s">
        <v>89</v>
      </c>
      <c r="H60" s="13">
        <v>551</v>
      </c>
      <c r="I60" s="13">
        <v>215</v>
      </c>
      <c r="J60" s="13">
        <v>179</v>
      </c>
      <c r="K60" s="13">
        <v>125</v>
      </c>
      <c r="L60" s="13">
        <v>32</v>
      </c>
      <c r="M60" s="13">
        <f t="shared" si="0"/>
        <v>551</v>
      </c>
      <c r="N60" s="14">
        <v>27</v>
      </c>
      <c r="O60" s="14">
        <v>9.2445069620926805</v>
      </c>
      <c r="P60" s="14">
        <v>5</v>
      </c>
      <c r="Q60" s="14">
        <v>8</v>
      </c>
      <c r="R60" s="14">
        <v>2.5</v>
      </c>
      <c r="S60" s="14">
        <v>5</v>
      </c>
      <c r="T60" s="14">
        <f t="shared" si="4"/>
        <v>56.744506962092679</v>
      </c>
      <c r="V60" s="15">
        <f t="shared" si="1"/>
        <v>0.19781245512421616</v>
      </c>
      <c r="W60" s="15">
        <f t="shared" si="2"/>
        <v>0.20318651317605135</v>
      </c>
      <c r="Y60" s="15">
        <f t="shared" si="3"/>
        <v>0.18707950394974551</v>
      </c>
    </row>
    <row r="61" spans="1:25" x14ac:dyDescent="0.3">
      <c r="A61" s="5">
        <v>35</v>
      </c>
      <c r="B61" s="5">
        <v>3500</v>
      </c>
      <c r="C61" s="5">
        <v>1175</v>
      </c>
      <c r="D61" s="5" t="s">
        <v>33</v>
      </c>
      <c r="E61" s="5" t="s">
        <v>34</v>
      </c>
      <c r="F61" s="13">
        <v>54</v>
      </c>
      <c r="G61" s="13" t="s">
        <v>90</v>
      </c>
      <c r="H61" s="13">
        <v>2946</v>
      </c>
      <c r="I61" s="13">
        <v>1521</v>
      </c>
      <c r="J61" s="13">
        <v>964</v>
      </c>
      <c r="K61" s="13">
        <v>458</v>
      </c>
      <c r="L61" s="13">
        <v>3</v>
      </c>
      <c r="M61" s="13">
        <f t="shared" si="0"/>
        <v>2946</v>
      </c>
      <c r="N61" s="14">
        <v>27</v>
      </c>
      <c r="O61" s="14">
        <v>8.3197161531170991</v>
      </c>
      <c r="P61" s="14">
        <v>5</v>
      </c>
      <c r="Q61" s="14">
        <v>9</v>
      </c>
      <c r="R61" s="14">
        <v>2.5</v>
      </c>
      <c r="S61" s="14">
        <v>5.13</v>
      </c>
      <c r="T61" s="14">
        <f t="shared" si="4"/>
        <v>56.949716153117102</v>
      </c>
      <c r="V61" s="15">
        <f t="shared" si="1"/>
        <v>1.0576324733138671</v>
      </c>
      <c r="W61" s="15">
        <f t="shared" si="2"/>
        <v>0.9776891080322857</v>
      </c>
      <c r="Y61" s="16">
        <f t="shared" si="3"/>
        <v>1.0038644858257322</v>
      </c>
    </row>
    <row r="62" spans="1:25" x14ac:dyDescent="0.3">
      <c r="A62" s="5">
        <v>35</v>
      </c>
      <c r="B62" s="5">
        <v>3500</v>
      </c>
      <c r="C62" s="5">
        <v>1176</v>
      </c>
      <c r="D62" s="5" t="s">
        <v>33</v>
      </c>
      <c r="E62" s="5" t="s">
        <v>34</v>
      </c>
      <c r="F62" s="13">
        <v>55</v>
      </c>
      <c r="G62" s="13" t="s">
        <v>91</v>
      </c>
      <c r="H62" s="13">
        <v>69</v>
      </c>
      <c r="I62" s="13">
        <v>52</v>
      </c>
      <c r="J62" s="13">
        <v>17</v>
      </c>
      <c r="K62" s="13"/>
      <c r="L62" s="13"/>
      <c r="M62" s="13">
        <f t="shared" si="0"/>
        <v>69</v>
      </c>
      <c r="N62" s="14">
        <v>35</v>
      </c>
      <c r="O62" s="14">
        <v>2.9238868397315287</v>
      </c>
      <c r="P62" s="14">
        <v>5.2</v>
      </c>
      <c r="Q62" s="14">
        <v>12.2</v>
      </c>
      <c r="R62" s="14">
        <v>3.2</v>
      </c>
      <c r="S62" s="14">
        <v>5</v>
      </c>
      <c r="T62" s="14">
        <f t="shared" si="4"/>
        <v>63.523886839731531</v>
      </c>
      <c r="V62" s="15">
        <f t="shared" si="1"/>
        <v>3.211111642972253E-2</v>
      </c>
      <c r="W62" s="15">
        <f t="shared" si="2"/>
        <v>8.0476517775387932E-3</v>
      </c>
      <c r="Y62" s="15">
        <f t="shared" si="3"/>
        <v>2.6226294767731771E-2</v>
      </c>
    </row>
    <row r="63" spans="1:25" x14ac:dyDescent="0.3">
      <c r="A63" s="5">
        <v>35</v>
      </c>
      <c r="B63" s="5">
        <v>3500</v>
      </c>
      <c r="C63" s="5">
        <v>1177</v>
      </c>
      <c r="D63" s="5" t="s">
        <v>33</v>
      </c>
      <c r="E63" s="5" t="s">
        <v>34</v>
      </c>
      <c r="F63" s="13">
        <v>56</v>
      </c>
      <c r="G63" s="13" t="s">
        <v>92</v>
      </c>
      <c r="H63" s="13">
        <v>54</v>
      </c>
      <c r="I63" s="13">
        <v>54</v>
      </c>
      <c r="J63" s="13"/>
      <c r="K63" s="13"/>
      <c r="L63" s="13"/>
      <c r="M63" s="13">
        <f t="shared" si="0"/>
        <v>54</v>
      </c>
      <c r="N63" s="14">
        <v>40</v>
      </c>
      <c r="O63" s="14">
        <v>8.9123533705671658</v>
      </c>
      <c r="P63" s="14">
        <v>5</v>
      </c>
      <c r="Q63" s="14">
        <v>7.25</v>
      </c>
      <c r="R63" s="14">
        <v>2.7</v>
      </c>
      <c r="S63" s="14">
        <v>5</v>
      </c>
      <c r="T63" s="14">
        <f t="shared" si="4"/>
        <v>68.862353370567178</v>
      </c>
      <c r="V63" s="15">
        <f t="shared" si="1"/>
        <v>2.8720501651428844E-2</v>
      </c>
      <c r="W63" s="15">
        <f t="shared" si="2"/>
        <v>1.9197544477311878E-2</v>
      </c>
      <c r="Y63" s="15">
        <f t="shared" si="3"/>
        <v>2.2249815004132326E-2</v>
      </c>
    </row>
    <row r="64" spans="1:25" x14ac:dyDescent="0.3">
      <c r="A64" s="5">
        <v>35</v>
      </c>
      <c r="B64" s="5">
        <v>3500</v>
      </c>
      <c r="C64" s="5">
        <v>1178</v>
      </c>
      <c r="D64" s="5" t="s">
        <v>33</v>
      </c>
      <c r="E64" s="5" t="s">
        <v>34</v>
      </c>
      <c r="F64" s="13">
        <v>57</v>
      </c>
      <c r="G64" s="13" t="s">
        <v>93</v>
      </c>
      <c r="H64" s="13">
        <v>23</v>
      </c>
      <c r="I64" s="13">
        <v>23</v>
      </c>
      <c r="J64" s="13"/>
      <c r="K64" s="13"/>
      <c r="L64" s="13"/>
      <c r="M64" s="13">
        <f t="shared" si="0"/>
        <v>23</v>
      </c>
      <c r="N64" s="14">
        <v>40</v>
      </c>
      <c r="O64" s="14">
        <v>8.7451789398152293</v>
      </c>
      <c r="P64" s="14">
        <v>5</v>
      </c>
      <c r="Q64" s="14">
        <v>7.5</v>
      </c>
      <c r="R64" s="14">
        <v>3.2</v>
      </c>
      <c r="S64" s="14">
        <v>5</v>
      </c>
      <c r="T64" s="14">
        <f t="shared" si="4"/>
        <v>69.445178939815236</v>
      </c>
      <c r="V64" s="15">
        <f t="shared" si="1"/>
        <v>1.2232806258941915E-2</v>
      </c>
      <c r="W64" s="15">
        <f t="shared" si="2"/>
        <v>8.0233559752904068E-3</v>
      </c>
      <c r="Y64" s="15">
        <f t="shared" si="3"/>
        <v>9.556980970368523E-3</v>
      </c>
    </row>
    <row r="65" spans="1:25" x14ac:dyDescent="0.3">
      <c r="A65" s="5">
        <v>35</v>
      </c>
      <c r="B65" s="5">
        <v>3500</v>
      </c>
      <c r="C65" s="5">
        <v>1179</v>
      </c>
      <c r="D65" s="5" t="s">
        <v>33</v>
      </c>
      <c r="E65" s="5" t="s">
        <v>34</v>
      </c>
      <c r="F65" s="13">
        <v>58</v>
      </c>
      <c r="G65" s="13" t="s">
        <v>94</v>
      </c>
      <c r="H65" s="13">
        <v>42</v>
      </c>
      <c r="I65" s="13">
        <v>42</v>
      </c>
      <c r="J65" s="13"/>
      <c r="K65" s="13"/>
      <c r="L65" s="13"/>
      <c r="M65" s="13">
        <f t="shared" si="0"/>
        <v>42</v>
      </c>
      <c r="N65" s="14">
        <v>34</v>
      </c>
      <c r="O65" s="14">
        <v>6.0771607504973666</v>
      </c>
      <c r="P65" s="14">
        <v>5</v>
      </c>
      <c r="Q65" s="14">
        <v>7.6</v>
      </c>
      <c r="R65" s="14">
        <v>3.2</v>
      </c>
      <c r="S65" s="14">
        <v>5</v>
      </c>
      <c r="T65" s="14">
        <f t="shared" si="4"/>
        <v>60.877160750497374</v>
      </c>
      <c r="V65" s="15">
        <f t="shared" si="1"/>
        <v>1.8987442758444627E-2</v>
      </c>
      <c r="W65" s="15">
        <f t="shared" si="2"/>
        <v>1.0181447813288395E-2</v>
      </c>
      <c r="Y65" s="15">
        <f t="shared" si="3"/>
        <v>1.5298697713853391E-2</v>
      </c>
    </row>
    <row r="66" spans="1:25" x14ac:dyDescent="0.3">
      <c r="A66" s="5">
        <v>35</v>
      </c>
      <c r="B66" s="5">
        <v>3500</v>
      </c>
      <c r="C66" s="5">
        <v>1180</v>
      </c>
      <c r="D66" s="5" t="s">
        <v>33</v>
      </c>
      <c r="E66" s="5" t="s">
        <v>34</v>
      </c>
      <c r="F66" s="13">
        <v>59</v>
      </c>
      <c r="G66" s="13" t="s">
        <v>95</v>
      </c>
      <c r="H66" s="13">
        <v>51</v>
      </c>
      <c r="I66" s="13">
        <v>40</v>
      </c>
      <c r="J66" s="13">
        <v>11</v>
      </c>
      <c r="K66" s="13"/>
      <c r="L66" s="13"/>
      <c r="M66" s="13">
        <f t="shared" si="0"/>
        <v>51</v>
      </c>
      <c r="N66" s="14">
        <v>39</v>
      </c>
      <c r="O66" s="14">
        <v>7</v>
      </c>
      <c r="P66" s="14">
        <v>5</v>
      </c>
      <c r="Q66" s="14">
        <v>10.6</v>
      </c>
      <c r="R66" s="14">
        <v>3.2</v>
      </c>
      <c r="S66" s="14">
        <v>5</v>
      </c>
      <c r="T66" s="14">
        <f t="shared" si="4"/>
        <v>69.8</v>
      </c>
      <c r="V66" s="15">
        <f t="shared" si="1"/>
        <v>2.6446795270690729E-2</v>
      </c>
      <c r="W66" s="15">
        <f t="shared" si="2"/>
        <v>1.4240582068833468E-2</v>
      </c>
      <c r="Y66" s="15">
        <f t="shared" si="3"/>
        <v>2.1299842037240915E-2</v>
      </c>
    </row>
    <row r="67" spans="1:25" x14ac:dyDescent="0.3">
      <c r="A67" s="5">
        <v>35</v>
      </c>
      <c r="B67" s="5">
        <v>3500</v>
      </c>
      <c r="C67" s="5">
        <v>1181</v>
      </c>
      <c r="D67" s="5" t="s">
        <v>33</v>
      </c>
      <c r="E67" s="5" t="s">
        <v>34</v>
      </c>
      <c r="F67" s="13">
        <v>60</v>
      </c>
      <c r="G67" s="13" t="s">
        <v>96</v>
      </c>
      <c r="H67" s="13">
        <v>82</v>
      </c>
      <c r="I67" s="13">
        <v>82</v>
      </c>
      <c r="J67" s="13"/>
      <c r="K67" s="13"/>
      <c r="L67" s="13"/>
      <c r="M67" s="13">
        <f t="shared" si="0"/>
        <v>82</v>
      </c>
      <c r="N67" s="14">
        <v>39</v>
      </c>
      <c r="O67" s="14">
        <v>8.0236961493757271</v>
      </c>
      <c r="P67" s="14">
        <v>5.2</v>
      </c>
      <c r="Q67" s="14">
        <v>12.2</v>
      </c>
      <c r="R67" s="14">
        <v>3.2</v>
      </c>
      <c r="S67" s="14">
        <v>5</v>
      </c>
      <c r="T67" s="14">
        <f t="shared" si="4"/>
        <v>72.623696149375732</v>
      </c>
      <c r="V67" s="15">
        <f t="shared" si="1"/>
        <v>4.2522298278365483E-2</v>
      </c>
      <c r="W67" s="15">
        <f t="shared" si="2"/>
        <v>2.6245076996825177E-2</v>
      </c>
      <c r="Y67" s="15">
        <f t="shared" si="3"/>
        <v>3.5632228497013127E-2</v>
      </c>
    </row>
    <row r="68" spans="1:25" x14ac:dyDescent="0.3">
      <c r="A68" s="5">
        <v>35</v>
      </c>
      <c r="B68" s="5">
        <v>3500</v>
      </c>
      <c r="C68" s="5">
        <v>1182</v>
      </c>
      <c r="D68" s="5" t="s">
        <v>33</v>
      </c>
      <c r="E68" s="5" t="s">
        <v>34</v>
      </c>
      <c r="F68" s="13">
        <v>61</v>
      </c>
      <c r="G68" s="13" t="s">
        <v>97</v>
      </c>
      <c r="H68" s="13">
        <v>62</v>
      </c>
      <c r="I68" s="13">
        <v>37</v>
      </c>
      <c r="J68" s="13">
        <v>25</v>
      </c>
      <c r="K68" s="13"/>
      <c r="L68" s="13"/>
      <c r="M68" s="13">
        <f t="shared" si="0"/>
        <v>62</v>
      </c>
      <c r="N68" s="14">
        <v>40</v>
      </c>
      <c r="O68" s="14">
        <v>6.5971000853616468</v>
      </c>
      <c r="P68" s="14">
        <v>5.2</v>
      </c>
      <c r="Q68" s="14">
        <v>12.2</v>
      </c>
      <c r="R68" s="14">
        <v>3.2</v>
      </c>
      <c r="S68" s="14">
        <v>5</v>
      </c>
      <c r="T68" s="14">
        <f t="shared" si="4"/>
        <v>72.197100085361654</v>
      </c>
      <c r="V68" s="15">
        <f t="shared" si="1"/>
        <v>3.2975390784973857E-2</v>
      </c>
      <c r="W68" s="15">
        <f t="shared" si="2"/>
        <v>1.6315646502178854E-2</v>
      </c>
      <c r="Y68" s="15">
        <f t="shared" si="3"/>
        <v>2.6783185374637537E-2</v>
      </c>
    </row>
    <row r="69" spans="1:25" x14ac:dyDescent="0.3">
      <c r="A69" s="5">
        <v>35</v>
      </c>
      <c r="B69" s="5">
        <v>3500</v>
      </c>
      <c r="C69" s="5">
        <v>1183</v>
      </c>
      <c r="D69" s="5" t="s">
        <v>33</v>
      </c>
      <c r="E69" s="5" t="s">
        <v>34</v>
      </c>
      <c r="F69" s="13">
        <v>62</v>
      </c>
      <c r="G69" s="13" t="s">
        <v>98</v>
      </c>
      <c r="H69" s="13">
        <v>56</v>
      </c>
      <c r="I69" s="13">
        <v>44</v>
      </c>
      <c r="J69" s="13">
        <v>12</v>
      </c>
      <c r="K69" s="13"/>
      <c r="L69" s="13"/>
      <c r="M69" s="13">
        <f t="shared" si="0"/>
        <v>56</v>
      </c>
      <c r="N69" s="14">
        <v>34</v>
      </c>
      <c r="O69" s="14">
        <v>7.0422234271181976</v>
      </c>
      <c r="P69" s="14">
        <v>5.2</v>
      </c>
      <c r="Q69" s="14">
        <v>12.45</v>
      </c>
      <c r="R69" s="14">
        <v>3.2</v>
      </c>
      <c r="S69" s="14">
        <v>5</v>
      </c>
      <c r="T69" s="14">
        <f t="shared" si="4"/>
        <v>66.892223427118196</v>
      </c>
      <c r="V69" s="15">
        <f t="shared" si="1"/>
        <v>2.5316590344592833E-2</v>
      </c>
      <c r="W69" s="15">
        <f t="shared" si="2"/>
        <v>1.573103696642171E-2</v>
      </c>
      <c r="Y69" s="15">
        <f t="shared" si="3"/>
        <v>2.2413745823073445E-2</v>
      </c>
    </row>
    <row r="70" spans="1:25" x14ac:dyDescent="0.3">
      <c r="A70" s="5">
        <v>35</v>
      </c>
      <c r="B70" s="5">
        <v>3500</v>
      </c>
      <c r="C70" s="5">
        <v>1184</v>
      </c>
      <c r="D70" s="5" t="s">
        <v>33</v>
      </c>
      <c r="E70" s="5" t="s">
        <v>34</v>
      </c>
      <c r="F70" s="13">
        <v>63</v>
      </c>
      <c r="G70" s="13" t="s">
        <v>99</v>
      </c>
      <c r="H70" s="13">
        <v>38</v>
      </c>
      <c r="I70" s="13">
        <v>30</v>
      </c>
      <c r="J70" s="13">
        <v>8</v>
      </c>
      <c r="K70" s="13"/>
      <c r="L70" s="13"/>
      <c r="M70" s="13">
        <f t="shared" si="0"/>
        <v>38</v>
      </c>
      <c r="N70" s="14">
        <v>34</v>
      </c>
      <c r="O70" s="14">
        <v>9.3786648821981675</v>
      </c>
      <c r="P70" s="14">
        <v>4</v>
      </c>
      <c r="Q70" s="14">
        <v>7.5</v>
      </c>
      <c r="R70" s="14">
        <v>2.5</v>
      </c>
      <c r="S70" s="14">
        <v>5</v>
      </c>
      <c r="T70" s="14">
        <f t="shared" si="4"/>
        <v>62.378664882198166</v>
      </c>
      <c r="V70" s="15">
        <f t="shared" si="1"/>
        <v>1.7179114876687995E-2</v>
      </c>
      <c r="W70" s="15">
        <f t="shared" si="2"/>
        <v>1.4216220123638983E-2</v>
      </c>
      <c r="Y70" s="15">
        <f t="shared" si="3"/>
        <v>1.4183076836457868E-2</v>
      </c>
    </row>
    <row r="71" spans="1:25" x14ac:dyDescent="0.3">
      <c r="A71" s="5">
        <v>35</v>
      </c>
      <c r="B71" s="5">
        <v>3500</v>
      </c>
      <c r="C71" s="5">
        <v>1185</v>
      </c>
      <c r="D71" s="5" t="s">
        <v>33</v>
      </c>
      <c r="E71" s="5" t="s">
        <v>34</v>
      </c>
      <c r="F71" s="13">
        <v>64</v>
      </c>
      <c r="G71" s="13" t="s">
        <v>100</v>
      </c>
      <c r="H71" s="13">
        <v>45</v>
      </c>
      <c r="I71" s="13">
        <v>33</v>
      </c>
      <c r="J71" s="13">
        <v>12</v>
      </c>
      <c r="K71" s="13"/>
      <c r="L71" s="13"/>
      <c r="M71" s="13">
        <f t="shared" ref="M71:M134" si="5">SUM(I71:L71)</f>
        <v>45</v>
      </c>
      <c r="N71" s="14">
        <v>35</v>
      </c>
      <c r="O71" s="14">
        <v>9.8590413423124215</v>
      </c>
      <c r="P71" s="14">
        <v>4</v>
      </c>
      <c r="Q71" s="14">
        <v>7.5</v>
      </c>
      <c r="R71" s="14">
        <v>2.5</v>
      </c>
      <c r="S71" s="14">
        <v>5</v>
      </c>
      <c r="T71" s="14">
        <f t="shared" si="4"/>
        <v>63.859041342312423</v>
      </c>
      <c r="V71" s="15">
        <f t="shared" ref="V71:V134" si="6">(((N71/45)*100)*H71)/$H$190</f>
        <v>2.094203245416687E-2</v>
      </c>
      <c r="W71" s="15">
        <f t="shared" ref="W71:W134" si="7">(((O71/15)*100)*H71)/$H$190</f>
        <v>1.7697288322086824E-2</v>
      </c>
      <c r="Y71" s="15">
        <f t="shared" ref="Y71:Y134" si="8">(T71*H71)/$H$190</f>
        <v>1.7194347209348877E-2</v>
      </c>
    </row>
    <row r="72" spans="1:25" x14ac:dyDescent="0.3">
      <c r="A72" s="5">
        <v>35</v>
      </c>
      <c r="B72" s="5">
        <v>3500</v>
      </c>
      <c r="C72" s="5">
        <v>1186</v>
      </c>
      <c r="D72" s="5" t="s">
        <v>33</v>
      </c>
      <c r="E72" s="5" t="s">
        <v>34</v>
      </c>
      <c r="F72" s="13">
        <v>65</v>
      </c>
      <c r="G72" s="13" t="s">
        <v>101</v>
      </c>
      <c r="H72" s="13">
        <v>461</v>
      </c>
      <c r="I72" s="13">
        <v>149</v>
      </c>
      <c r="J72" s="13">
        <v>100</v>
      </c>
      <c r="K72" s="13">
        <v>95</v>
      </c>
      <c r="L72" s="13">
        <v>117</v>
      </c>
      <c r="M72" s="13">
        <f t="shared" si="5"/>
        <v>461</v>
      </c>
      <c r="N72" s="14">
        <v>22.74</v>
      </c>
      <c r="O72" s="14">
        <v>5.4238645101756671</v>
      </c>
      <c r="P72" s="14">
        <v>4</v>
      </c>
      <c r="Q72" s="14">
        <v>7.5</v>
      </c>
      <c r="R72" s="14">
        <v>2.5</v>
      </c>
      <c r="S72" s="14">
        <v>4.8499999999999996</v>
      </c>
      <c r="T72" s="14">
        <f t="shared" ref="T72:T135" si="9">SUM(N72:S72)</f>
        <v>47.013864510175665</v>
      </c>
      <c r="V72" s="15">
        <f t="shared" si="6"/>
        <v>0.13938937022322212</v>
      </c>
      <c r="W72" s="15">
        <f t="shared" si="7"/>
        <v>9.9739981299402536E-2</v>
      </c>
      <c r="Y72" s="15">
        <f t="shared" si="8"/>
        <v>0.12968139114445804</v>
      </c>
    </row>
    <row r="73" spans="1:25" x14ac:dyDescent="0.3">
      <c r="A73" s="5">
        <v>35</v>
      </c>
      <c r="B73" s="5">
        <v>3500</v>
      </c>
      <c r="C73" s="5">
        <v>1187</v>
      </c>
      <c r="D73" s="5" t="s">
        <v>33</v>
      </c>
      <c r="E73" s="5" t="s">
        <v>34</v>
      </c>
      <c r="F73" s="13">
        <v>66</v>
      </c>
      <c r="G73" s="13" t="s">
        <v>102</v>
      </c>
      <c r="H73" s="13">
        <v>369</v>
      </c>
      <c r="I73" s="13">
        <v>155</v>
      </c>
      <c r="J73" s="13">
        <v>30</v>
      </c>
      <c r="K73" s="13">
        <v>120</v>
      </c>
      <c r="L73" s="13">
        <v>64</v>
      </c>
      <c r="M73" s="13">
        <f t="shared" si="5"/>
        <v>369</v>
      </c>
      <c r="N73" s="14">
        <v>20.61</v>
      </c>
      <c r="O73" s="14">
        <v>3.9244583201487755</v>
      </c>
      <c r="P73" s="14">
        <v>4</v>
      </c>
      <c r="Q73" s="14">
        <v>7.5</v>
      </c>
      <c r="R73" s="14">
        <v>2.5</v>
      </c>
      <c r="S73" s="14">
        <v>4.8499999999999996</v>
      </c>
      <c r="T73" s="14">
        <f t="shared" si="9"/>
        <v>43.384458320148774</v>
      </c>
      <c r="V73" s="15">
        <f t="shared" si="6"/>
        <v>0.10112129625197454</v>
      </c>
      <c r="W73" s="15">
        <f t="shared" si="7"/>
        <v>5.7765110978208238E-2</v>
      </c>
      <c r="Y73" s="15">
        <f t="shared" si="8"/>
        <v>9.5788049400069991E-2</v>
      </c>
    </row>
    <row r="74" spans="1:25" x14ac:dyDescent="0.3">
      <c r="A74" s="5">
        <v>35</v>
      </c>
      <c r="B74" s="5">
        <v>3500</v>
      </c>
      <c r="C74" s="5">
        <v>1188</v>
      </c>
      <c r="D74" s="5" t="s">
        <v>33</v>
      </c>
      <c r="E74" s="5" t="s">
        <v>34</v>
      </c>
      <c r="F74" s="13">
        <v>67</v>
      </c>
      <c r="G74" s="13" t="s">
        <v>103</v>
      </c>
      <c r="H74" s="13">
        <v>281</v>
      </c>
      <c r="I74" s="13">
        <v>200</v>
      </c>
      <c r="J74" s="13"/>
      <c r="K74" s="13">
        <v>59</v>
      </c>
      <c r="L74" s="13">
        <v>22</v>
      </c>
      <c r="M74" s="13">
        <f t="shared" si="5"/>
        <v>281</v>
      </c>
      <c r="N74" s="14">
        <v>15.61</v>
      </c>
      <c r="O74" s="14">
        <v>5.8250845760929533</v>
      </c>
      <c r="P74" s="14">
        <v>4</v>
      </c>
      <c r="Q74" s="14">
        <v>7.5</v>
      </c>
      <c r="R74" s="14">
        <v>2.5</v>
      </c>
      <c r="S74" s="14">
        <v>4.8499999999999996</v>
      </c>
      <c r="T74" s="14">
        <f t="shared" si="9"/>
        <v>40.285084576092956</v>
      </c>
      <c r="V74" s="15">
        <f t="shared" si="6"/>
        <v>5.8324025763353694E-2</v>
      </c>
      <c r="W74" s="15">
        <f t="shared" si="7"/>
        <v>6.5293219005078729E-2</v>
      </c>
      <c r="Y74" s="15">
        <f t="shared" si="8"/>
        <v>6.7733167188514909E-2</v>
      </c>
    </row>
    <row r="75" spans="1:25" x14ac:dyDescent="0.3">
      <c r="A75" s="5">
        <v>35</v>
      </c>
      <c r="B75" s="5">
        <v>3500</v>
      </c>
      <c r="C75" s="5">
        <v>1189</v>
      </c>
      <c r="D75" s="5" t="s">
        <v>33</v>
      </c>
      <c r="E75" s="5" t="s">
        <v>34</v>
      </c>
      <c r="F75" s="13">
        <v>68</v>
      </c>
      <c r="G75" s="13" t="s">
        <v>104</v>
      </c>
      <c r="H75" s="13">
        <v>332</v>
      </c>
      <c r="I75" s="13">
        <v>140</v>
      </c>
      <c r="J75" s="13">
        <v>95</v>
      </c>
      <c r="K75" s="13">
        <v>45</v>
      </c>
      <c r="L75" s="13">
        <v>52</v>
      </c>
      <c r="M75" s="13">
        <f t="shared" si="5"/>
        <v>332</v>
      </c>
      <c r="N75" s="14">
        <v>22.52</v>
      </c>
      <c r="O75" s="14">
        <v>7.0474527061262693</v>
      </c>
      <c r="P75" s="14">
        <v>4</v>
      </c>
      <c r="Q75" s="14">
        <v>7.5</v>
      </c>
      <c r="R75" s="14">
        <v>2.5</v>
      </c>
      <c r="S75" s="14">
        <v>4.8499999999999996</v>
      </c>
      <c r="T75" s="14">
        <f t="shared" si="9"/>
        <v>48.417452706126269</v>
      </c>
      <c r="V75" s="15">
        <f t="shared" si="6"/>
        <v>9.9413357160712479E-2</v>
      </c>
      <c r="W75" s="15">
        <f t="shared" si="7"/>
        <v>9.3331829433484975E-2</v>
      </c>
      <c r="Y75" s="15">
        <f t="shared" si="8"/>
        <v>9.6181335852962527E-2</v>
      </c>
    </row>
    <row r="76" spans="1:25" x14ac:dyDescent="0.3">
      <c r="A76" s="5">
        <v>35</v>
      </c>
      <c r="B76" s="5">
        <v>3500</v>
      </c>
      <c r="C76" s="5">
        <v>1190</v>
      </c>
      <c r="D76" s="5" t="s">
        <v>33</v>
      </c>
      <c r="E76" s="5" t="s">
        <v>34</v>
      </c>
      <c r="F76" s="13">
        <v>69</v>
      </c>
      <c r="G76" s="13" t="s">
        <v>105</v>
      </c>
      <c r="H76" s="13">
        <v>108</v>
      </c>
      <c r="I76" s="13">
        <v>45</v>
      </c>
      <c r="J76" s="13"/>
      <c r="K76" s="13">
        <v>20</v>
      </c>
      <c r="L76" s="13">
        <v>43</v>
      </c>
      <c r="M76" s="13">
        <f t="shared" si="5"/>
        <v>108</v>
      </c>
      <c r="N76" s="14">
        <v>24</v>
      </c>
      <c r="O76" s="14">
        <v>3.389921643004274</v>
      </c>
      <c r="P76" s="14">
        <v>4</v>
      </c>
      <c r="Q76" s="14">
        <v>7.5</v>
      </c>
      <c r="R76" s="14">
        <v>2.5</v>
      </c>
      <c r="S76" s="14">
        <v>4.8499999999999996</v>
      </c>
      <c r="T76" s="14">
        <f t="shared" si="9"/>
        <v>46.239921643004273</v>
      </c>
      <c r="V76" s="15">
        <f t="shared" si="6"/>
        <v>3.4464601981714617E-2</v>
      </c>
      <c r="W76" s="15">
        <f t="shared" si="7"/>
        <v>1.4604037521917797E-2</v>
      </c>
      <c r="Y76" s="15">
        <f t="shared" si="8"/>
        <v>2.9880759282971507E-2</v>
      </c>
    </row>
    <row r="77" spans="1:25" x14ac:dyDescent="0.3">
      <c r="A77" s="5">
        <v>35</v>
      </c>
      <c r="B77" s="5">
        <v>3500</v>
      </c>
      <c r="C77" s="5">
        <v>1191</v>
      </c>
      <c r="D77" s="5" t="s">
        <v>33</v>
      </c>
      <c r="E77" s="5" t="s">
        <v>34</v>
      </c>
      <c r="F77" s="13">
        <v>70</v>
      </c>
      <c r="G77" s="13" t="s">
        <v>106</v>
      </c>
      <c r="H77" s="13">
        <v>98</v>
      </c>
      <c r="I77" s="13">
        <v>51</v>
      </c>
      <c r="J77" s="13">
        <v>22</v>
      </c>
      <c r="K77" s="13">
        <v>25</v>
      </c>
      <c r="L77" s="13"/>
      <c r="M77" s="13">
        <f t="shared" si="5"/>
        <v>98</v>
      </c>
      <c r="N77" s="14">
        <v>25.02</v>
      </c>
      <c r="O77" s="14">
        <v>9.9605818347828947</v>
      </c>
      <c r="P77" s="14">
        <v>5.23</v>
      </c>
      <c r="Q77" s="14">
        <v>9.0500000000000007</v>
      </c>
      <c r="R77" s="14">
        <v>2.85</v>
      </c>
      <c r="S77" s="14">
        <v>4.8499999999999996</v>
      </c>
      <c r="T77" s="14">
        <f t="shared" si="9"/>
        <v>56.9605818347829</v>
      </c>
      <c r="V77" s="15">
        <f t="shared" si="6"/>
        <v>3.2602556124646971E-2</v>
      </c>
      <c r="W77" s="15">
        <f t="shared" si="7"/>
        <v>3.8937701235329546E-2</v>
      </c>
      <c r="Y77" s="15">
        <f t="shared" si="8"/>
        <v>3.3400369894983031E-2</v>
      </c>
    </row>
    <row r="78" spans="1:25" x14ac:dyDescent="0.3">
      <c r="A78" s="5">
        <v>35</v>
      </c>
      <c r="B78" s="5">
        <v>3500</v>
      </c>
      <c r="C78" s="5">
        <v>1192</v>
      </c>
      <c r="D78" s="5" t="s">
        <v>33</v>
      </c>
      <c r="E78" s="5" t="s">
        <v>34</v>
      </c>
      <c r="F78" s="13">
        <v>71</v>
      </c>
      <c r="G78" s="13" t="s">
        <v>107</v>
      </c>
      <c r="H78" s="13">
        <v>245</v>
      </c>
      <c r="I78" s="13">
        <v>163</v>
      </c>
      <c r="J78" s="13"/>
      <c r="K78" s="13">
        <v>56</v>
      </c>
      <c r="L78" s="13">
        <v>26</v>
      </c>
      <c r="M78" s="13">
        <f t="shared" si="5"/>
        <v>245</v>
      </c>
      <c r="N78" s="14">
        <v>25.04</v>
      </c>
      <c r="O78" s="14">
        <v>2.6054752237995493</v>
      </c>
      <c r="P78" s="14">
        <v>5.23</v>
      </c>
      <c r="Q78" s="14">
        <v>9.65</v>
      </c>
      <c r="R78" s="14">
        <v>3</v>
      </c>
      <c r="S78" s="14">
        <v>5.13</v>
      </c>
      <c r="T78" s="14">
        <f t="shared" si="9"/>
        <v>50.655475223799549</v>
      </c>
      <c r="V78" s="15">
        <f t="shared" si="6"/>
        <v>8.1571543301474841E-2</v>
      </c>
      <c r="W78" s="15">
        <f t="shared" si="7"/>
        <v>2.5463175124490995E-2</v>
      </c>
      <c r="Y78" s="15">
        <f t="shared" si="8"/>
        <v>7.42580024282639E-2</v>
      </c>
    </row>
    <row r="79" spans="1:25" x14ac:dyDescent="0.3">
      <c r="A79" s="5">
        <v>35</v>
      </c>
      <c r="B79" s="5">
        <v>3500</v>
      </c>
      <c r="C79" s="5">
        <v>1193</v>
      </c>
      <c r="D79" s="5" t="s">
        <v>33</v>
      </c>
      <c r="E79" s="5" t="s">
        <v>34</v>
      </c>
      <c r="F79" s="13">
        <v>72</v>
      </c>
      <c r="G79" s="13" t="s">
        <v>108</v>
      </c>
      <c r="H79" s="13">
        <v>113</v>
      </c>
      <c r="I79" s="13">
        <v>62</v>
      </c>
      <c r="J79" s="13">
        <v>25</v>
      </c>
      <c r="K79" s="13"/>
      <c r="L79" s="13">
        <v>26</v>
      </c>
      <c r="M79" s="13">
        <f t="shared" si="5"/>
        <v>113</v>
      </c>
      <c r="N79" s="14">
        <v>25.02</v>
      </c>
      <c r="O79" s="14">
        <v>2.3008849557522124</v>
      </c>
      <c r="P79" s="14">
        <v>5.23</v>
      </c>
      <c r="Q79" s="14">
        <v>9.0500000000000007</v>
      </c>
      <c r="R79" s="14">
        <v>2.75</v>
      </c>
      <c r="S79" s="14">
        <v>4.7300000000000004</v>
      </c>
      <c r="T79" s="14">
        <f t="shared" si="9"/>
        <v>49.080884955752211</v>
      </c>
      <c r="V79" s="15">
        <f t="shared" si="6"/>
        <v>3.7592743286582735E-2</v>
      </c>
      <c r="W79" s="15">
        <f t="shared" si="7"/>
        <v>1.0371292263015971E-2</v>
      </c>
      <c r="Y79" s="15">
        <f t="shared" si="8"/>
        <v>3.3184983964386572E-2</v>
      </c>
    </row>
    <row r="80" spans="1:25" x14ac:dyDescent="0.3">
      <c r="A80" s="5">
        <v>35</v>
      </c>
      <c r="B80" s="5">
        <v>3500</v>
      </c>
      <c r="C80" s="5">
        <v>1194</v>
      </c>
      <c r="D80" s="5" t="s">
        <v>33</v>
      </c>
      <c r="E80" s="5" t="s">
        <v>34</v>
      </c>
      <c r="F80" s="13">
        <v>73</v>
      </c>
      <c r="G80" s="13" t="s">
        <v>109</v>
      </c>
      <c r="H80" s="13">
        <v>69</v>
      </c>
      <c r="I80" s="13">
        <v>48</v>
      </c>
      <c r="J80" s="13">
        <v>21</v>
      </c>
      <c r="K80" s="13"/>
      <c r="L80" s="13"/>
      <c r="M80" s="13">
        <f t="shared" si="5"/>
        <v>69</v>
      </c>
      <c r="N80" s="14">
        <v>28</v>
      </c>
      <c r="O80" s="14">
        <v>9.9818682299446646</v>
      </c>
      <c r="P80" s="14">
        <v>4</v>
      </c>
      <c r="Q80" s="14">
        <v>7.5</v>
      </c>
      <c r="R80" s="14">
        <v>2.5</v>
      </c>
      <c r="S80" s="14">
        <v>5.13</v>
      </c>
      <c r="T80" s="14">
        <f t="shared" si="9"/>
        <v>57.111868229944669</v>
      </c>
      <c r="V80" s="15">
        <f t="shared" si="6"/>
        <v>2.5688893143778022E-2</v>
      </c>
      <c r="W80" s="15">
        <f t="shared" si="7"/>
        <v>2.7473908535820123E-2</v>
      </c>
      <c r="Y80" s="15">
        <f t="shared" si="8"/>
        <v>2.357904664608074E-2</v>
      </c>
    </row>
    <row r="81" spans="1:25" x14ac:dyDescent="0.3">
      <c r="A81" s="5">
        <v>35</v>
      </c>
      <c r="B81" s="5">
        <v>3500</v>
      </c>
      <c r="C81" s="5">
        <v>1195</v>
      </c>
      <c r="D81" s="5" t="s">
        <v>33</v>
      </c>
      <c r="E81" s="5" t="s">
        <v>34</v>
      </c>
      <c r="F81" s="13">
        <v>74</v>
      </c>
      <c r="G81" s="13" t="s">
        <v>110</v>
      </c>
      <c r="H81" s="13">
        <v>38</v>
      </c>
      <c r="I81" s="13">
        <v>20</v>
      </c>
      <c r="J81" s="13">
        <v>10</v>
      </c>
      <c r="K81" s="13"/>
      <c r="L81" s="13">
        <v>8</v>
      </c>
      <c r="M81" s="13">
        <f t="shared" si="5"/>
        <v>38</v>
      </c>
      <c r="N81" s="14">
        <v>36.07</v>
      </c>
      <c r="O81" s="14">
        <v>4.5174945056914222</v>
      </c>
      <c r="P81" s="14">
        <v>5</v>
      </c>
      <c r="Q81" s="14">
        <v>7.5</v>
      </c>
      <c r="R81" s="14">
        <v>2.5</v>
      </c>
      <c r="S81" s="14">
        <v>5</v>
      </c>
      <c r="T81" s="14">
        <f t="shared" si="9"/>
        <v>60.587494505691424</v>
      </c>
      <c r="V81" s="15">
        <f t="shared" si="6"/>
        <v>1.8225019811827527E-2</v>
      </c>
      <c r="W81" s="15">
        <f t="shared" si="7"/>
        <v>6.8476373883599806E-3</v>
      </c>
      <c r="Y81" s="15">
        <f t="shared" si="8"/>
        <v>1.377581728505262E-2</v>
      </c>
    </row>
    <row r="82" spans="1:25" x14ac:dyDescent="0.3">
      <c r="A82" s="5">
        <v>35</v>
      </c>
      <c r="B82" s="5">
        <v>3500</v>
      </c>
      <c r="C82" s="5">
        <v>1196</v>
      </c>
      <c r="D82" s="5" t="s">
        <v>33</v>
      </c>
      <c r="E82" s="5" t="s">
        <v>34</v>
      </c>
      <c r="F82" s="13">
        <v>75</v>
      </c>
      <c r="G82" s="13" t="s">
        <v>111</v>
      </c>
      <c r="H82" s="13">
        <v>445</v>
      </c>
      <c r="I82" s="13">
        <v>445</v>
      </c>
      <c r="J82" s="13"/>
      <c r="K82" s="13"/>
      <c r="L82" s="13"/>
      <c r="M82" s="13">
        <f t="shared" si="5"/>
        <v>445</v>
      </c>
      <c r="N82" s="14">
        <v>40.813953488372093</v>
      </c>
      <c r="O82" s="14">
        <v>5.7353810787867214</v>
      </c>
      <c r="P82" s="14">
        <v>4</v>
      </c>
      <c r="Q82" s="14">
        <v>7.5</v>
      </c>
      <c r="R82" s="14">
        <v>2.5</v>
      </c>
      <c r="S82" s="14">
        <v>5</v>
      </c>
      <c r="T82" s="14">
        <f t="shared" si="9"/>
        <v>65.549334567158809</v>
      </c>
      <c r="V82" s="15">
        <f t="shared" si="6"/>
        <v>0.24149433438011025</v>
      </c>
      <c r="W82" s="15">
        <f t="shared" si="7"/>
        <v>0.10180797871731413</v>
      </c>
      <c r="Y82" s="15">
        <f t="shared" si="8"/>
        <v>0.17453361425006983</v>
      </c>
    </row>
    <row r="83" spans="1:25" x14ac:dyDescent="0.3">
      <c r="A83" s="5">
        <v>35</v>
      </c>
      <c r="B83" s="5">
        <v>3500</v>
      </c>
      <c r="C83" s="5">
        <v>1197</v>
      </c>
      <c r="D83" s="5" t="s">
        <v>33</v>
      </c>
      <c r="E83" s="5" t="s">
        <v>34</v>
      </c>
      <c r="F83" s="13">
        <v>76</v>
      </c>
      <c r="G83" s="13" t="s">
        <v>112</v>
      </c>
      <c r="H83" s="13">
        <v>62</v>
      </c>
      <c r="I83" s="13">
        <v>39</v>
      </c>
      <c r="J83" s="13"/>
      <c r="K83" s="13">
        <v>15</v>
      </c>
      <c r="L83" s="13">
        <v>8</v>
      </c>
      <c r="M83" s="13">
        <f t="shared" si="5"/>
        <v>62</v>
      </c>
      <c r="N83" s="14">
        <v>14.61</v>
      </c>
      <c r="O83" s="14">
        <v>7.0967741935483879</v>
      </c>
      <c r="P83" s="14">
        <v>6.8</v>
      </c>
      <c r="Q83" s="14">
        <v>12.48</v>
      </c>
      <c r="R83" s="14">
        <v>3.5</v>
      </c>
      <c r="S83" s="14">
        <v>5</v>
      </c>
      <c r="T83" s="14">
        <f t="shared" si="9"/>
        <v>49.486774193548385</v>
      </c>
      <c r="V83" s="15">
        <f t="shared" si="6"/>
        <v>1.2044261484211703E-2</v>
      </c>
      <c r="W83" s="15">
        <f t="shared" si="7"/>
        <v>1.7551417675873187E-2</v>
      </c>
      <c r="Y83" s="15">
        <f t="shared" si="8"/>
        <v>1.8358264324350199E-2</v>
      </c>
    </row>
    <row r="84" spans="1:25" x14ac:dyDescent="0.3">
      <c r="A84" s="5">
        <v>35</v>
      </c>
      <c r="B84" s="5">
        <v>3500</v>
      </c>
      <c r="C84" s="5">
        <v>1198</v>
      </c>
      <c r="D84" s="5" t="s">
        <v>33</v>
      </c>
      <c r="E84" s="5" t="s">
        <v>34</v>
      </c>
      <c r="F84" s="13">
        <v>77</v>
      </c>
      <c r="G84" s="13" t="s">
        <v>113</v>
      </c>
      <c r="H84" s="13">
        <v>288</v>
      </c>
      <c r="I84" s="13">
        <v>154</v>
      </c>
      <c r="J84" s="13"/>
      <c r="K84" s="13">
        <v>95</v>
      </c>
      <c r="L84" s="13">
        <v>39</v>
      </c>
      <c r="M84" s="13">
        <f t="shared" si="5"/>
        <v>288</v>
      </c>
      <c r="N84" s="14">
        <v>21.92</v>
      </c>
      <c r="O84" s="14">
        <v>6.9965277777777786</v>
      </c>
      <c r="P84" s="14">
        <v>7</v>
      </c>
      <c r="Q84" s="14">
        <v>12.63</v>
      </c>
      <c r="R84" s="14">
        <v>3.5</v>
      </c>
      <c r="S84" s="14">
        <v>5</v>
      </c>
      <c r="T84" s="14">
        <f t="shared" si="9"/>
        <v>57.046527777777783</v>
      </c>
      <c r="V84" s="15">
        <f t="shared" si="6"/>
        <v>8.3940452826576042E-2</v>
      </c>
      <c r="W84" s="15">
        <f t="shared" si="7"/>
        <v>8.0377515038373801E-2</v>
      </c>
      <c r="Y84" s="15">
        <f t="shared" si="8"/>
        <v>9.8304293714996896E-2</v>
      </c>
    </row>
    <row r="85" spans="1:25" x14ac:dyDescent="0.3">
      <c r="A85" s="5">
        <v>35</v>
      </c>
      <c r="B85" s="5">
        <v>3500</v>
      </c>
      <c r="C85" s="5">
        <v>1199</v>
      </c>
      <c r="D85" s="5" t="s">
        <v>33</v>
      </c>
      <c r="E85" s="5" t="s">
        <v>34</v>
      </c>
      <c r="F85" s="13">
        <v>78</v>
      </c>
      <c r="G85" s="13" t="s">
        <v>114</v>
      </c>
      <c r="H85" s="13">
        <v>69</v>
      </c>
      <c r="I85" s="13">
        <v>55</v>
      </c>
      <c r="J85" s="13"/>
      <c r="K85" s="13">
        <v>10</v>
      </c>
      <c r="L85" s="13">
        <v>4</v>
      </c>
      <c r="M85" s="13">
        <f t="shared" si="5"/>
        <v>69</v>
      </c>
      <c r="N85" s="14">
        <v>17.61</v>
      </c>
      <c r="O85" s="14">
        <v>6.2318840579710137</v>
      </c>
      <c r="P85" s="14">
        <v>7</v>
      </c>
      <c r="Q85" s="14">
        <v>12.48</v>
      </c>
      <c r="R85" s="14">
        <v>3.5</v>
      </c>
      <c r="S85" s="14">
        <v>5</v>
      </c>
      <c r="T85" s="14">
        <f t="shared" si="9"/>
        <v>51.821884057971019</v>
      </c>
      <c r="V85" s="15">
        <f t="shared" si="6"/>
        <v>1.6156478866497535E-2</v>
      </c>
      <c r="W85" s="15">
        <f t="shared" si="7"/>
        <v>1.7152521819603334E-2</v>
      </c>
      <c r="Y85" s="15">
        <f t="shared" si="8"/>
        <v>2.1395038533339718E-2</v>
      </c>
    </row>
    <row r="86" spans="1:25" x14ac:dyDescent="0.3">
      <c r="A86" s="5">
        <v>35</v>
      </c>
      <c r="B86" s="5">
        <v>3500</v>
      </c>
      <c r="C86" s="5">
        <v>1200</v>
      </c>
      <c r="D86" s="5" t="s">
        <v>33</v>
      </c>
      <c r="E86" s="5" t="s">
        <v>34</v>
      </c>
      <c r="F86" s="13">
        <v>79</v>
      </c>
      <c r="G86" s="13" t="s">
        <v>115</v>
      </c>
      <c r="H86" s="13">
        <v>661</v>
      </c>
      <c r="I86" s="13">
        <v>281</v>
      </c>
      <c r="J86" s="13">
        <v>100</v>
      </c>
      <c r="K86" s="13"/>
      <c r="L86" s="13">
        <v>280</v>
      </c>
      <c r="M86" s="13">
        <f t="shared" si="5"/>
        <v>661</v>
      </c>
      <c r="N86" s="14">
        <v>20.66</v>
      </c>
      <c r="O86" s="14">
        <v>4.0229387854658212</v>
      </c>
      <c r="P86" s="14">
        <v>7</v>
      </c>
      <c r="Q86" s="14">
        <v>8</v>
      </c>
      <c r="R86" s="14">
        <v>3.5</v>
      </c>
      <c r="S86" s="14">
        <v>5</v>
      </c>
      <c r="T86" s="14">
        <f t="shared" si="9"/>
        <v>48.182938785465822</v>
      </c>
      <c r="V86" s="15">
        <f t="shared" si="6"/>
        <v>0.18158085087145448</v>
      </c>
      <c r="W86" s="15">
        <f t="shared" si="7"/>
        <v>0.10607289172342586</v>
      </c>
      <c r="Y86" s="15">
        <f t="shared" si="8"/>
        <v>0.19056604840118299</v>
      </c>
    </row>
    <row r="87" spans="1:25" x14ac:dyDescent="0.3">
      <c r="A87" s="5">
        <v>35</v>
      </c>
      <c r="B87" s="5">
        <v>3500</v>
      </c>
      <c r="C87" s="5">
        <v>1201</v>
      </c>
      <c r="D87" s="5" t="s">
        <v>33</v>
      </c>
      <c r="E87" s="5" t="s">
        <v>34</v>
      </c>
      <c r="F87" s="13">
        <v>80</v>
      </c>
      <c r="G87" s="13" t="s">
        <v>116</v>
      </c>
      <c r="H87" s="13">
        <v>515</v>
      </c>
      <c r="I87" s="13">
        <v>291</v>
      </c>
      <c r="J87" s="13"/>
      <c r="K87" s="13">
        <v>100</v>
      </c>
      <c r="L87" s="13">
        <v>124</v>
      </c>
      <c r="M87" s="13">
        <f t="shared" si="5"/>
        <v>515</v>
      </c>
      <c r="N87" s="14">
        <v>24</v>
      </c>
      <c r="O87" s="14">
        <v>5.9870952444861425</v>
      </c>
      <c r="P87" s="14">
        <v>6.95</v>
      </c>
      <c r="Q87" s="14">
        <v>7.5</v>
      </c>
      <c r="R87" s="14">
        <v>4</v>
      </c>
      <c r="S87" s="14">
        <v>5</v>
      </c>
      <c r="T87" s="14">
        <f t="shared" si="9"/>
        <v>53.437095244486144</v>
      </c>
      <c r="V87" s="15">
        <f t="shared" si="6"/>
        <v>0.16434509278317619</v>
      </c>
      <c r="W87" s="15">
        <f t="shared" si="7"/>
        <v>0.1229937154320985</v>
      </c>
      <c r="Y87" s="15">
        <f t="shared" si="8"/>
        <v>0.16466483205034685</v>
      </c>
    </row>
    <row r="88" spans="1:25" x14ac:dyDescent="0.3">
      <c r="A88" s="5">
        <v>35</v>
      </c>
      <c r="B88" s="5">
        <v>3500</v>
      </c>
      <c r="C88" s="5">
        <v>1202</v>
      </c>
      <c r="D88" s="5" t="s">
        <v>33</v>
      </c>
      <c r="E88" s="5" t="s">
        <v>34</v>
      </c>
      <c r="F88" s="13">
        <v>81</v>
      </c>
      <c r="G88" s="13" t="s">
        <v>117</v>
      </c>
      <c r="H88" s="13">
        <v>293</v>
      </c>
      <c r="I88" s="13">
        <v>293</v>
      </c>
      <c r="J88" s="13"/>
      <c r="K88" s="13"/>
      <c r="L88" s="13"/>
      <c r="M88" s="13">
        <f t="shared" si="5"/>
        <v>293</v>
      </c>
      <c r="N88" s="14">
        <v>41.87</v>
      </c>
      <c r="O88" s="14">
        <v>9.4001158261666955</v>
      </c>
      <c r="P88" s="14">
        <v>6.95</v>
      </c>
      <c r="Q88" s="14">
        <v>10</v>
      </c>
      <c r="R88" s="14">
        <v>4</v>
      </c>
      <c r="S88" s="14">
        <v>6</v>
      </c>
      <c r="T88" s="14">
        <f t="shared" si="9"/>
        <v>78.220115826166705</v>
      </c>
      <c r="V88" s="15">
        <f t="shared" si="6"/>
        <v>0.16312061546971315</v>
      </c>
      <c r="W88" s="15">
        <f t="shared" si="7"/>
        <v>0.10986525046937443</v>
      </c>
      <c r="Y88" s="16">
        <f t="shared" si="8"/>
        <v>0.13713138395162297</v>
      </c>
    </row>
    <row r="89" spans="1:25" x14ac:dyDescent="0.3">
      <c r="A89" s="5">
        <v>35</v>
      </c>
      <c r="B89" s="5">
        <v>3500</v>
      </c>
      <c r="C89" s="5">
        <v>1203</v>
      </c>
      <c r="D89" s="5" t="s">
        <v>33</v>
      </c>
      <c r="E89" s="5" t="s">
        <v>34</v>
      </c>
      <c r="F89" s="13">
        <v>82</v>
      </c>
      <c r="G89" s="13" t="s">
        <v>118</v>
      </c>
      <c r="H89" s="13">
        <v>971</v>
      </c>
      <c r="I89" s="13">
        <v>512</v>
      </c>
      <c r="J89" s="13"/>
      <c r="K89" s="13">
        <v>254</v>
      </c>
      <c r="L89" s="13">
        <v>205</v>
      </c>
      <c r="M89" s="13">
        <f t="shared" si="5"/>
        <v>971</v>
      </c>
      <c r="N89" s="14">
        <v>24</v>
      </c>
      <c r="O89" s="14">
        <v>7.79779556741879</v>
      </c>
      <c r="P89" s="14">
        <v>6.95</v>
      </c>
      <c r="Q89" s="14">
        <v>7.5</v>
      </c>
      <c r="R89" s="14">
        <v>4</v>
      </c>
      <c r="S89" s="14">
        <v>5</v>
      </c>
      <c r="T89" s="14">
        <f t="shared" si="9"/>
        <v>55.247795567418791</v>
      </c>
      <c r="V89" s="15">
        <f t="shared" si="6"/>
        <v>0.30986230115041569</v>
      </c>
      <c r="W89" s="15">
        <f t="shared" si="7"/>
        <v>0.30203035980261222</v>
      </c>
      <c r="Y89" s="15">
        <f t="shared" si="8"/>
        <v>0.32098517002515226</v>
      </c>
    </row>
    <row r="90" spans="1:25" x14ac:dyDescent="0.3">
      <c r="A90" s="5">
        <v>35</v>
      </c>
      <c r="B90" s="5">
        <v>3500</v>
      </c>
      <c r="C90" s="5">
        <v>1204</v>
      </c>
      <c r="D90" s="5" t="s">
        <v>33</v>
      </c>
      <c r="E90" s="5" t="s">
        <v>34</v>
      </c>
      <c r="F90" s="13">
        <v>83</v>
      </c>
      <c r="G90" s="13" t="s">
        <v>119</v>
      </c>
      <c r="H90" s="13">
        <v>638</v>
      </c>
      <c r="I90" s="13">
        <v>598</v>
      </c>
      <c r="J90" s="13"/>
      <c r="K90" s="13"/>
      <c r="L90" s="13">
        <v>40</v>
      </c>
      <c r="M90" s="13">
        <f t="shared" si="5"/>
        <v>638</v>
      </c>
      <c r="N90" s="14">
        <v>39.21</v>
      </c>
      <c r="O90" s="14">
        <v>8.9251021490420275</v>
      </c>
      <c r="P90" s="14">
        <v>6.95</v>
      </c>
      <c r="Q90" s="14">
        <v>10</v>
      </c>
      <c r="R90" s="14">
        <v>4</v>
      </c>
      <c r="S90" s="14">
        <v>6</v>
      </c>
      <c r="T90" s="14">
        <f t="shared" si="9"/>
        <v>75.085102149042029</v>
      </c>
      <c r="V90" s="15">
        <f t="shared" si="6"/>
        <v>0.33262569208431064</v>
      </c>
      <c r="W90" s="15">
        <f t="shared" si="7"/>
        <v>0.22713988364562146</v>
      </c>
      <c r="Y90" s="15">
        <f t="shared" si="8"/>
        <v>0.28663237261912317</v>
      </c>
    </row>
    <row r="91" spans="1:25" x14ac:dyDescent="0.3">
      <c r="A91" s="5">
        <v>35</v>
      </c>
      <c r="B91" s="5">
        <v>3500</v>
      </c>
      <c r="C91" s="5">
        <v>1205</v>
      </c>
      <c r="D91" s="5" t="s">
        <v>33</v>
      </c>
      <c r="E91" s="5" t="s">
        <v>34</v>
      </c>
      <c r="F91" s="13">
        <v>84</v>
      </c>
      <c r="G91" s="13" t="s">
        <v>120</v>
      </c>
      <c r="H91" s="13">
        <v>1911</v>
      </c>
      <c r="I91" s="13">
        <v>920</v>
      </c>
      <c r="J91" s="13"/>
      <c r="K91" s="13">
        <v>512</v>
      </c>
      <c r="L91" s="13">
        <v>479</v>
      </c>
      <c r="M91" s="13">
        <f t="shared" si="5"/>
        <v>1911</v>
      </c>
      <c r="N91" s="14">
        <v>22</v>
      </c>
      <c r="O91" s="14">
        <v>4.67165179926136</v>
      </c>
      <c r="P91" s="14">
        <v>6.5</v>
      </c>
      <c r="Q91" s="14">
        <v>7.5</v>
      </c>
      <c r="R91" s="14">
        <v>4</v>
      </c>
      <c r="S91" s="14">
        <v>6</v>
      </c>
      <c r="T91" s="14">
        <f t="shared" si="9"/>
        <v>50.671651799261362</v>
      </c>
      <c r="V91" s="15">
        <f t="shared" si="6"/>
        <v>0.55901265297656078</v>
      </c>
      <c r="W91" s="15">
        <f t="shared" si="7"/>
        <v>0.35611533628470227</v>
      </c>
      <c r="Y91" s="15">
        <f t="shared" si="8"/>
        <v>0.57939738756156034</v>
      </c>
    </row>
    <row r="92" spans="1:25" x14ac:dyDescent="0.3">
      <c r="A92" s="5">
        <v>35</v>
      </c>
      <c r="B92" s="5">
        <v>3500</v>
      </c>
      <c r="C92" s="5">
        <v>1073</v>
      </c>
      <c r="D92" s="5" t="s">
        <v>33</v>
      </c>
      <c r="E92" s="5" t="s">
        <v>34</v>
      </c>
      <c r="F92" s="13">
        <v>85</v>
      </c>
      <c r="G92" s="13" t="s">
        <v>121</v>
      </c>
      <c r="H92" s="13">
        <v>1378</v>
      </c>
      <c r="I92" s="13">
        <v>636</v>
      </c>
      <c r="J92" s="13">
        <v>328</v>
      </c>
      <c r="K92" s="13">
        <v>325</v>
      </c>
      <c r="L92" s="13">
        <v>89</v>
      </c>
      <c r="M92" s="13">
        <f t="shared" si="5"/>
        <v>1378</v>
      </c>
      <c r="N92" s="14">
        <v>27</v>
      </c>
      <c r="O92" s="14">
        <v>9.3133397531593758</v>
      </c>
      <c r="P92" s="14">
        <v>4</v>
      </c>
      <c r="Q92" s="14">
        <v>7.5</v>
      </c>
      <c r="R92" s="14">
        <v>2.5</v>
      </c>
      <c r="S92" s="14">
        <v>5</v>
      </c>
      <c r="T92" s="14">
        <f t="shared" si="9"/>
        <v>55.313339753159376</v>
      </c>
      <c r="V92" s="15">
        <f t="shared" si="6"/>
        <v>0.49471064094586187</v>
      </c>
      <c r="W92" s="15">
        <f t="shared" si="7"/>
        <v>0.51193425318133889</v>
      </c>
      <c r="Y92" s="15">
        <f t="shared" si="8"/>
        <v>0.45606829603569488</v>
      </c>
    </row>
    <row r="93" spans="1:25" x14ac:dyDescent="0.3">
      <c r="A93" s="5">
        <v>35</v>
      </c>
      <c r="B93" s="5">
        <v>3500</v>
      </c>
      <c r="C93" s="5">
        <v>1074</v>
      </c>
      <c r="D93" s="5" t="s">
        <v>33</v>
      </c>
      <c r="E93" s="5" t="s">
        <v>34</v>
      </c>
      <c r="F93" s="13">
        <v>86</v>
      </c>
      <c r="G93" s="13" t="s">
        <v>122</v>
      </c>
      <c r="H93" s="13">
        <v>1763</v>
      </c>
      <c r="I93" s="13">
        <v>908</v>
      </c>
      <c r="J93" s="13">
        <v>256</v>
      </c>
      <c r="K93" s="13">
        <v>564</v>
      </c>
      <c r="L93" s="13">
        <v>35</v>
      </c>
      <c r="M93" s="13">
        <f t="shared" si="5"/>
        <v>1763</v>
      </c>
      <c r="N93" s="14">
        <v>26</v>
      </c>
      <c r="O93" s="14">
        <v>8.3035030896929722</v>
      </c>
      <c r="P93" s="14">
        <v>5</v>
      </c>
      <c r="Q93" s="14">
        <v>10</v>
      </c>
      <c r="R93" s="14">
        <v>2.5</v>
      </c>
      <c r="S93" s="14">
        <v>5</v>
      </c>
      <c r="T93" s="14">
        <f t="shared" si="9"/>
        <v>56.803503089692974</v>
      </c>
      <c r="V93" s="15">
        <f t="shared" si="6"/>
        <v>0.60948627532323851</v>
      </c>
      <c r="W93" s="15">
        <f t="shared" si="7"/>
        <v>0.58394667349292007</v>
      </c>
      <c r="Y93" s="16">
        <f t="shared" si="8"/>
        <v>0.59920884559815657</v>
      </c>
    </row>
    <row r="94" spans="1:25" x14ac:dyDescent="0.3">
      <c r="A94" s="5">
        <v>35</v>
      </c>
      <c r="B94" s="5">
        <v>3500</v>
      </c>
      <c r="C94" s="5">
        <v>1075</v>
      </c>
      <c r="D94" s="5" t="s">
        <v>33</v>
      </c>
      <c r="E94" s="5" t="s">
        <v>34</v>
      </c>
      <c r="F94" s="13">
        <v>87</v>
      </c>
      <c r="G94" s="13" t="s">
        <v>123</v>
      </c>
      <c r="H94" s="13">
        <v>1637</v>
      </c>
      <c r="I94" s="13">
        <v>1160</v>
      </c>
      <c r="J94" s="13">
        <v>356</v>
      </c>
      <c r="K94" s="13"/>
      <c r="L94" s="13">
        <v>121</v>
      </c>
      <c r="M94" s="13">
        <f t="shared" si="5"/>
        <v>1637</v>
      </c>
      <c r="N94" s="14">
        <v>29</v>
      </c>
      <c r="O94" s="14">
        <v>8.5360614913847392</v>
      </c>
      <c r="P94" s="14">
        <v>5</v>
      </c>
      <c r="Q94" s="14">
        <v>7.5</v>
      </c>
      <c r="R94" s="14">
        <v>2.5</v>
      </c>
      <c r="S94" s="14">
        <v>4.8499999999999996</v>
      </c>
      <c r="T94" s="14">
        <f t="shared" si="9"/>
        <v>57.386061491384744</v>
      </c>
      <c r="V94" s="15">
        <f t="shared" si="6"/>
        <v>0.63122609948994512</v>
      </c>
      <c r="W94" s="15">
        <f t="shared" si="7"/>
        <v>0.55739842760825309</v>
      </c>
      <c r="Y94" s="15">
        <f t="shared" si="8"/>
        <v>0.56209003076322839</v>
      </c>
    </row>
    <row r="95" spans="1:25" x14ac:dyDescent="0.3">
      <c r="A95" s="5">
        <v>35</v>
      </c>
      <c r="B95" s="5">
        <v>3500</v>
      </c>
      <c r="C95" s="5">
        <v>1076</v>
      </c>
      <c r="D95" s="5" t="s">
        <v>33</v>
      </c>
      <c r="E95" s="5" t="s">
        <v>34</v>
      </c>
      <c r="F95" s="13">
        <v>88</v>
      </c>
      <c r="G95" s="13" t="s">
        <v>124</v>
      </c>
      <c r="H95" s="13">
        <v>1086</v>
      </c>
      <c r="I95" s="13">
        <v>833</v>
      </c>
      <c r="J95" s="13"/>
      <c r="K95" s="13">
        <v>217</v>
      </c>
      <c r="L95" s="13">
        <v>36</v>
      </c>
      <c r="M95" s="13">
        <f t="shared" si="5"/>
        <v>1086</v>
      </c>
      <c r="N95" s="14">
        <v>24</v>
      </c>
      <c r="O95" s="14">
        <v>7</v>
      </c>
      <c r="P95" s="14">
        <v>5</v>
      </c>
      <c r="Q95" s="14">
        <v>7.5</v>
      </c>
      <c r="R95" s="14">
        <v>2.5</v>
      </c>
      <c r="S95" s="14">
        <v>4.8499999999999996</v>
      </c>
      <c r="T95" s="14">
        <f t="shared" si="9"/>
        <v>50.85</v>
      </c>
      <c r="V95" s="15">
        <f t="shared" si="6"/>
        <v>0.34656071992724141</v>
      </c>
      <c r="W95" s="15">
        <f t="shared" si="7"/>
        <v>0.30324062993633621</v>
      </c>
      <c r="Y95" s="15">
        <f t="shared" si="8"/>
        <v>0.3304239864056292</v>
      </c>
    </row>
    <row r="96" spans="1:25" x14ac:dyDescent="0.3">
      <c r="A96" s="5">
        <v>35</v>
      </c>
      <c r="B96" s="5">
        <v>3500</v>
      </c>
      <c r="C96" s="5">
        <v>1117</v>
      </c>
      <c r="D96" s="5" t="s">
        <v>33</v>
      </c>
      <c r="E96" s="5" t="s">
        <v>34</v>
      </c>
      <c r="F96" s="13">
        <v>89</v>
      </c>
      <c r="G96" s="13" t="s">
        <v>125</v>
      </c>
      <c r="H96" s="13">
        <v>1211</v>
      </c>
      <c r="I96" s="13">
        <v>712</v>
      </c>
      <c r="J96" s="13">
        <v>108</v>
      </c>
      <c r="K96" s="13">
        <v>376</v>
      </c>
      <c r="L96" s="13">
        <v>15</v>
      </c>
      <c r="M96" s="13">
        <f t="shared" si="5"/>
        <v>1211</v>
      </c>
      <c r="N96" s="14">
        <v>24</v>
      </c>
      <c r="O96" s="14">
        <v>5.7807146509290499</v>
      </c>
      <c r="P96" s="14">
        <v>4.78</v>
      </c>
      <c r="Q96" s="14">
        <v>9.6</v>
      </c>
      <c r="R96" s="14">
        <v>3.35</v>
      </c>
      <c r="S96" s="14">
        <v>4.8499999999999996</v>
      </c>
      <c r="T96" s="14">
        <f t="shared" si="9"/>
        <v>52.360714650929054</v>
      </c>
      <c r="V96" s="15">
        <f t="shared" si="6"/>
        <v>0.38645030555422594</v>
      </c>
      <c r="W96" s="15">
        <f t="shared" si="7"/>
        <v>0.27924486789666519</v>
      </c>
      <c r="Y96" s="15">
        <f t="shared" si="8"/>
        <v>0.37940276579792187</v>
      </c>
    </row>
    <row r="97" spans="1:25" x14ac:dyDescent="0.3">
      <c r="A97" s="5">
        <v>35</v>
      </c>
      <c r="B97" s="5">
        <v>3500</v>
      </c>
      <c r="C97" s="5">
        <v>1118</v>
      </c>
      <c r="D97" s="5" t="s">
        <v>33</v>
      </c>
      <c r="E97" s="5" t="s">
        <v>34</v>
      </c>
      <c r="F97" s="13">
        <v>90</v>
      </c>
      <c r="G97" s="13" t="s">
        <v>126</v>
      </c>
      <c r="H97" s="13">
        <v>1470</v>
      </c>
      <c r="I97" s="13">
        <v>1287</v>
      </c>
      <c r="J97" s="13"/>
      <c r="K97" s="13"/>
      <c r="L97" s="13">
        <v>183</v>
      </c>
      <c r="M97" s="13">
        <f t="shared" si="5"/>
        <v>1470</v>
      </c>
      <c r="N97" s="14">
        <v>24</v>
      </c>
      <c r="O97" s="14">
        <v>8.5588537562309561</v>
      </c>
      <c r="P97" s="14">
        <v>4</v>
      </c>
      <c r="Q97" s="14">
        <v>7.5</v>
      </c>
      <c r="R97" s="14">
        <v>2.5</v>
      </c>
      <c r="S97" s="14">
        <v>4.8499999999999996</v>
      </c>
      <c r="T97" s="14">
        <f t="shared" si="9"/>
        <v>51.408853756230961</v>
      </c>
      <c r="V97" s="15">
        <f t="shared" si="6"/>
        <v>0.46910152697333779</v>
      </c>
      <c r="W97" s="15">
        <f t="shared" si="7"/>
        <v>0.50187142077367874</v>
      </c>
      <c r="Y97" s="15">
        <f t="shared" si="8"/>
        <v>0.45217447119369292</v>
      </c>
    </row>
    <row r="98" spans="1:25" x14ac:dyDescent="0.3">
      <c r="A98" s="5">
        <v>35</v>
      </c>
      <c r="B98" s="5">
        <v>3500</v>
      </c>
      <c r="C98" s="5">
        <v>1119</v>
      </c>
      <c r="D98" s="5" t="s">
        <v>33</v>
      </c>
      <c r="E98" s="5" t="s">
        <v>34</v>
      </c>
      <c r="F98" s="13">
        <v>91</v>
      </c>
      <c r="G98" s="13" t="s">
        <v>127</v>
      </c>
      <c r="H98" s="13">
        <v>1185</v>
      </c>
      <c r="I98" s="13">
        <v>1093</v>
      </c>
      <c r="J98" s="13"/>
      <c r="K98" s="13"/>
      <c r="L98" s="13">
        <v>92</v>
      </c>
      <c r="M98" s="13">
        <f t="shared" si="5"/>
        <v>1185</v>
      </c>
      <c r="N98" s="14">
        <v>36</v>
      </c>
      <c r="O98" s="14">
        <v>8.6264261124644257</v>
      </c>
      <c r="P98" s="14">
        <v>4.28</v>
      </c>
      <c r="Q98" s="14">
        <v>9.5500000000000007</v>
      </c>
      <c r="R98" s="14">
        <v>2.65</v>
      </c>
      <c r="S98" s="14">
        <v>4.8499999999999996</v>
      </c>
      <c r="T98" s="14">
        <f t="shared" si="9"/>
        <v>65.956426112464428</v>
      </c>
      <c r="V98" s="15">
        <f t="shared" si="6"/>
        <v>0.56722990761571968</v>
      </c>
      <c r="W98" s="15">
        <f t="shared" si="7"/>
        <v>0.4077639072355857</v>
      </c>
      <c r="Y98" s="15">
        <f t="shared" si="8"/>
        <v>0.46765571863045302</v>
      </c>
    </row>
    <row r="99" spans="1:25" x14ac:dyDescent="0.3">
      <c r="A99" s="5">
        <v>35</v>
      </c>
      <c r="B99" s="5">
        <v>3500</v>
      </c>
      <c r="C99" s="5">
        <v>1114</v>
      </c>
      <c r="D99" s="5" t="s">
        <v>33</v>
      </c>
      <c r="E99" s="5" t="s">
        <v>34</v>
      </c>
      <c r="F99" s="13">
        <v>92</v>
      </c>
      <c r="G99" s="13" t="s">
        <v>128</v>
      </c>
      <c r="H99" s="13">
        <v>1055</v>
      </c>
      <c r="I99" s="13">
        <v>536</v>
      </c>
      <c r="J99" s="13">
        <v>285</v>
      </c>
      <c r="K99" s="13">
        <v>225</v>
      </c>
      <c r="L99" s="13">
        <v>9</v>
      </c>
      <c r="M99" s="13">
        <f t="shared" si="5"/>
        <v>1055</v>
      </c>
      <c r="N99" s="14">
        <v>19.05</v>
      </c>
      <c r="O99" s="14">
        <v>9.6379713317456854</v>
      </c>
      <c r="P99" s="14">
        <v>6.95</v>
      </c>
      <c r="Q99" s="14">
        <v>8</v>
      </c>
      <c r="R99" s="14">
        <v>4</v>
      </c>
      <c r="S99" s="14">
        <v>6</v>
      </c>
      <c r="T99" s="14">
        <f t="shared" si="9"/>
        <v>53.637971331745689</v>
      </c>
      <c r="V99" s="15">
        <f t="shared" si="6"/>
        <v>0.26723030651157598</v>
      </c>
      <c r="W99" s="15">
        <f t="shared" si="7"/>
        <v>0.40559969025703646</v>
      </c>
      <c r="Y99" s="15">
        <f t="shared" si="8"/>
        <v>0.33859113825924858</v>
      </c>
    </row>
    <row r="100" spans="1:25" x14ac:dyDescent="0.3">
      <c r="A100" s="5">
        <v>35</v>
      </c>
      <c r="B100" s="5">
        <v>3500</v>
      </c>
      <c r="C100" s="5">
        <v>1115</v>
      </c>
      <c r="D100" s="5" t="s">
        <v>33</v>
      </c>
      <c r="E100" s="5" t="s">
        <v>34</v>
      </c>
      <c r="F100" s="13">
        <v>93</v>
      </c>
      <c r="G100" s="13" t="s">
        <v>129</v>
      </c>
      <c r="H100" s="13">
        <v>1812</v>
      </c>
      <c r="I100" s="13">
        <v>1093</v>
      </c>
      <c r="J100" s="13"/>
      <c r="K100" s="13">
        <v>415</v>
      </c>
      <c r="L100" s="13">
        <v>304</v>
      </c>
      <c r="M100" s="13">
        <f t="shared" si="5"/>
        <v>1812</v>
      </c>
      <c r="N100" s="14">
        <v>14.03</v>
      </c>
      <c r="O100" s="14">
        <v>7.2866561097673213</v>
      </c>
      <c r="P100" s="14">
        <v>12.63</v>
      </c>
      <c r="Q100" s="14">
        <v>3.5</v>
      </c>
      <c r="R100" s="14">
        <v>6.92</v>
      </c>
      <c r="S100" s="14">
        <v>4.8499999999999996</v>
      </c>
      <c r="T100" s="14">
        <f t="shared" si="9"/>
        <v>49.216656109767328</v>
      </c>
      <c r="V100" s="15">
        <f t="shared" si="6"/>
        <v>0.33802913535334195</v>
      </c>
      <c r="W100" s="15">
        <f t="shared" si="7"/>
        <v>0.52667898739881547</v>
      </c>
      <c r="Y100" s="15">
        <f t="shared" si="8"/>
        <v>0.53360646253708777</v>
      </c>
    </row>
    <row r="101" spans="1:25" x14ac:dyDescent="0.3">
      <c r="A101" s="5">
        <v>35</v>
      </c>
      <c r="B101" s="5">
        <v>3500</v>
      </c>
      <c r="C101" s="5">
        <v>1116</v>
      </c>
      <c r="D101" s="5" t="s">
        <v>33</v>
      </c>
      <c r="E101" s="5" t="s">
        <v>34</v>
      </c>
      <c r="F101" s="13">
        <v>94</v>
      </c>
      <c r="G101" s="13" t="s">
        <v>130</v>
      </c>
      <c r="H101" s="13">
        <v>1182</v>
      </c>
      <c r="I101" s="13">
        <v>718</v>
      </c>
      <c r="J101" s="13"/>
      <c r="K101" s="13"/>
      <c r="L101" s="13">
        <v>464</v>
      </c>
      <c r="M101" s="13">
        <f t="shared" si="5"/>
        <v>1182</v>
      </c>
      <c r="N101" s="14">
        <v>21.13</v>
      </c>
      <c r="O101" s="14">
        <v>6.2563697660010931</v>
      </c>
      <c r="P101" s="14">
        <v>8.5</v>
      </c>
      <c r="Q101" s="14">
        <v>12.31</v>
      </c>
      <c r="R101" s="14">
        <v>4.25</v>
      </c>
      <c r="S101" s="14">
        <v>7.4</v>
      </c>
      <c r="T101" s="14">
        <f t="shared" si="9"/>
        <v>59.846369766001096</v>
      </c>
      <c r="V101" s="15">
        <f t="shared" si="6"/>
        <v>0.33208957605348394</v>
      </c>
      <c r="W101" s="15">
        <f t="shared" si="7"/>
        <v>0.29498464503906352</v>
      </c>
      <c r="Y101" s="15">
        <f t="shared" si="8"/>
        <v>0.42325887381775229</v>
      </c>
    </row>
    <row r="102" spans="1:25" x14ac:dyDescent="0.3">
      <c r="F102" s="13"/>
      <c r="G102" s="17" t="s">
        <v>131</v>
      </c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4"/>
      <c r="V102" s="15">
        <f t="shared" si="6"/>
        <v>0</v>
      </c>
      <c r="W102" s="15">
        <f t="shared" si="7"/>
        <v>0</v>
      </c>
      <c r="Y102" s="15">
        <f t="shared" si="8"/>
        <v>0</v>
      </c>
    </row>
    <row r="103" spans="1:25" x14ac:dyDescent="0.3">
      <c r="A103" s="5">
        <v>35</v>
      </c>
      <c r="B103" s="5">
        <v>3500</v>
      </c>
      <c r="C103" s="5">
        <v>1206</v>
      </c>
      <c r="D103" s="5" t="s">
        <v>33</v>
      </c>
      <c r="E103" s="5" t="s">
        <v>34</v>
      </c>
      <c r="F103" s="13">
        <v>95</v>
      </c>
      <c r="G103" s="13" t="s">
        <v>132</v>
      </c>
      <c r="H103" s="13">
        <v>1232</v>
      </c>
      <c r="I103" s="13">
        <v>647</v>
      </c>
      <c r="J103" s="13"/>
      <c r="K103" s="13">
        <v>312</v>
      </c>
      <c r="L103" s="13">
        <v>273</v>
      </c>
      <c r="M103" s="13">
        <f t="shared" si="5"/>
        <v>1232</v>
      </c>
      <c r="N103" s="14">
        <v>22</v>
      </c>
      <c r="O103" s="14">
        <v>7.115357641452456</v>
      </c>
      <c r="P103" s="14">
        <v>5</v>
      </c>
      <c r="Q103" s="14">
        <v>8</v>
      </c>
      <c r="R103" s="14">
        <v>4</v>
      </c>
      <c r="S103" s="14">
        <v>6</v>
      </c>
      <c r="T103" s="14">
        <f t="shared" si="9"/>
        <v>52.115357641452455</v>
      </c>
      <c r="V103" s="15">
        <f t="shared" si="6"/>
        <v>0.36038910961126269</v>
      </c>
      <c r="W103" s="15">
        <f t="shared" si="7"/>
        <v>0.3496769188593743</v>
      </c>
      <c r="Y103" s="15">
        <f t="shared" si="8"/>
        <v>0.38417333190290931</v>
      </c>
    </row>
    <row r="104" spans="1:25" x14ac:dyDescent="0.3">
      <c r="A104" s="5">
        <v>35</v>
      </c>
      <c r="B104" s="5">
        <v>3500</v>
      </c>
      <c r="C104" s="5">
        <v>1207</v>
      </c>
      <c r="D104" s="5" t="s">
        <v>33</v>
      </c>
      <c r="E104" s="5" t="s">
        <v>34</v>
      </c>
      <c r="F104" s="13">
        <v>96</v>
      </c>
      <c r="G104" s="13" t="s">
        <v>133</v>
      </c>
      <c r="H104" s="13">
        <v>50</v>
      </c>
      <c r="I104" s="13">
        <v>34</v>
      </c>
      <c r="J104" s="13">
        <v>12</v>
      </c>
      <c r="K104" s="13"/>
      <c r="L104" s="13">
        <v>4</v>
      </c>
      <c r="M104" s="13">
        <f t="shared" si="5"/>
        <v>50</v>
      </c>
      <c r="N104" s="14">
        <v>27</v>
      </c>
      <c r="O104" s="14">
        <v>8.6999999999999993</v>
      </c>
      <c r="P104" s="14">
        <v>4</v>
      </c>
      <c r="Q104" s="14">
        <v>7.5</v>
      </c>
      <c r="R104" s="14">
        <v>2.5</v>
      </c>
      <c r="S104" s="14">
        <v>5</v>
      </c>
      <c r="T104" s="14">
        <f t="shared" si="9"/>
        <v>54.7</v>
      </c>
      <c r="V104" s="15">
        <f t="shared" si="6"/>
        <v>1.7950313532143027E-2</v>
      </c>
      <c r="W104" s="15">
        <f t="shared" si="7"/>
        <v>1.7351969747738259E-2</v>
      </c>
      <c r="Y104" s="15">
        <f t="shared" si="8"/>
        <v>1.6364702503470396E-2</v>
      </c>
    </row>
    <row r="105" spans="1:25" x14ac:dyDescent="0.3">
      <c r="A105" s="5">
        <v>35</v>
      </c>
      <c r="B105" s="5">
        <v>3500</v>
      </c>
      <c r="C105" s="5">
        <v>1208</v>
      </c>
      <c r="D105" s="5" t="s">
        <v>33</v>
      </c>
      <c r="E105" s="5" t="s">
        <v>34</v>
      </c>
      <c r="F105" s="13">
        <v>97</v>
      </c>
      <c r="G105" s="13" t="s">
        <v>134</v>
      </c>
      <c r="H105" s="13">
        <v>1155</v>
      </c>
      <c r="I105" s="13">
        <v>683</v>
      </c>
      <c r="J105" s="13"/>
      <c r="K105" s="13">
        <v>356</v>
      </c>
      <c r="L105" s="13">
        <v>116</v>
      </c>
      <c r="M105" s="13">
        <f t="shared" si="5"/>
        <v>1155</v>
      </c>
      <c r="N105" s="14">
        <v>35</v>
      </c>
      <c r="O105" s="14">
        <v>10.615434128553293</v>
      </c>
      <c r="P105" s="14">
        <v>5</v>
      </c>
      <c r="Q105" s="14">
        <v>8</v>
      </c>
      <c r="R105" s="14">
        <v>4</v>
      </c>
      <c r="S105" s="14">
        <v>6</v>
      </c>
      <c r="T105" s="14">
        <f t="shared" si="9"/>
        <v>68.615434128553289</v>
      </c>
      <c r="V105" s="15">
        <f t="shared" si="6"/>
        <v>0.53751216632361631</v>
      </c>
      <c r="W105" s="15">
        <f t="shared" si="7"/>
        <v>0.48907928527751399</v>
      </c>
      <c r="Y105" s="15">
        <f t="shared" si="8"/>
        <v>0.47419239396438084</v>
      </c>
    </row>
    <row r="106" spans="1:25" x14ac:dyDescent="0.3">
      <c r="A106" s="5">
        <v>35</v>
      </c>
      <c r="B106" s="5">
        <v>3500</v>
      </c>
      <c r="C106" s="5">
        <v>1209</v>
      </c>
      <c r="D106" s="5" t="s">
        <v>33</v>
      </c>
      <c r="E106" s="5" t="s">
        <v>34</v>
      </c>
      <c r="F106" s="13">
        <v>98</v>
      </c>
      <c r="G106" s="13" t="s">
        <v>135</v>
      </c>
      <c r="H106" s="13">
        <v>422</v>
      </c>
      <c r="I106" s="13">
        <v>251</v>
      </c>
      <c r="J106" s="13"/>
      <c r="K106" s="13">
        <v>155</v>
      </c>
      <c r="L106" s="13">
        <v>16</v>
      </c>
      <c r="M106" s="13">
        <f t="shared" si="5"/>
        <v>422</v>
      </c>
      <c r="N106" s="14">
        <v>16.14</v>
      </c>
      <c r="O106" s="14">
        <v>14.419431279620852</v>
      </c>
      <c r="P106" s="14">
        <v>7.5</v>
      </c>
      <c r="Q106" s="14">
        <v>11.52</v>
      </c>
      <c r="R106" s="14">
        <v>3.8</v>
      </c>
      <c r="S106" s="14">
        <v>6.22</v>
      </c>
      <c r="T106" s="14">
        <f t="shared" si="9"/>
        <v>59.599431279620845</v>
      </c>
      <c r="V106" s="15">
        <f t="shared" si="6"/>
        <v>9.0563719624080552E-2</v>
      </c>
      <c r="W106" s="15">
        <f t="shared" si="7"/>
        <v>0.2427281285402007</v>
      </c>
      <c r="Y106" s="15">
        <f t="shared" si="8"/>
        <v>0.15048920587812931</v>
      </c>
    </row>
    <row r="107" spans="1:25" x14ac:dyDescent="0.3">
      <c r="A107" s="5">
        <v>35</v>
      </c>
      <c r="B107" s="5">
        <v>3500</v>
      </c>
      <c r="C107" s="5">
        <v>1210</v>
      </c>
      <c r="D107" s="5" t="s">
        <v>33</v>
      </c>
      <c r="E107" s="5" t="s">
        <v>34</v>
      </c>
      <c r="F107" s="13">
        <v>99</v>
      </c>
      <c r="G107" s="13" t="s">
        <v>136</v>
      </c>
      <c r="H107" s="13">
        <v>194</v>
      </c>
      <c r="I107" s="13">
        <v>149</v>
      </c>
      <c r="J107" s="13"/>
      <c r="K107" s="13">
        <v>25</v>
      </c>
      <c r="L107" s="13">
        <v>20</v>
      </c>
      <c r="M107" s="13">
        <f t="shared" si="5"/>
        <v>194</v>
      </c>
      <c r="N107" s="14">
        <v>24</v>
      </c>
      <c r="O107" s="14">
        <v>9.4075303378162172</v>
      </c>
      <c r="P107" s="14">
        <v>4</v>
      </c>
      <c r="Q107" s="14">
        <v>7.5</v>
      </c>
      <c r="R107" s="14">
        <v>2.5</v>
      </c>
      <c r="S107" s="14">
        <v>6</v>
      </c>
      <c r="T107" s="14">
        <f t="shared" si="9"/>
        <v>53.407530337816219</v>
      </c>
      <c r="V107" s="15">
        <f t="shared" si="6"/>
        <v>6.190863689307996E-2</v>
      </c>
      <c r="W107" s="15">
        <f t="shared" si="7"/>
        <v>7.2800922468062246E-2</v>
      </c>
      <c r="Y107" s="16">
        <f t="shared" si="8"/>
        <v>6.1994763807000301E-2</v>
      </c>
    </row>
    <row r="108" spans="1:25" x14ac:dyDescent="0.3">
      <c r="A108" s="5">
        <v>35</v>
      </c>
      <c r="B108" s="5">
        <v>3500</v>
      </c>
      <c r="C108" s="5">
        <v>1211</v>
      </c>
      <c r="D108" s="5" t="s">
        <v>33</v>
      </c>
      <c r="E108" s="5" t="s">
        <v>34</v>
      </c>
      <c r="F108" s="13">
        <v>100</v>
      </c>
      <c r="G108" s="13" t="s">
        <v>137</v>
      </c>
      <c r="H108" s="13">
        <v>684</v>
      </c>
      <c r="I108" s="13">
        <v>647</v>
      </c>
      <c r="J108" s="13"/>
      <c r="K108" s="13"/>
      <c r="L108" s="13">
        <v>37</v>
      </c>
      <c r="M108" s="13">
        <f t="shared" si="5"/>
        <v>684</v>
      </c>
      <c r="N108" s="14">
        <v>33</v>
      </c>
      <c r="O108" s="14">
        <v>8.9798066503755916</v>
      </c>
      <c r="P108" s="14">
        <v>4</v>
      </c>
      <c r="Q108" s="14">
        <v>7.5</v>
      </c>
      <c r="R108" s="14">
        <v>2.5</v>
      </c>
      <c r="S108" s="14">
        <v>7</v>
      </c>
      <c r="T108" s="14">
        <f t="shared" si="9"/>
        <v>62.979806650375593</v>
      </c>
      <c r="V108" s="15">
        <f t="shared" si="6"/>
        <v>0.30012924225743143</v>
      </c>
      <c r="W108" s="15">
        <f t="shared" si="7"/>
        <v>0.24500932414504267</v>
      </c>
      <c r="Y108" s="15">
        <f t="shared" si="8"/>
        <v>0.25775565882950141</v>
      </c>
    </row>
    <row r="109" spans="1:25" x14ac:dyDescent="0.3">
      <c r="A109" s="5">
        <v>35</v>
      </c>
      <c r="B109" s="5">
        <v>3500</v>
      </c>
      <c r="C109" s="5">
        <v>1212</v>
      </c>
      <c r="D109" s="5" t="s">
        <v>33</v>
      </c>
      <c r="E109" s="5" t="s">
        <v>34</v>
      </c>
      <c r="F109" s="13">
        <v>101</v>
      </c>
      <c r="G109" s="13" t="s">
        <v>138</v>
      </c>
      <c r="H109" s="13">
        <v>461</v>
      </c>
      <c r="I109" s="13">
        <v>420</v>
      </c>
      <c r="J109" s="13"/>
      <c r="K109" s="13"/>
      <c r="L109" s="13">
        <v>41</v>
      </c>
      <c r="M109" s="13">
        <f t="shared" si="5"/>
        <v>461</v>
      </c>
      <c r="N109" s="14">
        <v>37</v>
      </c>
      <c r="O109" s="14">
        <v>7.9048682548378588</v>
      </c>
      <c r="P109" s="14">
        <v>4</v>
      </c>
      <c r="Q109" s="14">
        <v>7.5</v>
      </c>
      <c r="R109" s="14">
        <v>2.5</v>
      </c>
      <c r="S109" s="14">
        <v>7</v>
      </c>
      <c r="T109" s="14">
        <f t="shared" si="9"/>
        <v>65.904868254837851</v>
      </c>
      <c r="V109" s="15">
        <f t="shared" si="6"/>
        <v>0.22679888734649153</v>
      </c>
      <c r="W109" s="15">
        <f t="shared" si="7"/>
        <v>0.14536340471495912</v>
      </c>
      <c r="Y109" s="15">
        <f t="shared" si="8"/>
        <v>0.1817896717813906</v>
      </c>
    </row>
    <row r="110" spans="1:25" x14ac:dyDescent="0.3">
      <c r="A110" s="5">
        <v>35</v>
      </c>
      <c r="B110" s="5">
        <v>3500</v>
      </c>
      <c r="C110" s="5">
        <v>1213</v>
      </c>
      <c r="D110" s="5" t="s">
        <v>33</v>
      </c>
      <c r="E110" s="5" t="s">
        <v>34</v>
      </c>
      <c r="F110" s="13">
        <v>102</v>
      </c>
      <c r="G110" s="13" t="s">
        <v>139</v>
      </c>
      <c r="H110" s="13">
        <v>1554</v>
      </c>
      <c r="I110" s="13">
        <v>961</v>
      </c>
      <c r="J110" s="13">
        <v>345</v>
      </c>
      <c r="K110" s="13"/>
      <c r="L110" s="13">
        <v>248</v>
      </c>
      <c r="M110" s="13">
        <f t="shared" si="5"/>
        <v>1554</v>
      </c>
      <c r="N110" s="14">
        <v>36</v>
      </c>
      <c r="O110" s="14">
        <v>10.876040512703927</v>
      </c>
      <c r="P110" s="14">
        <v>7.08</v>
      </c>
      <c r="Q110" s="14">
        <v>8</v>
      </c>
      <c r="R110" s="14">
        <v>3.5</v>
      </c>
      <c r="S110" s="14">
        <v>5</v>
      </c>
      <c r="T110" s="14">
        <f t="shared" si="9"/>
        <v>70.456040512703922</v>
      </c>
      <c r="V110" s="15">
        <f t="shared" si="6"/>
        <v>0.74386099277200712</v>
      </c>
      <c r="W110" s="15">
        <f t="shared" si="7"/>
        <v>0.67418852443404276</v>
      </c>
      <c r="Y110" s="15">
        <f t="shared" si="8"/>
        <v>0.65511875303205858</v>
      </c>
    </row>
    <row r="111" spans="1:25" x14ac:dyDescent="0.3">
      <c r="A111" s="5">
        <v>35</v>
      </c>
      <c r="B111" s="5">
        <v>3500</v>
      </c>
      <c r="C111" s="5">
        <v>1214</v>
      </c>
      <c r="D111" s="5" t="s">
        <v>33</v>
      </c>
      <c r="E111" s="5" t="s">
        <v>34</v>
      </c>
      <c r="F111" s="13">
        <v>103</v>
      </c>
      <c r="G111" s="13" t="s">
        <v>140</v>
      </c>
      <c r="H111" s="13">
        <v>745</v>
      </c>
      <c r="I111" s="13">
        <v>670</v>
      </c>
      <c r="J111" s="13"/>
      <c r="K111" s="13"/>
      <c r="L111" s="13">
        <v>75</v>
      </c>
      <c r="M111" s="13">
        <f t="shared" si="5"/>
        <v>745</v>
      </c>
      <c r="N111" s="14">
        <v>35</v>
      </c>
      <c r="O111" s="14">
        <v>11.561859708120808</v>
      </c>
      <c r="P111" s="14">
        <v>4</v>
      </c>
      <c r="Q111" s="14">
        <v>7.5</v>
      </c>
      <c r="R111" s="14">
        <v>2.5</v>
      </c>
      <c r="S111" s="14">
        <v>7</v>
      </c>
      <c r="T111" s="14">
        <f t="shared" si="9"/>
        <v>67.561859708120807</v>
      </c>
      <c r="V111" s="15">
        <f t="shared" si="6"/>
        <v>0.34670698174120707</v>
      </c>
      <c r="W111" s="15">
        <f t="shared" si="7"/>
        <v>0.34359235566152896</v>
      </c>
      <c r="Y111" s="15">
        <f t="shared" si="8"/>
        <v>0.30116788020289836</v>
      </c>
    </row>
    <row r="112" spans="1:25" x14ac:dyDescent="0.3">
      <c r="A112" s="5">
        <v>35</v>
      </c>
      <c r="B112" s="5">
        <v>3500</v>
      </c>
      <c r="C112" s="5">
        <v>1215</v>
      </c>
      <c r="D112" s="5" t="s">
        <v>33</v>
      </c>
      <c r="E112" s="5" t="s">
        <v>34</v>
      </c>
      <c r="F112" s="13">
        <v>104</v>
      </c>
      <c r="G112" s="13" t="s">
        <v>141</v>
      </c>
      <c r="H112" s="13">
        <v>230</v>
      </c>
      <c r="I112" s="13">
        <v>209</v>
      </c>
      <c r="J112" s="13"/>
      <c r="K112" s="13"/>
      <c r="L112" s="13">
        <v>21</v>
      </c>
      <c r="M112" s="13">
        <f t="shared" si="5"/>
        <v>230</v>
      </c>
      <c r="N112" s="14">
        <v>34</v>
      </c>
      <c r="O112" s="14">
        <v>8.6983714158005228</v>
      </c>
      <c r="P112" s="14">
        <v>7.08</v>
      </c>
      <c r="Q112" s="14">
        <v>8</v>
      </c>
      <c r="R112" s="14">
        <v>3.5</v>
      </c>
      <c r="S112" s="14">
        <v>5</v>
      </c>
      <c r="T112" s="14">
        <f t="shared" si="9"/>
        <v>66.278371415800521</v>
      </c>
      <c r="V112" s="15">
        <f t="shared" si="6"/>
        <v>0.10397885320100628</v>
      </c>
      <c r="W112" s="15">
        <f t="shared" si="7"/>
        <v>7.9804119223354578E-2</v>
      </c>
      <c r="Y112" s="15">
        <f t="shared" si="8"/>
        <v>9.1211678627364179E-2</v>
      </c>
    </row>
    <row r="113" spans="1:25" x14ac:dyDescent="0.3">
      <c r="A113" s="5">
        <v>35</v>
      </c>
      <c r="B113" s="5">
        <v>3500</v>
      </c>
      <c r="C113" s="5">
        <v>122205</v>
      </c>
      <c r="D113" s="5" t="s">
        <v>33</v>
      </c>
      <c r="E113" s="5" t="s">
        <v>34</v>
      </c>
      <c r="F113" s="13">
        <v>105</v>
      </c>
      <c r="G113" s="13" t="s">
        <v>142</v>
      </c>
      <c r="H113" s="13">
        <v>367</v>
      </c>
      <c r="I113" s="13">
        <v>235</v>
      </c>
      <c r="J113" s="13"/>
      <c r="K113" s="13">
        <v>95</v>
      </c>
      <c r="L113" s="13">
        <v>37</v>
      </c>
      <c r="M113" s="13">
        <f t="shared" si="5"/>
        <v>367</v>
      </c>
      <c r="N113" s="14">
        <v>17.43</v>
      </c>
      <c r="O113" s="14">
        <v>4.7523458482052456</v>
      </c>
      <c r="P113" s="14">
        <v>7</v>
      </c>
      <c r="Q113" s="14">
        <v>12.63</v>
      </c>
      <c r="R113" s="14">
        <v>3.5</v>
      </c>
      <c r="S113" s="14">
        <v>6</v>
      </c>
      <c r="T113" s="14">
        <f t="shared" si="9"/>
        <v>51.312345848205247</v>
      </c>
      <c r="V113" s="15">
        <f t="shared" si="6"/>
        <v>8.5055366744850258E-2</v>
      </c>
      <c r="W113" s="15">
        <f t="shared" si="7"/>
        <v>6.9571862137257079E-2</v>
      </c>
      <c r="Y113" s="15">
        <f t="shared" si="8"/>
        <v>0.11267789314951011</v>
      </c>
    </row>
    <row r="114" spans="1:25" x14ac:dyDescent="0.3">
      <c r="A114" s="5">
        <v>35</v>
      </c>
      <c r="B114" s="5">
        <v>3500</v>
      </c>
      <c r="C114" s="5">
        <v>1217</v>
      </c>
      <c r="D114" s="5" t="s">
        <v>33</v>
      </c>
      <c r="E114" s="5" t="s">
        <v>34</v>
      </c>
      <c r="F114" s="13">
        <v>106</v>
      </c>
      <c r="G114" s="13" t="s">
        <v>143</v>
      </c>
      <c r="H114" s="13">
        <v>215</v>
      </c>
      <c r="I114" s="13">
        <v>128</v>
      </c>
      <c r="J114" s="13"/>
      <c r="K114" s="13">
        <v>65</v>
      </c>
      <c r="L114" s="13">
        <v>22</v>
      </c>
      <c r="M114" s="13">
        <f t="shared" si="5"/>
        <v>215</v>
      </c>
      <c r="N114" s="14">
        <v>19.079999999999998</v>
      </c>
      <c r="O114" s="14">
        <v>8.0788133120890464</v>
      </c>
      <c r="P114" s="14">
        <v>7</v>
      </c>
      <c r="Q114" s="14">
        <v>12.27</v>
      </c>
      <c r="R114" s="14">
        <v>3.5</v>
      </c>
      <c r="S114" s="14">
        <v>7</v>
      </c>
      <c r="T114" s="14">
        <f t="shared" si="9"/>
        <v>56.928813312089048</v>
      </c>
      <c r="V114" s="15">
        <f t="shared" si="6"/>
        <v>5.4545019386338614E-2</v>
      </c>
      <c r="W114" s="15">
        <f t="shared" si="7"/>
        <v>6.9286010806054635E-2</v>
      </c>
      <c r="Y114" s="15">
        <f t="shared" si="8"/>
        <v>7.3235453437479933E-2</v>
      </c>
    </row>
    <row r="115" spans="1:25" x14ac:dyDescent="0.3">
      <c r="A115" s="5">
        <v>35</v>
      </c>
      <c r="B115" s="5">
        <v>3500</v>
      </c>
      <c r="C115" s="5">
        <v>1218</v>
      </c>
      <c r="D115" s="5" t="s">
        <v>33</v>
      </c>
      <c r="E115" s="5" t="s">
        <v>34</v>
      </c>
      <c r="F115" s="13">
        <v>107</v>
      </c>
      <c r="G115" s="13" t="s">
        <v>144</v>
      </c>
      <c r="H115" s="13">
        <v>165</v>
      </c>
      <c r="I115" s="13">
        <v>99</v>
      </c>
      <c r="J115" s="13"/>
      <c r="K115" s="13"/>
      <c r="L115" s="13">
        <v>66</v>
      </c>
      <c r="M115" s="13">
        <f t="shared" si="5"/>
        <v>165</v>
      </c>
      <c r="N115" s="14">
        <v>21.63</v>
      </c>
      <c r="O115" s="14">
        <v>4.848518041733211</v>
      </c>
      <c r="P115" s="14">
        <v>7</v>
      </c>
      <c r="Q115" s="14">
        <v>12.63</v>
      </c>
      <c r="R115" s="14">
        <v>3.5</v>
      </c>
      <c r="S115" s="14">
        <v>5</v>
      </c>
      <c r="T115" s="14">
        <f t="shared" si="9"/>
        <v>54.608518041733213</v>
      </c>
      <c r="V115" s="15">
        <f t="shared" si="6"/>
        <v>4.7454645541142114E-2</v>
      </c>
      <c r="W115" s="15">
        <f t="shared" si="7"/>
        <v>3.1911886972299866E-2</v>
      </c>
      <c r="Y115" s="15">
        <f t="shared" si="8"/>
        <v>5.3913201120614027E-2</v>
      </c>
    </row>
    <row r="116" spans="1:25" x14ac:dyDescent="0.3">
      <c r="A116" s="5">
        <v>35</v>
      </c>
      <c r="B116" s="5">
        <v>3500</v>
      </c>
      <c r="C116" s="5">
        <v>1219</v>
      </c>
      <c r="D116" s="5" t="s">
        <v>33</v>
      </c>
      <c r="E116" s="5" t="s">
        <v>34</v>
      </c>
      <c r="F116" s="13">
        <v>108</v>
      </c>
      <c r="G116" s="13" t="s">
        <v>145</v>
      </c>
      <c r="H116" s="13">
        <v>629</v>
      </c>
      <c r="I116" s="13">
        <v>382</v>
      </c>
      <c r="J116" s="13"/>
      <c r="K116" s="13">
        <v>185</v>
      </c>
      <c r="L116" s="13">
        <v>62</v>
      </c>
      <c r="M116" s="13">
        <f t="shared" si="5"/>
        <v>629</v>
      </c>
      <c r="N116" s="14">
        <v>16.79</v>
      </c>
      <c r="O116" s="14">
        <v>8.3061713757950759</v>
      </c>
      <c r="P116" s="14">
        <v>7</v>
      </c>
      <c r="Q116" s="14">
        <v>12.63</v>
      </c>
      <c r="R116" s="14">
        <v>4.0999999999999996</v>
      </c>
      <c r="S116" s="14">
        <v>5</v>
      </c>
      <c r="T116" s="14">
        <f t="shared" si="9"/>
        <v>53.826171375795077</v>
      </c>
      <c r="V116" s="15">
        <f t="shared" si="6"/>
        <v>0.140423441247959</v>
      </c>
      <c r="W116" s="15">
        <f t="shared" si="7"/>
        <v>0.20840640289179962</v>
      </c>
      <c r="Y116" s="15">
        <f t="shared" si="8"/>
        <v>0.20257923145957055</v>
      </c>
    </row>
    <row r="117" spans="1:25" x14ac:dyDescent="0.3">
      <c r="A117" s="5">
        <v>35</v>
      </c>
      <c r="B117" s="5">
        <v>3500</v>
      </c>
      <c r="C117" s="5">
        <v>1220</v>
      </c>
      <c r="D117" s="5" t="s">
        <v>33</v>
      </c>
      <c r="E117" s="5" t="s">
        <v>34</v>
      </c>
      <c r="F117" s="13">
        <v>109</v>
      </c>
      <c r="G117" s="13" t="s">
        <v>146</v>
      </c>
      <c r="H117" s="13">
        <v>2340</v>
      </c>
      <c r="I117" s="13">
        <v>1453</v>
      </c>
      <c r="J117" s="13"/>
      <c r="K117" s="13">
        <v>654</v>
      </c>
      <c r="L117" s="13">
        <v>233</v>
      </c>
      <c r="M117" s="13">
        <f t="shared" si="5"/>
        <v>2340</v>
      </c>
      <c r="N117" s="14">
        <v>20.13</v>
      </c>
      <c r="O117" s="14">
        <v>7.8157138182744665</v>
      </c>
      <c r="P117" s="14">
        <v>7.36</v>
      </c>
      <c r="Q117" s="14">
        <v>12.6</v>
      </c>
      <c r="R117" s="14">
        <v>4.25</v>
      </c>
      <c r="S117" s="14">
        <v>5</v>
      </c>
      <c r="T117" s="14">
        <f t="shared" si="9"/>
        <v>57.155713818274471</v>
      </c>
      <c r="V117" s="15">
        <f t="shared" si="6"/>
        <v>0.62632233976353446</v>
      </c>
      <c r="W117" s="15">
        <f t="shared" si="7"/>
        <v>0.72953147028075294</v>
      </c>
      <c r="Y117" s="15">
        <f t="shared" si="8"/>
        <v>0.80025112688934386</v>
      </c>
    </row>
    <row r="118" spans="1:25" x14ac:dyDescent="0.3">
      <c r="A118" s="5">
        <v>35</v>
      </c>
      <c r="B118" s="5">
        <v>3500</v>
      </c>
      <c r="C118" s="5">
        <v>1221</v>
      </c>
      <c r="D118" s="5" t="s">
        <v>33</v>
      </c>
      <c r="E118" s="5" t="s">
        <v>34</v>
      </c>
      <c r="F118" s="13">
        <v>110</v>
      </c>
      <c r="G118" s="13" t="s">
        <v>147</v>
      </c>
      <c r="H118" s="13">
        <v>789</v>
      </c>
      <c r="I118" s="13">
        <v>599</v>
      </c>
      <c r="J118" s="13"/>
      <c r="K118" s="13">
        <v>156</v>
      </c>
      <c r="L118" s="13">
        <v>34</v>
      </c>
      <c r="M118" s="13">
        <f t="shared" si="5"/>
        <v>789</v>
      </c>
      <c r="N118" s="14">
        <v>19.41</v>
      </c>
      <c r="O118" s="14">
        <v>8.9689086036729506</v>
      </c>
      <c r="P118" s="14">
        <v>6.82</v>
      </c>
      <c r="Q118" s="14">
        <v>12.51</v>
      </c>
      <c r="R118" s="14">
        <v>4.25</v>
      </c>
      <c r="S118" s="14">
        <v>5</v>
      </c>
      <c r="T118" s="14">
        <f t="shared" si="9"/>
        <v>56.958908603672946</v>
      </c>
      <c r="V118" s="15">
        <f t="shared" si="6"/>
        <v>0.20362955339619931</v>
      </c>
      <c r="W118" s="15">
        <f t="shared" si="7"/>
        <v>0.2822774116564532</v>
      </c>
      <c r="Y118" s="15">
        <f t="shared" si="8"/>
        <v>0.26889916045365203</v>
      </c>
    </row>
    <row r="119" spans="1:25" x14ac:dyDescent="0.3">
      <c r="A119" s="5">
        <v>35</v>
      </c>
      <c r="B119" s="5">
        <v>3500</v>
      </c>
      <c r="C119" s="5">
        <v>1222</v>
      </c>
      <c r="D119" s="5" t="s">
        <v>33</v>
      </c>
      <c r="E119" s="5" t="s">
        <v>34</v>
      </c>
      <c r="F119" s="13">
        <v>111</v>
      </c>
      <c r="G119" s="13" t="s">
        <v>148</v>
      </c>
      <c r="H119" s="13">
        <v>209</v>
      </c>
      <c r="I119" s="13">
        <v>190</v>
      </c>
      <c r="J119" s="13"/>
      <c r="K119" s="13"/>
      <c r="L119" s="13">
        <v>19</v>
      </c>
      <c r="M119" s="13">
        <f t="shared" si="5"/>
        <v>209</v>
      </c>
      <c r="N119" s="14">
        <v>12.86</v>
      </c>
      <c r="O119" s="14">
        <v>7.2727272727272734</v>
      </c>
      <c r="P119" s="14">
        <v>7</v>
      </c>
      <c r="Q119" s="14">
        <v>12.63</v>
      </c>
      <c r="R119" s="14">
        <v>3.5</v>
      </c>
      <c r="S119" s="14">
        <v>5</v>
      </c>
      <c r="T119" s="14">
        <f t="shared" si="9"/>
        <v>48.262727272727275</v>
      </c>
      <c r="V119" s="15">
        <f t="shared" si="6"/>
        <v>3.573761162435711E-2</v>
      </c>
      <c r="W119" s="15">
        <f t="shared" si="7"/>
        <v>6.0632170153016453E-2</v>
      </c>
      <c r="Y119" s="15">
        <f t="shared" si="8"/>
        <v>6.0354399023502946E-2</v>
      </c>
    </row>
    <row r="120" spans="1:25" x14ac:dyDescent="0.3">
      <c r="A120" s="5">
        <v>35</v>
      </c>
      <c r="B120" s="5">
        <v>3500</v>
      </c>
      <c r="C120" s="5">
        <v>1223</v>
      </c>
      <c r="D120" s="5" t="s">
        <v>33</v>
      </c>
      <c r="E120" s="5" t="s">
        <v>34</v>
      </c>
      <c r="F120" s="13">
        <v>112</v>
      </c>
      <c r="G120" s="13" t="s">
        <v>149</v>
      </c>
      <c r="H120" s="13">
        <v>13</v>
      </c>
      <c r="I120" s="13"/>
      <c r="J120" s="13">
        <v>13</v>
      </c>
      <c r="K120" s="13"/>
      <c r="L120" s="13"/>
      <c r="M120" s="13">
        <f t="shared" si="5"/>
        <v>13</v>
      </c>
      <c r="N120" s="14">
        <v>12.68</v>
      </c>
      <c r="O120" s="14">
        <v>10</v>
      </c>
      <c r="P120" s="14">
        <v>7.08</v>
      </c>
      <c r="Q120" s="14">
        <v>12.63</v>
      </c>
      <c r="R120" s="14">
        <v>3.5</v>
      </c>
      <c r="S120" s="14">
        <v>7</v>
      </c>
      <c r="T120" s="14">
        <f t="shared" si="9"/>
        <v>52.89</v>
      </c>
      <c r="V120" s="15">
        <f t="shared" si="6"/>
        <v>2.1917997649173755E-3</v>
      </c>
      <c r="W120" s="15">
        <f t="shared" si="7"/>
        <v>5.1856461315079854E-3</v>
      </c>
      <c r="Y120" s="15">
        <f t="shared" si="8"/>
        <v>4.1140323584318607E-3</v>
      </c>
    </row>
    <row r="121" spans="1:25" x14ac:dyDescent="0.3">
      <c r="A121" s="5">
        <v>35</v>
      </c>
      <c r="B121" s="5">
        <v>3500</v>
      </c>
      <c r="C121" s="5">
        <v>1224</v>
      </c>
      <c r="D121" s="5" t="s">
        <v>33</v>
      </c>
      <c r="E121" s="5" t="s">
        <v>34</v>
      </c>
      <c r="F121" s="13">
        <v>113</v>
      </c>
      <c r="G121" s="13" t="s">
        <v>150</v>
      </c>
      <c r="H121" s="13">
        <v>20</v>
      </c>
      <c r="I121" s="13">
        <v>20</v>
      </c>
      <c r="J121" s="13"/>
      <c r="K121" s="13"/>
      <c r="L121" s="13"/>
      <c r="M121" s="13">
        <f t="shared" si="5"/>
        <v>20</v>
      </c>
      <c r="N121" s="14">
        <v>28</v>
      </c>
      <c r="O121" s="14">
        <v>10</v>
      </c>
      <c r="P121" s="14">
        <v>4</v>
      </c>
      <c r="Q121" s="14">
        <v>7.5</v>
      </c>
      <c r="R121" s="14">
        <v>2.5</v>
      </c>
      <c r="S121" s="14">
        <v>5</v>
      </c>
      <c r="T121" s="14">
        <f t="shared" si="9"/>
        <v>57</v>
      </c>
      <c r="V121" s="15">
        <f t="shared" si="6"/>
        <v>7.4460559837037739E-3</v>
      </c>
      <c r="W121" s="15">
        <f t="shared" si="7"/>
        <v>7.9779171253968988E-3</v>
      </c>
      <c r="Y121" s="15">
        <f t="shared" si="8"/>
        <v>6.821119142214351E-3</v>
      </c>
    </row>
    <row r="122" spans="1:25" x14ac:dyDescent="0.3">
      <c r="A122" s="5">
        <v>35</v>
      </c>
      <c r="B122" s="5">
        <v>3500</v>
      </c>
      <c r="C122" s="5">
        <v>1225</v>
      </c>
      <c r="D122" s="5" t="s">
        <v>33</v>
      </c>
      <c r="E122" s="5" t="s">
        <v>34</v>
      </c>
      <c r="F122" s="13">
        <v>114</v>
      </c>
      <c r="G122" s="13" t="s">
        <v>151</v>
      </c>
      <c r="H122" s="13">
        <v>54</v>
      </c>
      <c r="I122" s="13">
        <v>48</v>
      </c>
      <c r="J122" s="13"/>
      <c r="K122" s="13"/>
      <c r="L122" s="13">
        <v>6</v>
      </c>
      <c r="M122" s="13">
        <f t="shared" si="5"/>
        <v>54</v>
      </c>
      <c r="N122" s="14">
        <v>41</v>
      </c>
      <c r="O122" s="14">
        <v>8.5956674869517773</v>
      </c>
      <c r="P122" s="14">
        <v>4</v>
      </c>
      <c r="Q122" s="14">
        <v>7.5</v>
      </c>
      <c r="R122" s="14">
        <v>2.5</v>
      </c>
      <c r="S122" s="14"/>
      <c r="T122" s="14">
        <f t="shared" si="9"/>
        <v>63.595667486951776</v>
      </c>
      <c r="V122" s="15">
        <f t="shared" si="6"/>
        <v>2.9438514192714565E-2</v>
      </c>
      <c r="W122" s="15">
        <f t="shared" si="7"/>
        <v>1.851539116905988E-2</v>
      </c>
      <c r="Y122" s="15">
        <f t="shared" si="8"/>
        <v>2.0548119072180578E-2</v>
      </c>
    </row>
    <row r="123" spans="1:25" x14ac:dyDescent="0.3">
      <c r="A123" s="5">
        <v>35</v>
      </c>
      <c r="B123" s="5">
        <v>3500</v>
      </c>
      <c r="C123" s="5">
        <v>1226</v>
      </c>
      <c r="D123" s="5" t="s">
        <v>33</v>
      </c>
      <c r="E123" s="5" t="s">
        <v>34</v>
      </c>
      <c r="F123" s="13">
        <v>115</v>
      </c>
      <c r="G123" s="13" t="s">
        <v>152</v>
      </c>
      <c r="H123" s="13">
        <v>2143</v>
      </c>
      <c r="I123" s="13">
        <v>1293</v>
      </c>
      <c r="J123" s="13"/>
      <c r="K123" s="13">
        <v>658</v>
      </c>
      <c r="L123" s="13">
        <v>192</v>
      </c>
      <c r="M123" s="13">
        <f t="shared" si="5"/>
        <v>2143</v>
      </c>
      <c r="N123" s="14">
        <v>14.98</v>
      </c>
      <c r="O123" s="14">
        <v>9.5382283703450774</v>
      </c>
      <c r="P123" s="14">
        <v>7</v>
      </c>
      <c r="Q123" s="14">
        <v>11.27</v>
      </c>
      <c r="R123" s="14">
        <v>3.5</v>
      </c>
      <c r="S123" s="14">
        <v>7.54</v>
      </c>
      <c r="T123" s="14">
        <f t="shared" si="9"/>
        <v>53.82822837034508</v>
      </c>
      <c r="V123" s="15">
        <f t="shared" si="6"/>
        <v>0.42684702077981479</v>
      </c>
      <c r="W123" s="15">
        <f t="shared" si="7"/>
        <v>0.81536001937235747</v>
      </c>
      <c r="Y123" s="15">
        <f t="shared" si="8"/>
        <v>0.69021285121373743</v>
      </c>
    </row>
    <row r="124" spans="1:25" x14ac:dyDescent="0.3">
      <c r="A124" s="5">
        <v>35</v>
      </c>
      <c r="B124" s="5">
        <v>3500</v>
      </c>
      <c r="C124" s="5">
        <v>1227</v>
      </c>
      <c r="D124" s="5" t="s">
        <v>33</v>
      </c>
      <c r="E124" s="5" t="s">
        <v>34</v>
      </c>
      <c r="F124" s="13">
        <v>116</v>
      </c>
      <c r="G124" s="13" t="s">
        <v>153</v>
      </c>
      <c r="H124" s="13">
        <v>2721</v>
      </c>
      <c r="I124" s="13">
        <v>1571</v>
      </c>
      <c r="J124" s="13"/>
      <c r="K124" s="13"/>
      <c r="L124" s="13">
        <v>1150</v>
      </c>
      <c r="M124" s="13">
        <f t="shared" si="5"/>
        <v>2721</v>
      </c>
      <c r="N124" s="14">
        <v>21.26</v>
      </c>
      <c r="O124" s="14">
        <v>5.3794519530339375</v>
      </c>
      <c r="P124" s="14">
        <v>7.6</v>
      </c>
      <c r="Q124" s="14">
        <v>8</v>
      </c>
      <c r="R124" s="14">
        <v>3.95</v>
      </c>
      <c r="S124" s="14">
        <v>6.8</v>
      </c>
      <c r="T124" s="14">
        <f t="shared" si="9"/>
        <v>52.989451953033942</v>
      </c>
      <c r="V124" s="15">
        <f t="shared" si="6"/>
        <v>0.76918369951972942</v>
      </c>
      <c r="W124" s="15">
        <f t="shared" si="7"/>
        <v>0.58388336142379271</v>
      </c>
      <c r="Y124" s="15">
        <f t="shared" si="8"/>
        <v>0.86271778974322288</v>
      </c>
    </row>
    <row r="125" spans="1:25" x14ac:dyDescent="0.3">
      <c r="A125" s="5">
        <v>35</v>
      </c>
      <c r="B125" s="5">
        <v>3500</v>
      </c>
      <c r="C125" s="5">
        <v>1228</v>
      </c>
      <c r="D125" s="5" t="s">
        <v>33</v>
      </c>
      <c r="E125" s="5" t="s">
        <v>34</v>
      </c>
      <c r="F125" s="13">
        <v>117</v>
      </c>
      <c r="G125" s="13" t="s">
        <v>154</v>
      </c>
      <c r="H125" s="13">
        <v>1146</v>
      </c>
      <c r="I125" s="13">
        <v>654</v>
      </c>
      <c r="J125" s="13"/>
      <c r="K125" s="13">
        <v>345</v>
      </c>
      <c r="L125" s="13">
        <v>147</v>
      </c>
      <c r="M125" s="13">
        <f t="shared" si="5"/>
        <v>1146</v>
      </c>
      <c r="N125" s="14">
        <v>25</v>
      </c>
      <c r="O125" s="14">
        <v>10.46811701757662</v>
      </c>
      <c r="P125" s="14">
        <v>4</v>
      </c>
      <c r="Q125" s="14">
        <v>7.5</v>
      </c>
      <c r="R125" s="14">
        <v>2.5</v>
      </c>
      <c r="S125" s="14">
        <v>8</v>
      </c>
      <c r="T125" s="14">
        <f t="shared" si="9"/>
        <v>57.468117017576617</v>
      </c>
      <c r="V125" s="15">
        <f t="shared" si="6"/>
        <v>0.38094554273770209</v>
      </c>
      <c r="W125" s="15">
        <f t="shared" si="7"/>
        <v>0.47853390224430004</v>
      </c>
      <c r="Y125" s="15">
        <f t="shared" si="8"/>
        <v>0.39406001449274092</v>
      </c>
    </row>
    <row r="126" spans="1:25" x14ac:dyDescent="0.3">
      <c r="A126" s="5">
        <v>35</v>
      </c>
      <c r="B126" s="5">
        <v>3500</v>
      </c>
      <c r="C126" s="5">
        <v>1120</v>
      </c>
      <c r="D126" s="5" t="s">
        <v>33</v>
      </c>
      <c r="E126" s="5" t="s">
        <v>34</v>
      </c>
      <c r="F126" s="13">
        <v>118</v>
      </c>
      <c r="G126" s="13" t="s">
        <v>155</v>
      </c>
      <c r="H126" s="13">
        <v>1058</v>
      </c>
      <c r="I126" s="13">
        <v>853</v>
      </c>
      <c r="J126" s="13"/>
      <c r="K126" s="13"/>
      <c r="L126" s="13">
        <v>205</v>
      </c>
      <c r="M126" s="13">
        <f t="shared" si="5"/>
        <v>1058</v>
      </c>
      <c r="N126" s="14">
        <v>35</v>
      </c>
      <c r="O126" s="14">
        <v>6.9187145557655949</v>
      </c>
      <c r="P126" s="14">
        <v>7</v>
      </c>
      <c r="Q126" s="14">
        <v>8</v>
      </c>
      <c r="R126" s="14">
        <v>4</v>
      </c>
      <c r="S126" s="14">
        <v>6</v>
      </c>
      <c r="T126" s="14">
        <f t="shared" si="9"/>
        <v>66.918714555765604</v>
      </c>
      <c r="V126" s="15">
        <f t="shared" si="6"/>
        <v>0.49237045192241213</v>
      </c>
      <c r="W126" s="15">
        <f t="shared" si="7"/>
        <v>0.29199176678952654</v>
      </c>
      <c r="Y126" s="15">
        <f t="shared" si="8"/>
        <v>0.42362739935857557</v>
      </c>
    </row>
    <row r="127" spans="1:25" x14ac:dyDescent="0.3">
      <c r="A127" s="5">
        <v>35</v>
      </c>
      <c r="B127" s="5">
        <v>3500</v>
      </c>
      <c r="C127" s="5">
        <v>1121</v>
      </c>
      <c r="D127" s="5" t="s">
        <v>33</v>
      </c>
      <c r="E127" s="5" t="s">
        <v>34</v>
      </c>
      <c r="F127" s="13">
        <v>119</v>
      </c>
      <c r="G127" s="13" t="s">
        <v>156</v>
      </c>
      <c r="H127" s="13">
        <v>2433</v>
      </c>
      <c r="I127" s="13">
        <v>1483</v>
      </c>
      <c r="J127" s="13">
        <v>205</v>
      </c>
      <c r="K127" s="13">
        <v>502</v>
      </c>
      <c r="L127" s="13">
        <v>243</v>
      </c>
      <c r="M127" s="13">
        <f t="shared" si="5"/>
        <v>2433</v>
      </c>
      <c r="N127" s="14">
        <v>23</v>
      </c>
      <c r="O127" s="14">
        <v>10.049095653895789</v>
      </c>
      <c r="P127" s="14">
        <v>4</v>
      </c>
      <c r="Q127" s="14">
        <v>7.5</v>
      </c>
      <c r="R127" s="14">
        <v>2.5</v>
      </c>
      <c r="S127" s="14">
        <v>6</v>
      </c>
      <c r="T127" s="14">
        <f t="shared" si="9"/>
        <v>53.04909565389579</v>
      </c>
      <c r="V127" s="15">
        <f t="shared" si="6"/>
        <v>0.74406044070014199</v>
      </c>
      <c r="W127" s="15">
        <f t="shared" si="7"/>
        <v>0.9752784183750759</v>
      </c>
      <c r="Y127" s="15">
        <f t="shared" si="8"/>
        <v>0.77227304656268525</v>
      </c>
    </row>
    <row r="128" spans="1:25" x14ac:dyDescent="0.3">
      <c r="A128" s="5">
        <v>35</v>
      </c>
      <c r="B128" s="5">
        <v>3500</v>
      </c>
      <c r="C128" s="5">
        <v>1122</v>
      </c>
      <c r="D128" s="5" t="s">
        <v>33</v>
      </c>
      <c r="E128" s="5" t="s">
        <v>34</v>
      </c>
      <c r="F128" s="13">
        <v>120</v>
      </c>
      <c r="G128" s="13" t="s">
        <v>157</v>
      </c>
      <c r="H128" s="13">
        <v>1273</v>
      </c>
      <c r="I128" s="13">
        <v>604</v>
      </c>
      <c r="J128" s="13">
        <v>198</v>
      </c>
      <c r="K128" s="13">
        <v>354</v>
      </c>
      <c r="L128" s="13">
        <v>117</v>
      </c>
      <c r="M128" s="13">
        <f t="shared" si="5"/>
        <v>1273</v>
      </c>
      <c r="N128" s="14">
        <v>26</v>
      </c>
      <c r="O128" s="14">
        <v>11.50414797238478</v>
      </c>
      <c r="P128" s="14">
        <v>5</v>
      </c>
      <c r="Q128" s="14">
        <v>8</v>
      </c>
      <c r="R128" s="14">
        <v>4</v>
      </c>
      <c r="S128" s="14">
        <v>6</v>
      </c>
      <c r="T128" s="14">
        <f t="shared" si="9"/>
        <v>60.504147972384779</v>
      </c>
      <c r="V128" s="15">
        <f t="shared" si="6"/>
        <v>0.44008850169397773</v>
      </c>
      <c r="W128" s="15">
        <f t="shared" si="7"/>
        <v>0.58417422051145729</v>
      </c>
      <c r="Y128" s="15">
        <f t="shared" si="8"/>
        <v>0.46085503547488049</v>
      </c>
    </row>
    <row r="129" spans="1:25" x14ac:dyDescent="0.3">
      <c r="A129" s="5">
        <v>35</v>
      </c>
      <c r="B129" s="5">
        <v>3500</v>
      </c>
      <c r="C129" s="5">
        <v>1123</v>
      </c>
      <c r="D129" s="5" t="s">
        <v>33</v>
      </c>
      <c r="E129" s="5" t="s">
        <v>34</v>
      </c>
      <c r="F129" s="13">
        <v>121</v>
      </c>
      <c r="G129" s="13" t="s">
        <v>158</v>
      </c>
      <c r="H129" s="13">
        <v>1332</v>
      </c>
      <c r="I129" s="13">
        <v>706</v>
      </c>
      <c r="J129" s="13">
        <v>315</v>
      </c>
      <c r="K129" s="13"/>
      <c r="L129" s="13">
        <v>311</v>
      </c>
      <c r="M129" s="13">
        <f t="shared" si="5"/>
        <v>1332</v>
      </c>
      <c r="N129" s="14">
        <v>27</v>
      </c>
      <c r="O129" s="14">
        <v>6.7667927629556983</v>
      </c>
      <c r="P129" s="14">
        <v>5</v>
      </c>
      <c r="Q129" s="14">
        <v>8</v>
      </c>
      <c r="R129" s="14">
        <v>4</v>
      </c>
      <c r="S129" s="14">
        <v>6</v>
      </c>
      <c r="T129" s="14">
        <f t="shared" si="9"/>
        <v>56.766792762955696</v>
      </c>
      <c r="V129" s="15">
        <f t="shared" si="6"/>
        <v>0.47819635249629028</v>
      </c>
      <c r="W129" s="15">
        <f t="shared" si="7"/>
        <v>0.35953951303818987</v>
      </c>
      <c r="Y129" s="15">
        <f t="shared" si="8"/>
        <v>0.45242788736930373</v>
      </c>
    </row>
    <row r="130" spans="1:25" x14ac:dyDescent="0.3">
      <c r="A130" s="5">
        <v>35</v>
      </c>
      <c r="B130" s="5">
        <v>3500</v>
      </c>
      <c r="C130" s="5">
        <v>1124</v>
      </c>
      <c r="D130" s="5" t="s">
        <v>33</v>
      </c>
      <c r="E130" s="5" t="s">
        <v>34</v>
      </c>
      <c r="F130" s="13">
        <v>122</v>
      </c>
      <c r="G130" s="13" t="s">
        <v>159</v>
      </c>
      <c r="H130" s="13">
        <v>1045</v>
      </c>
      <c r="I130" s="13">
        <v>620</v>
      </c>
      <c r="J130" s="13">
        <v>320</v>
      </c>
      <c r="K130" s="13"/>
      <c r="L130" s="13">
        <v>105</v>
      </c>
      <c r="M130" s="13">
        <f t="shared" si="5"/>
        <v>1045</v>
      </c>
      <c r="N130" s="14">
        <v>27</v>
      </c>
      <c r="O130" s="14">
        <v>8.4941107950353292</v>
      </c>
      <c r="P130" s="14">
        <v>7</v>
      </c>
      <c r="Q130" s="14">
        <v>8</v>
      </c>
      <c r="R130" s="14">
        <v>4</v>
      </c>
      <c r="S130" s="14">
        <v>6</v>
      </c>
      <c r="T130" s="14">
        <f t="shared" si="9"/>
        <v>60.494110795035326</v>
      </c>
      <c r="V130" s="15">
        <f t="shared" si="6"/>
        <v>0.37516155282178931</v>
      </c>
      <c r="W130" s="15">
        <f t="shared" si="7"/>
        <v>0.35407375507841965</v>
      </c>
      <c r="Y130" s="15">
        <f t="shared" si="8"/>
        <v>0.37825107570731364</v>
      </c>
    </row>
    <row r="131" spans="1:25" x14ac:dyDescent="0.3">
      <c r="A131" s="5">
        <v>35</v>
      </c>
      <c r="B131" s="5">
        <v>3500</v>
      </c>
      <c r="C131" s="5">
        <v>1067</v>
      </c>
      <c r="D131" s="5" t="s">
        <v>33</v>
      </c>
      <c r="E131" s="5" t="s">
        <v>34</v>
      </c>
      <c r="F131" s="13">
        <v>123</v>
      </c>
      <c r="G131" s="13" t="s">
        <v>160</v>
      </c>
      <c r="H131" s="13">
        <v>1000</v>
      </c>
      <c r="I131" s="13">
        <v>565</v>
      </c>
      <c r="J131" s="13">
        <v>315</v>
      </c>
      <c r="K131" s="13">
        <v>110</v>
      </c>
      <c r="L131" s="13">
        <v>10</v>
      </c>
      <c r="M131" s="13">
        <f t="shared" si="5"/>
        <v>1000</v>
      </c>
      <c r="N131" s="14">
        <v>23</v>
      </c>
      <c r="O131" s="14">
        <v>9.432857226076294</v>
      </c>
      <c r="P131" s="14">
        <v>5</v>
      </c>
      <c r="Q131" s="14">
        <v>7.5</v>
      </c>
      <c r="R131" s="14">
        <v>2.5</v>
      </c>
      <c r="S131" s="14">
        <v>5</v>
      </c>
      <c r="T131" s="14">
        <f t="shared" si="9"/>
        <v>52.432857226076294</v>
      </c>
      <c r="V131" s="15">
        <f t="shared" si="6"/>
        <v>0.30582015647354788</v>
      </c>
      <c r="W131" s="15">
        <f t="shared" si="7"/>
        <v>0.37627276602668985</v>
      </c>
      <c r="Y131" s="15">
        <f t="shared" si="8"/>
        <v>0.31372874219805358</v>
      </c>
    </row>
    <row r="132" spans="1:25" x14ac:dyDescent="0.3">
      <c r="A132" s="5">
        <v>35</v>
      </c>
      <c r="B132" s="5">
        <v>3500</v>
      </c>
      <c r="C132" s="5">
        <v>1068</v>
      </c>
      <c r="D132" s="5" t="s">
        <v>33</v>
      </c>
      <c r="E132" s="5" t="s">
        <v>34</v>
      </c>
      <c r="F132" s="13">
        <v>124</v>
      </c>
      <c r="G132" s="13" t="s">
        <v>161</v>
      </c>
      <c r="H132" s="13">
        <v>1403</v>
      </c>
      <c r="I132" s="13">
        <v>809</v>
      </c>
      <c r="J132" s="13"/>
      <c r="K132" s="13">
        <v>468</v>
      </c>
      <c r="L132" s="13">
        <v>126</v>
      </c>
      <c r="M132" s="13">
        <f t="shared" si="5"/>
        <v>1403</v>
      </c>
      <c r="N132" s="14">
        <v>18.739999999999998</v>
      </c>
      <c r="O132" s="14">
        <v>8.4660677439348024</v>
      </c>
      <c r="P132" s="14">
        <v>7</v>
      </c>
      <c r="Q132" s="14">
        <v>12.63</v>
      </c>
      <c r="R132" s="14">
        <v>3.5</v>
      </c>
      <c r="S132" s="14">
        <v>5</v>
      </c>
      <c r="T132" s="14">
        <f t="shared" si="9"/>
        <v>55.336067743934805</v>
      </c>
      <c r="V132" s="15">
        <f t="shared" si="6"/>
        <v>0.34959525367117145</v>
      </c>
      <c r="W132" s="15">
        <f t="shared" si="7"/>
        <v>0.47380423167634095</v>
      </c>
      <c r="Y132" s="15">
        <f t="shared" si="8"/>
        <v>0.46453319039742313</v>
      </c>
    </row>
    <row r="133" spans="1:25" x14ac:dyDescent="0.3">
      <c r="A133" s="5">
        <v>35</v>
      </c>
      <c r="B133" s="5">
        <v>3500</v>
      </c>
      <c r="C133" s="5">
        <v>1069</v>
      </c>
      <c r="D133" s="5" t="s">
        <v>33</v>
      </c>
      <c r="E133" s="5" t="s">
        <v>34</v>
      </c>
      <c r="F133" s="13">
        <v>125</v>
      </c>
      <c r="G133" s="13" t="s">
        <v>162</v>
      </c>
      <c r="H133" s="13">
        <v>1370</v>
      </c>
      <c r="I133" s="13">
        <v>885</v>
      </c>
      <c r="J133" s="13"/>
      <c r="K133" s="13">
        <v>398</v>
      </c>
      <c r="L133" s="13">
        <v>87</v>
      </c>
      <c r="M133" s="13">
        <f t="shared" si="5"/>
        <v>1370</v>
      </c>
      <c r="N133" s="14">
        <v>34</v>
      </c>
      <c r="O133" s="14">
        <v>9.0554903336482848</v>
      </c>
      <c r="P133" s="14">
        <v>7</v>
      </c>
      <c r="Q133" s="14">
        <v>12.63</v>
      </c>
      <c r="R133" s="14">
        <v>3.5</v>
      </c>
      <c r="S133" s="14">
        <v>5</v>
      </c>
      <c r="T133" s="14">
        <f t="shared" si="9"/>
        <v>71.185490333648289</v>
      </c>
      <c r="V133" s="15">
        <f t="shared" si="6"/>
        <v>0.61935229950164605</v>
      </c>
      <c r="W133" s="15">
        <f t="shared" si="7"/>
        <v>0.49487106716999946</v>
      </c>
      <c r="Y133" s="15">
        <f t="shared" si="8"/>
        <v>0.58352952082893439</v>
      </c>
    </row>
    <row r="134" spans="1:25" x14ac:dyDescent="0.3">
      <c r="A134" s="5">
        <v>35</v>
      </c>
      <c r="B134" s="5">
        <v>3500</v>
      </c>
      <c r="C134" s="5">
        <v>1070</v>
      </c>
      <c r="D134" s="5" t="s">
        <v>33</v>
      </c>
      <c r="E134" s="5" t="s">
        <v>34</v>
      </c>
      <c r="F134" s="13">
        <v>126</v>
      </c>
      <c r="G134" s="13" t="s">
        <v>163</v>
      </c>
      <c r="H134" s="13">
        <v>1787</v>
      </c>
      <c r="I134" s="13">
        <v>1050</v>
      </c>
      <c r="J134" s="13">
        <v>302</v>
      </c>
      <c r="K134" s="13">
        <v>416</v>
      </c>
      <c r="L134" s="13">
        <v>19</v>
      </c>
      <c r="M134" s="13">
        <f t="shared" si="5"/>
        <v>1787</v>
      </c>
      <c r="N134" s="14">
        <v>27</v>
      </c>
      <c r="O134" s="14">
        <v>9.7049405691725816</v>
      </c>
      <c r="P134" s="14">
        <v>4</v>
      </c>
      <c r="Q134" s="14">
        <v>7.5</v>
      </c>
      <c r="R134" s="14">
        <v>2.5</v>
      </c>
      <c r="S134" s="14">
        <v>5</v>
      </c>
      <c r="T134" s="14">
        <f t="shared" si="9"/>
        <v>55.704940569172578</v>
      </c>
      <c r="V134" s="15">
        <f t="shared" si="6"/>
        <v>0.64154420563879178</v>
      </c>
      <c r="W134" s="15">
        <f t="shared" si="7"/>
        <v>0.6917942653579453</v>
      </c>
      <c r="Y134" s="15">
        <f t="shared" si="8"/>
        <v>0.5956196974600988</v>
      </c>
    </row>
    <row r="135" spans="1:25" x14ac:dyDescent="0.3">
      <c r="A135" s="5">
        <v>35</v>
      </c>
      <c r="B135" s="5">
        <v>3500</v>
      </c>
      <c r="C135" s="5">
        <v>1071</v>
      </c>
      <c r="D135" s="5" t="s">
        <v>33</v>
      </c>
      <c r="E135" s="5" t="s">
        <v>34</v>
      </c>
      <c r="F135" s="13">
        <v>127</v>
      </c>
      <c r="G135" s="13" t="s">
        <v>164</v>
      </c>
      <c r="H135" s="13">
        <v>1096</v>
      </c>
      <c r="I135" s="13">
        <v>612</v>
      </c>
      <c r="J135" s="13">
        <v>245</v>
      </c>
      <c r="K135" s="13">
        <v>199</v>
      </c>
      <c r="L135" s="13">
        <v>40</v>
      </c>
      <c r="M135" s="13">
        <f t="shared" ref="M135:M188" si="10">SUM(I135:L135)</f>
        <v>1096</v>
      </c>
      <c r="N135" s="14">
        <v>26</v>
      </c>
      <c r="O135" s="14">
        <v>9.1114325468457746</v>
      </c>
      <c r="P135" s="14">
        <v>4</v>
      </c>
      <c r="Q135" s="14">
        <v>7.5</v>
      </c>
      <c r="R135" s="14">
        <v>2.5</v>
      </c>
      <c r="S135" s="14">
        <v>5</v>
      </c>
      <c r="T135" s="14">
        <f t="shared" si="9"/>
        <v>54.111432546845776</v>
      </c>
      <c r="V135" s="15">
        <f t="shared" ref="V135:V188" si="11">(((N135/45)*100)*H135)/$H$190</f>
        <v>0.37889787734218344</v>
      </c>
      <c r="W135" s="15">
        <f t="shared" ref="W135:W188" si="12">(((O135/15)*100)*H135)/$H$190</f>
        <v>0.39834259056304033</v>
      </c>
      <c r="Y135" s="15">
        <f t="shared" ref="Y135:Y188" si="13">(T135*H135)/$H$190</f>
        <v>0.35485454305288744</v>
      </c>
    </row>
    <row r="136" spans="1:25" x14ac:dyDescent="0.3">
      <c r="A136" s="5">
        <v>35</v>
      </c>
      <c r="B136" s="5">
        <v>3500</v>
      </c>
      <c r="C136" s="5">
        <v>1072</v>
      </c>
      <c r="D136" s="5" t="s">
        <v>33</v>
      </c>
      <c r="E136" s="5" t="s">
        <v>34</v>
      </c>
      <c r="F136" s="13">
        <v>128</v>
      </c>
      <c r="G136" s="13" t="s">
        <v>165</v>
      </c>
      <c r="H136" s="13">
        <v>1727</v>
      </c>
      <c r="I136" s="13">
        <v>980</v>
      </c>
      <c r="J136" s="13">
        <v>195</v>
      </c>
      <c r="K136" s="13">
        <v>505</v>
      </c>
      <c r="L136" s="13">
        <v>47</v>
      </c>
      <c r="M136" s="13">
        <f t="shared" si="10"/>
        <v>1727</v>
      </c>
      <c r="N136" s="14">
        <v>20</v>
      </c>
      <c r="O136" s="14">
        <v>9.3138390272148239</v>
      </c>
      <c r="P136" s="14">
        <v>7</v>
      </c>
      <c r="Q136" s="14">
        <v>12.33</v>
      </c>
      <c r="R136" s="14">
        <v>3.5</v>
      </c>
      <c r="S136" s="14">
        <v>5</v>
      </c>
      <c r="T136" s="14">
        <f t="shared" ref="T136:T188" si="14">SUM(N136:S136)</f>
        <v>57.143839027214824</v>
      </c>
      <c r="V136" s="15">
        <f t="shared" si="11"/>
        <v>0.45926209585201488</v>
      </c>
      <c r="W136" s="15">
        <f t="shared" si="12"/>
        <v>0.6416239848100459</v>
      </c>
      <c r="Y136" s="15">
        <f t="shared" si="13"/>
        <v>0.59048998372504913</v>
      </c>
    </row>
    <row r="137" spans="1:25" x14ac:dyDescent="0.3">
      <c r="A137" s="5">
        <v>35</v>
      </c>
      <c r="B137" s="5">
        <v>3500</v>
      </c>
      <c r="C137" s="5">
        <v>1128</v>
      </c>
      <c r="D137" s="5" t="s">
        <v>33</v>
      </c>
      <c r="E137" s="5" t="s">
        <v>34</v>
      </c>
      <c r="F137" s="13">
        <v>129</v>
      </c>
      <c r="G137" s="13" t="s">
        <v>166</v>
      </c>
      <c r="H137" s="13">
        <v>1341</v>
      </c>
      <c r="I137" s="13">
        <v>1060</v>
      </c>
      <c r="J137" s="13"/>
      <c r="K137" s="13">
        <v>256</v>
      </c>
      <c r="L137" s="13">
        <v>25</v>
      </c>
      <c r="M137" s="13">
        <f t="shared" si="10"/>
        <v>1341</v>
      </c>
      <c r="N137" s="14">
        <v>15.57</v>
      </c>
      <c r="O137" s="14">
        <v>9.0223416309208222</v>
      </c>
      <c r="P137" s="14">
        <v>7</v>
      </c>
      <c r="Q137" s="14">
        <v>12.63</v>
      </c>
      <c r="R137" s="14">
        <v>3.5</v>
      </c>
      <c r="S137" s="14">
        <v>5</v>
      </c>
      <c r="T137" s="14">
        <f t="shared" si="14"/>
        <v>52.722341630920823</v>
      </c>
      <c r="V137" s="15">
        <f t="shared" si="11"/>
        <v>0.27762313915083048</v>
      </c>
      <c r="W137" s="15">
        <f t="shared" si="12"/>
        <v>0.48262250598602358</v>
      </c>
      <c r="Y137" s="15">
        <f t="shared" si="13"/>
        <v>0.42303300540343225</v>
      </c>
    </row>
    <row r="138" spans="1:25" x14ac:dyDescent="0.3">
      <c r="A138" s="5">
        <v>35</v>
      </c>
      <c r="B138" s="5">
        <v>3500</v>
      </c>
      <c r="C138" s="5">
        <v>122204</v>
      </c>
      <c r="D138" s="5" t="s">
        <v>33</v>
      </c>
      <c r="E138" s="5" t="s">
        <v>34</v>
      </c>
      <c r="F138" s="13">
        <v>130</v>
      </c>
      <c r="G138" s="13" t="s">
        <v>167</v>
      </c>
      <c r="H138" s="13">
        <v>1046</v>
      </c>
      <c r="I138" s="13">
        <v>756</v>
      </c>
      <c r="J138" s="13"/>
      <c r="K138" s="13">
        <v>269</v>
      </c>
      <c r="L138" s="13">
        <v>21</v>
      </c>
      <c r="M138" s="13">
        <f t="shared" si="10"/>
        <v>1046</v>
      </c>
      <c r="N138" s="14">
        <v>24</v>
      </c>
      <c r="O138" s="14">
        <v>11.823179451797564</v>
      </c>
      <c r="P138" s="14">
        <v>6.5</v>
      </c>
      <c r="Q138" s="14">
        <v>7.5</v>
      </c>
      <c r="R138" s="14">
        <v>4.3499999999999996</v>
      </c>
      <c r="S138" s="14">
        <v>6.2</v>
      </c>
      <c r="T138" s="14">
        <f t="shared" si="14"/>
        <v>60.373179451797569</v>
      </c>
      <c r="V138" s="15">
        <f t="shared" si="11"/>
        <v>0.33379605252660638</v>
      </c>
      <c r="W138" s="15">
        <f t="shared" si="12"/>
        <v>0.4933163286654641</v>
      </c>
      <c r="Y138" s="15">
        <f t="shared" si="13"/>
        <v>0.377856168365446</v>
      </c>
    </row>
    <row r="139" spans="1:25" x14ac:dyDescent="0.3">
      <c r="A139" s="5">
        <v>35</v>
      </c>
      <c r="B139" s="5">
        <v>3500</v>
      </c>
      <c r="C139" s="5">
        <v>1125</v>
      </c>
      <c r="D139" s="5" t="s">
        <v>33</v>
      </c>
      <c r="E139" s="5" t="s">
        <v>34</v>
      </c>
      <c r="F139" s="13">
        <v>131</v>
      </c>
      <c r="G139" s="13" t="s">
        <v>168</v>
      </c>
      <c r="H139" s="13">
        <v>1921</v>
      </c>
      <c r="I139" s="13">
        <v>1402</v>
      </c>
      <c r="J139" s="13">
        <v>264</v>
      </c>
      <c r="K139" s="13">
        <v>246</v>
      </c>
      <c r="L139" s="13">
        <v>9</v>
      </c>
      <c r="M139" s="13">
        <f t="shared" si="10"/>
        <v>1921</v>
      </c>
      <c r="N139" s="14">
        <v>19</v>
      </c>
      <c r="O139" s="14">
        <v>9.7960531056065889</v>
      </c>
      <c r="P139" s="14">
        <v>7</v>
      </c>
      <c r="Q139" s="14">
        <v>12.63</v>
      </c>
      <c r="R139" s="14">
        <v>3.5</v>
      </c>
      <c r="S139" s="14">
        <v>5</v>
      </c>
      <c r="T139" s="14">
        <f t="shared" si="14"/>
        <v>56.926053105606591</v>
      </c>
      <c r="V139" s="15">
        <f t="shared" si="11"/>
        <v>0.48530999526643587</v>
      </c>
      <c r="W139" s="15">
        <f t="shared" si="12"/>
        <v>0.75065091889131907</v>
      </c>
      <c r="Y139" s="15">
        <f t="shared" si="13"/>
        <v>0.65431853439202448</v>
      </c>
    </row>
    <row r="140" spans="1:25" x14ac:dyDescent="0.3">
      <c r="A140" s="5">
        <v>35</v>
      </c>
      <c r="B140" s="5">
        <v>3500</v>
      </c>
      <c r="C140" s="5">
        <v>1126</v>
      </c>
      <c r="D140" s="5" t="s">
        <v>33</v>
      </c>
      <c r="E140" s="5" t="s">
        <v>34</v>
      </c>
      <c r="F140" s="13">
        <v>132</v>
      </c>
      <c r="G140" s="13" t="s">
        <v>169</v>
      </c>
      <c r="H140" s="13">
        <v>1593</v>
      </c>
      <c r="I140" s="13">
        <v>1019</v>
      </c>
      <c r="J140" s="13">
        <v>126</v>
      </c>
      <c r="K140" s="13">
        <v>332</v>
      </c>
      <c r="L140" s="13">
        <v>116</v>
      </c>
      <c r="M140" s="13">
        <f t="shared" si="10"/>
        <v>1593</v>
      </c>
      <c r="N140" s="14">
        <v>17.09</v>
      </c>
      <c r="O140" s="14">
        <v>9.6050037138840434</v>
      </c>
      <c r="P140" s="14">
        <v>6.8</v>
      </c>
      <c r="Q140" s="14">
        <v>12.63</v>
      </c>
      <c r="R140" s="14">
        <v>3.5</v>
      </c>
      <c r="S140" s="14">
        <v>7.2</v>
      </c>
      <c r="T140" s="14">
        <f t="shared" si="14"/>
        <v>56.825003713884044</v>
      </c>
      <c r="V140" s="15">
        <f t="shared" si="11"/>
        <v>0.36198961275190267</v>
      </c>
      <c r="W140" s="15">
        <f t="shared" si="12"/>
        <v>0.61034141162132338</v>
      </c>
      <c r="Y140" s="15">
        <f t="shared" si="13"/>
        <v>0.54163414219171702</v>
      </c>
    </row>
    <row r="141" spans="1:25" x14ac:dyDescent="0.3">
      <c r="A141" s="5">
        <v>35</v>
      </c>
      <c r="B141" s="5">
        <v>3500</v>
      </c>
      <c r="C141" s="5">
        <v>1127</v>
      </c>
      <c r="D141" s="5" t="s">
        <v>33</v>
      </c>
      <c r="E141" s="5" t="s">
        <v>34</v>
      </c>
      <c r="F141" s="13">
        <v>133</v>
      </c>
      <c r="G141" s="13" t="s">
        <v>170</v>
      </c>
      <c r="H141" s="13">
        <v>1246</v>
      </c>
      <c r="I141" s="13">
        <v>673</v>
      </c>
      <c r="J141" s="13">
        <v>235</v>
      </c>
      <c r="K141" s="13">
        <v>301</v>
      </c>
      <c r="L141" s="13">
        <v>37</v>
      </c>
      <c r="M141" s="13">
        <f t="shared" si="10"/>
        <v>1246</v>
      </c>
      <c r="N141" s="14">
        <v>17</v>
      </c>
      <c r="O141" s="14">
        <v>12.173275852530885</v>
      </c>
      <c r="P141" s="14">
        <v>7</v>
      </c>
      <c r="Q141" s="14">
        <v>12.48</v>
      </c>
      <c r="R141" s="14">
        <v>3.5</v>
      </c>
      <c r="S141" s="14">
        <v>5</v>
      </c>
      <c r="T141" s="14">
        <f t="shared" si="14"/>
        <v>57.153275852530882</v>
      </c>
      <c r="V141" s="15">
        <f t="shared" si="11"/>
        <v>0.28164706758359526</v>
      </c>
      <c r="W141" s="15">
        <f t="shared" si="12"/>
        <v>0.60504131413262019</v>
      </c>
      <c r="Y141" s="15">
        <f t="shared" si="13"/>
        <v>0.42609844976457251</v>
      </c>
    </row>
    <row r="142" spans="1:25" x14ac:dyDescent="0.3">
      <c r="A142" s="5">
        <v>35</v>
      </c>
      <c r="B142" s="5">
        <v>3500</v>
      </c>
      <c r="C142" s="5">
        <v>1129</v>
      </c>
      <c r="D142" s="5" t="s">
        <v>33</v>
      </c>
      <c r="E142" s="5" t="s">
        <v>34</v>
      </c>
      <c r="F142" s="13">
        <v>134</v>
      </c>
      <c r="G142" s="13" t="s">
        <v>171</v>
      </c>
      <c r="H142" s="13">
        <v>1884</v>
      </c>
      <c r="I142" s="13">
        <v>1000</v>
      </c>
      <c r="J142" s="13">
        <v>449</v>
      </c>
      <c r="K142" s="13">
        <v>300</v>
      </c>
      <c r="L142" s="13">
        <v>135</v>
      </c>
      <c r="M142" s="13">
        <f t="shared" si="10"/>
        <v>1884</v>
      </c>
      <c r="N142" s="14">
        <v>34</v>
      </c>
      <c r="O142" s="14">
        <v>12.335042102893318</v>
      </c>
      <c r="P142" s="14">
        <v>7</v>
      </c>
      <c r="Q142" s="14">
        <v>12.63</v>
      </c>
      <c r="R142" s="14">
        <v>3.5</v>
      </c>
      <c r="S142" s="14">
        <v>5</v>
      </c>
      <c r="T142" s="14">
        <f t="shared" si="14"/>
        <v>74.465042102893321</v>
      </c>
      <c r="V142" s="15">
        <f t="shared" si="11"/>
        <v>0.8517224323073731</v>
      </c>
      <c r="W142" s="15">
        <f t="shared" si="12"/>
        <v>0.92700282904324882</v>
      </c>
      <c r="Y142" s="15">
        <f t="shared" si="13"/>
        <v>0.83942929564077251</v>
      </c>
    </row>
    <row r="143" spans="1:25" x14ac:dyDescent="0.3">
      <c r="A143" s="5">
        <v>35</v>
      </c>
      <c r="B143" s="5">
        <v>3500</v>
      </c>
      <c r="C143" s="5">
        <v>1131</v>
      </c>
      <c r="D143" s="5" t="s">
        <v>33</v>
      </c>
      <c r="E143" s="5" t="s">
        <v>34</v>
      </c>
      <c r="F143" s="13">
        <v>135</v>
      </c>
      <c r="G143" s="13" t="s">
        <v>172</v>
      </c>
      <c r="H143" s="13">
        <v>1337</v>
      </c>
      <c r="I143" s="13">
        <v>772</v>
      </c>
      <c r="J143" s="13">
        <v>142</v>
      </c>
      <c r="K143" s="13">
        <v>423</v>
      </c>
      <c r="L143" s="13"/>
      <c r="M143" s="13">
        <f t="shared" si="10"/>
        <v>1337</v>
      </c>
      <c r="N143" s="14">
        <v>20</v>
      </c>
      <c r="O143" s="14">
        <v>10.213163799551236</v>
      </c>
      <c r="P143" s="14">
        <v>7</v>
      </c>
      <c r="Q143" s="14">
        <v>12.33</v>
      </c>
      <c r="R143" s="14">
        <v>3.5</v>
      </c>
      <c r="S143" s="14">
        <v>5</v>
      </c>
      <c r="T143" s="14">
        <f t="shared" si="14"/>
        <v>58.043163799551238</v>
      </c>
      <c r="V143" s="15">
        <f t="shared" si="11"/>
        <v>0.3555491732218552</v>
      </c>
      <c r="W143" s="15">
        <f t="shared" si="12"/>
        <v>0.54469229173647349</v>
      </c>
      <c r="Y143" s="15">
        <f t="shared" si="13"/>
        <v>0.46433697525250112</v>
      </c>
    </row>
    <row r="144" spans="1:25" x14ac:dyDescent="0.3">
      <c r="A144" s="5">
        <v>35</v>
      </c>
      <c r="B144" s="5">
        <v>3500</v>
      </c>
      <c r="C144" s="5">
        <v>122206</v>
      </c>
      <c r="D144" s="5" t="s">
        <v>33</v>
      </c>
      <c r="E144" s="5" t="s">
        <v>34</v>
      </c>
      <c r="F144" s="13">
        <v>136</v>
      </c>
      <c r="G144" s="13" t="s">
        <v>173</v>
      </c>
      <c r="H144" s="13">
        <v>1372</v>
      </c>
      <c r="I144" s="13">
        <v>1015</v>
      </c>
      <c r="J144" s="13"/>
      <c r="K144" s="13">
        <v>274</v>
      </c>
      <c r="L144" s="13">
        <v>83</v>
      </c>
      <c r="M144" s="13">
        <f t="shared" si="10"/>
        <v>1372</v>
      </c>
      <c r="N144" s="14">
        <v>18.739999999999998</v>
      </c>
      <c r="O144" s="14">
        <v>7.9827990092118242</v>
      </c>
      <c r="P144" s="14">
        <v>7</v>
      </c>
      <c r="Q144" s="14">
        <v>12.63</v>
      </c>
      <c r="R144" s="14">
        <v>3.5</v>
      </c>
      <c r="S144" s="14">
        <v>5</v>
      </c>
      <c r="T144" s="14">
        <f t="shared" si="14"/>
        <v>54.852799009211829</v>
      </c>
      <c r="V144" s="15">
        <f t="shared" si="11"/>
        <v>0.34187076837979136</v>
      </c>
      <c r="W144" s="15">
        <f t="shared" si="12"/>
        <v>0.43688670721996009</v>
      </c>
      <c r="Y144" s="15">
        <f t="shared" si="13"/>
        <v>0.45030180604470005</v>
      </c>
    </row>
    <row r="145" spans="1:25" x14ac:dyDescent="0.3">
      <c r="A145" s="5">
        <v>35</v>
      </c>
      <c r="B145" s="5">
        <v>3500</v>
      </c>
      <c r="C145" s="5">
        <v>1132</v>
      </c>
      <c r="D145" s="5" t="s">
        <v>33</v>
      </c>
      <c r="E145" s="5" t="s">
        <v>34</v>
      </c>
      <c r="F145" s="13">
        <v>137</v>
      </c>
      <c r="G145" s="13" t="s">
        <v>174</v>
      </c>
      <c r="H145" s="13">
        <v>1733</v>
      </c>
      <c r="I145" s="13">
        <v>678</v>
      </c>
      <c r="J145" s="13"/>
      <c r="K145" s="13"/>
      <c r="L145" s="13">
        <v>1733</v>
      </c>
      <c r="M145" s="13">
        <f t="shared" si="10"/>
        <v>2411</v>
      </c>
      <c r="N145" s="14">
        <v>29</v>
      </c>
      <c r="O145" s="14">
        <v>9.9998306135134847</v>
      </c>
      <c r="P145" s="14">
        <v>7</v>
      </c>
      <c r="Q145" s="14">
        <v>12.66</v>
      </c>
      <c r="R145" s="14">
        <v>3.8</v>
      </c>
      <c r="S145" s="14">
        <v>7</v>
      </c>
      <c r="T145" s="14">
        <f t="shared" si="14"/>
        <v>69.459830613513475</v>
      </c>
      <c r="V145" s="15">
        <f t="shared" si="11"/>
        <v>0.66824363495178674</v>
      </c>
      <c r="W145" s="15">
        <f t="shared" si="12"/>
        <v>0.69127480945618003</v>
      </c>
      <c r="Y145" s="15">
        <f t="shared" si="13"/>
        <v>0.72024966763928755</v>
      </c>
    </row>
    <row r="146" spans="1:25" x14ac:dyDescent="0.3">
      <c r="A146" s="5">
        <v>35</v>
      </c>
      <c r="B146" s="5">
        <v>3500</v>
      </c>
      <c r="C146" s="5">
        <v>1133</v>
      </c>
      <c r="D146" s="5" t="s">
        <v>33</v>
      </c>
      <c r="E146" s="5" t="s">
        <v>34</v>
      </c>
      <c r="F146" s="13">
        <v>138</v>
      </c>
      <c r="G146" s="13" t="s">
        <v>175</v>
      </c>
      <c r="H146" s="13">
        <v>1347</v>
      </c>
      <c r="I146" s="13"/>
      <c r="J146" s="13">
        <v>485</v>
      </c>
      <c r="K146" s="13"/>
      <c r="L146" s="13">
        <v>1347</v>
      </c>
      <c r="M146" s="13">
        <f t="shared" si="10"/>
        <v>1832</v>
      </c>
      <c r="N146" s="14">
        <v>22.87</v>
      </c>
      <c r="O146" s="14">
        <v>14.349645351121339</v>
      </c>
      <c r="P146" s="14">
        <v>7.21</v>
      </c>
      <c r="Q146" s="14">
        <v>12.63</v>
      </c>
      <c r="R146" s="14">
        <v>3.5</v>
      </c>
      <c r="S146" s="14">
        <v>7</v>
      </c>
      <c r="T146" s="14">
        <f t="shared" si="14"/>
        <v>67.559645351121347</v>
      </c>
      <c r="V146" s="15">
        <f t="shared" si="11"/>
        <v>0.40961139565682197</v>
      </c>
      <c r="W146" s="15">
        <f t="shared" si="12"/>
        <v>0.77102469516220873</v>
      </c>
      <c r="Y146" s="15">
        <f t="shared" si="13"/>
        <v>0.54450985046168476</v>
      </c>
    </row>
    <row r="147" spans="1:25" x14ac:dyDescent="0.3">
      <c r="A147" s="5">
        <v>35</v>
      </c>
      <c r="B147" s="5">
        <v>3500</v>
      </c>
      <c r="C147" s="5">
        <v>1134</v>
      </c>
      <c r="D147" s="5" t="s">
        <v>33</v>
      </c>
      <c r="E147" s="5" t="s">
        <v>34</v>
      </c>
      <c r="F147" s="13">
        <v>139</v>
      </c>
      <c r="G147" s="13" t="s">
        <v>176</v>
      </c>
      <c r="H147" s="13">
        <v>1144</v>
      </c>
      <c r="I147" s="13"/>
      <c r="J147" s="13">
        <v>365</v>
      </c>
      <c r="K147" s="13"/>
      <c r="L147" s="13">
        <v>1144</v>
      </c>
      <c r="M147" s="13">
        <f t="shared" si="10"/>
        <v>1509</v>
      </c>
      <c r="N147" s="14">
        <v>19.059999999999999</v>
      </c>
      <c r="O147" s="14">
        <v>9.9982288194109046</v>
      </c>
      <c r="P147" s="14">
        <v>7</v>
      </c>
      <c r="Q147" s="14">
        <v>12.66</v>
      </c>
      <c r="R147" s="14">
        <v>3.8</v>
      </c>
      <c r="S147" s="14">
        <v>7</v>
      </c>
      <c r="T147" s="14">
        <f t="shared" si="14"/>
        <v>59.518228819410893</v>
      </c>
      <c r="V147" s="15">
        <f t="shared" si="11"/>
        <v>0.28992601811519048</v>
      </c>
      <c r="W147" s="15">
        <f t="shared" si="12"/>
        <v>0.4562560340739264</v>
      </c>
      <c r="Y147" s="15">
        <f t="shared" si="13"/>
        <v>0.40740542440169253</v>
      </c>
    </row>
    <row r="148" spans="1:25" x14ac:dyDescent="0.3">
      <c r="A148" s="5">
        <v>35</v>
      </c>
      <c r="B148" s="5">
        <v>3500</v>
      </c>
      <c r="C148" s="5">
        <v>1135</v>
      </c>
      <c r="D148" s="5" t="s">
        <v>33</v>
      </c>
      <c r="E148" s="5" t="s">
        <v>34</v>
      </c>
      <c r="F148" s="13">
        <v>140</v>
      </c>
      <c r="G148" s="13" t="s">
        <v>177</v>
      </c>
      <c r="H148" s="13">
        <v>2522</v>
      </c>
      <c r="I148" s="13">
        <v>1515</v>
      </c>
      <c r="J148" s="13">
        <v>851</v>
      </c>
      <c r="K148" s="13">
        <v>156</v>
      </c>
      <c r="L148" s="13"/>
      <c r="M148" s="13">
        <f t="shared" si="10"/>
        <v>2522</v>
      </c>
      <c r="N148" s="14">
        <v>25.75</v>
      </c>
      <c r="O148" s="14">
        <v>9.3227971085144095</v>
      </c>
      <c r="P148" s="14">
        <v>4</v>
      </c>
      <c r="Q148" s="14">
        <v>7.5</v>
      </c>
      <c r="R148" s="14">
        <v>4.625</v>
      </c>
      <c r="S148" s="14">
        <v>6.5500000000000007</v>
      </c>
      <c r="T148" s="14">
        <f t="shared" si="14"/>
        <v>57.747797108514405</v>
      </c>
      <c r="V148" s="15">
        <f t="shared" si="11"/>
        <v>0.86349650833160474</v>
      </c>
      <c r="W148" s="15">
        <f t="shared" si="12"/>
        <v>0.93788769915567072</v>
      </c>
      <c r="Y148" s="16">
        <f t="shared" si="13"/>
        <v>0.87142755437552843</v>
      </c>
    </row>
    <row r="149" spans="1:25" x14ac:dyDescent="0.3">
      <c r="A149" s="5">
        <v>35</v>
      </c>
      <c r="B149" s="5">
        <v>3500</v>
      </c>
      <c r="C149" s="5">
        <v>1136</v>
      </c>
      <c r="D149" s="5" t="s">
        <v>33</v>
      </c>
      <c r="E149" s="5" t="s">
        <v>34</v>
      </c>
      <c r="F149" s="13">
        <v>141</v>
      </c>
      <c r="G149" s="13" t="s">
        <v>178</v>
      </c>
      <c r="H149" s="13">
        <v>1229</v>
      </c>
      <c r="I149" s="13">
        <v>1024</v>
      </c>
      <c r="J149" s="13">
        <v>205</v>
      </c>
      <c r="K149" s="13"/>
      <c r="L149" s="13"/>
      <c r="M149" s="13">
        <f t="shared" si="10"/>
        <v>1229</v>
      </c>
      <c r="N149" s="14">
        <v>25.48</v>
      </c>
      <c r="O149" s="14">
        <v>14.349645351121339</v>
      </c>
      <c r="P149" s="14">
        <v>5.1833333333333336</v>
      </c>
      <c r="Q149" s="14">
        <v>7.5</v>
      </c>
      <c r="R149" s="14">
        <v>4.6500000000000004</v>
      </c>
      <c r="S149" s="14">
        <v>6.9499999999999993</v>
      </c>
      <c r="T149" s="14">
        <f t="shared" si="14"/>
        <v>64.112978684454674</v>
      </c>
      <c r="V149" s="15">
        <f t="shared" si="11"/>
        <v>0.41637972758072322</v>
      </c>
      <c r="W149" s="15">
        <f t="shared" si="12"/>
        <v>0.70348132914205985</v>
      </c>
      <c r="Y149" s="15">
        <f t="shared" si="13"/>
        <v>0.4714640922119262</v>
      </c>
    </row>
    <row r="150" spans="1:25" x14ac:dyDescent="0.3">
      <c r="A150" s="5">
        <v>35</v>
      </c>
      <c r="B150" s="5">
        <v>3500</v>
      </c>
      <c r="C150" s="5">
        <v>1137</v>
      </c>
      <c r="D150" s="5" t="s">
        <v>33</v>
      </c>
      <c r="E150" s="5" t="s">
        <v>34</v>
      </c>
      <c r="F150" s="13">
        <v>142</v>
      </c>
      <c r="G150" s="13" t="s">
        <v>179</v>
      </c>
      <c r="H150" s="13">
        <v>1475</v>
      </c>
      <c r="I150" s="13">
        <v>882</v>
      </c>
      <c r="J150" s="13">
        <v>388</v>
      </c>
      <c r="K150" s="13">
        <v>205</v>
      </c>
      <c r="L150" s="13"/>
      <c r="M150" s="13">
        <f t="shared" si="10"/>
        <v>1475</v>
      </c>
      <c r="N150" s="14">
        <v>10.81</v>
      </c>
      <c r="O150" s="14">
        <v>11.092910821445777</v>
      </c>
      <c r="P150" s="14">
        <v>7.21</v>
      </c>
      <c r="Q150" s="14">
        <v>12.63</v>
      </c>
      <c r="R150" s="14">
        <v>3.5</v>
      </c>
      <c r="S150" s="14">
        <v>7.76</v>
      </c>
      <c r="T150" s="14">
        <f t="shared" si="14"/>
        <v>53.002910821445781</v>
      </c>
      <c r="V150" s="15">
        <f t="shared" si="11"/>
        <v>0.2120098234752871</v>
      </c>
      <c r="W150" s="15">
        <f t="shared" si="12"/>
        <v>0.65267513369523256</v>
      </c>
      <c r="Y150" s="15">
        <f t="shared" si="13"/>
        <v>0.46778094311924107</v>
      </c>
    </row>
    <row r="151" spans="1:25" x14ac:dyDescent="0.3">
      <c r="A151" s="5">
        <v>35</v>
      </c>
      <c r="B151" s="5">
        <v>3500</v>
      </c>
      <c r="C151" s="5">
        <v>1138</v>
      </c>
      <c r="D151" s="5" t="s">
        <v>33</v>
      </c>
      <c r="E151" s="5" t="s">
        <v>34</v>
      </c>
      <c r="F151" s="13">
        <v>143</v>
      </c>
      <c r="G151" s="13" t="s">
        <v>180</v>
      </c>
      <c r="H151" s="13">
        <v>1292</v>
      </c>
      <c r="I151" s="13">
        <v>877</v>
      </c>
      <c r="J151" s="13">
        <v>415</v>
      </c>
      <c r="K151" s="13"/>
      <c r="L151" s="13"/>
      <c r="M151" s="13">
        <f t="shared" si="10"/>
        <v>1292</v>
      </c>
      <c r="N151" s="14">
        <v>35.387637698898409</v>
      </c>
      <c r="O151" s="14">
        <v>11.812072278245674</v>
      </c>
      <c r="P151" s="14">
        <v>4</v>
      </c>
      <c r="Q151" s="14">
        <v>7.5</v>
      </c>
      <c r="R151" s="14">
        <v>2.5</v>
      </c>
      <c r="S151" s="14">
        <v>5</v>
      </c>
      <c r="T151" s="14">
        <f t="shared" si="14"/>
        <v>66.199709977144082</v>
      </c>
      <c r="V151" s="15">
        <f t="shared" si="11"/>
        <v>0.60792829324399045</v>
      </c>
      <c r="W151" s="15">
        <f t="shared" si="12"/>
        <v>0.60876283979917245</v>
      </c>
      <c r="Y151" s="15">
        <f t="shared" si="13"/>
        <v>0.51176359012535388</v>
      </c>
    </row>
    <row r="152" spans="1:25" x14ac:dyDescent="0.3">
      <c r="A152" s="5">
        <v>35</v>
      </c>
      <c r="B152" s="5">
        <v>3500</v>
      </c>
      <c r="C152" s="5">
        <v>1139</v>
      </c>
      <c r="D152" s="5" t="s">
        <v>33</v>
      </c>
      <c r="E152" s="5" t="s">
        <v>34</v>
      </c>
      <c r="F152" s="13">
        <v>144</v>
      </c>
      <c r="G152" s="13" t="s">
        <v>181</v>
      </c>
      <c r="H152" s="13">
        <v>1274</v>
      </c>
      <c r="I152" s="13">
        <v>816</v>
      </c>
      <c r="J152" s="13"/>
      <c r="K152" s="13">
        <v>387</v>
      </c>
      <c r="L152" s="13">
        <v>71</v>
      </c>
      <c r="M152" s="13">
        <f t="shared" si="10"/>
        <v>1274</v>
      </c>
      <c r="N152" s="14">
        <v>22.68</v>
      </c>
      <c r="O152" s="14">
        <v>9.9414153478675278</v>
      </c>
      <c r="P152" s="14">
        <v>7</v>
      </c>
      <c r="Q152" s="14">
        <v>10.5</v>
      </c>
      <c r="R152" s="14">
        <v>3.5</v>
      </c>
      <c r="S152" s="14">
        <v>7.23</v>
      </c>
      <c r="T152" s="14">
        <f t="shared" si="14"/>
        <v>60.85141534786753</v>
      </c>
      <c r="V152" s="15">
        <f t="shared" si="11"/>
        <v>0.38419415059116363</v>
      </c>
      <c r="W152" s="15">
        <f t="shared" si="12"/>
        <v>0.5052160879957569</v>
      </c>
      <c r="Y152" s="15">
        <f t="shared" si="13"/>
        <v>0.46386424269531873</v>
      </c>
    </row>
    <row r="153" spans="1:25" x14ac:dyDescent="0.3">
      <c r="A153" s="5">
        <v>35</v>
      </c>
      <c r="B153" s="5">
        <v>3500</v>
      </c>
      <c r="C153" s="5">
        <v>1140</v>
      </c>
      <c r="D153" s="5" t="s">
        <v>33</v>
      </c>
      <c r="E153" s="5" t="s">
        <v>34</v>
      </c>
      <c r="F153" s="13">
        <v>145</v>
      </c>
      <c r="G153" s="13" t="s">
        <v>182</v>
      </c>
      <c r="H153" s="13">
        <v>1779</v>
      </c>
      <c r="I153" s="13">
        <v>995</v>
      </c>
      <c r="J153" s="13">
        <v>486</v>
      </c>
      <c r="K153" s="13">
        <v>298</v>
      </c>
      <c r="L153" s="13"/>
      <c r="M153" s="13">
        <f t="shared" si="10"/>
        <v>1779</v>
      </c>
      <c r="N153" s="14">
        <v>16.579999999999998</v>
      </c>
      <c r="O153" s="14">
        <v>10.339083759715539</v>
      </c>
      <c r="P153" s="14">
        <v>7</v>
      </c>
      <c r="Q153" s="14">
        <v>11.31</v>
      </c>
      <c r="R153" s="14">
        <v>3.5</v>
      </c>
      <c r="S153" s="14">
        <v>7.23</v>
      </c>
      <c r="T153" s="14">
        <f t="shared" si="14"/>
        <v>55.95908375971554</v>
      </c>
      <c r="V153" s="15">
        <f t="shared" si="11"/>
        <v>0.39219201250937402</v>
      </c>
      <c r="W153" s="15">
        <f t="shared" si="12"/>
        <v>0.73369832338223562</v>
      </c>
      <c r="Y153" s="15">
        <f t="shared" si="13"/>
        <v>0.5956584773857998</v>
      </c>
    </row>
    <row r="154" spans="1:25" x14ac:dyDescent="0.3">
      <c r="A154" s="5">
        <v>35</v>
      </c>
      <c r="B154" s="5">
        <v>3500</v>
      </c>
      <c r="C154" s="5">
        <v>1141</v>
      </c>
      <c r="D154" s="5" t="s">
        <v>33</v>
      </c>
      <c r="E154" s="5" t="s">
        <v>34</v>
      </c>
      <c r="F154" s="13">
        <v>146</v>
      </c>
      <c r="G154" s="13" t="s">
        <v>183</v>
      </c>
      <c r="H154" s="13">
        <v>1661</v>
      </c>
      <c r="I154" s="13">
        <v>746</v>
      </c>
      <c r="J154" s="13">
        <v>452</v>
      </c>
      <c r="K154" s="13">
        <v>400</v>
      </c>
      <c r="L154" s="13">
        <v>63</v>
      </c>
      <c r="M154" s="13">
        <f t="shared" si="10"/>
        <v>1661</v>
      </c>
      <c r="N154" s="14">
        <v>17.95</v>
      </c>
      <c r="O154" s="14">
        <v>10.709359511378382</v>
      </c>
      <c r="P154" s="14">
        <v>7</v>
      </c>
      <c r="Q154" s="14">
        <v>10.5</v>
      </c>
      <c r="R154" s="14">
        <v>3.5</v>
      </c>
      <c r="S154" s="14">
        <v>6.4</v>
      </c>
      <c r="T154" s="14">
        <f t="shared" si="14"/>
        <v>56.059359511378382</v>
      </c>
      <c r="V154" s="15">
        <f t="shared" si="11"/>
        <v>0.3964353336630872</v>
      </c>
      <c r="W154" s="15">
        <f t="shared" si="12"/>
        <v>0.70956576789045889</v>
      </c>
      <c r="Y154" s="15">
        <f t="shared" si="13"/>
        <v>0.55714539842754951</v>
      </c>
    </row>
    <row r="155" spans="1:25" x14ac:dyDescent="0.3">
      <c r="A155" s="5">
        <v>35</v>
      </c>
      <c r="B155" s="5">
        <v>3500</v>
      </c>
      <c r="C155" s="5">
        <v>1142</v>
      </c>
      <c r="D155" s="5" t="s">
        <v>33</v>
      </c>
      <c r="E155" s="5" t="s">
        <v>34</v>
      </c>
      <c r="F155" s="13">
        <v>147</v>
      </c>
      <c r="G155" s="13" t="s">
        <v>184</v>
      </c>
      <c r="H155" s="13">
        <v>1044</v>
      </c>
      <c r="I155" s="13">
        <v>657</v>
      </c>
      <c r="J155" s="13"/>
      <c r="K155" s="13">
        <v>387</v>
      </c>
      <c r="L155" s="13"/>
      <c r="M155" s="13">
        <f t="shared" si="10"/>
        <v>1044</v>
      </c>
      <c r="N155" s="14">
        <v>19.78</v>
      </c>
      <c r="O155" s="14">
        <v>12.02989201383717</v>
      </c>
      <c r="P155" s="14">
        <v>8.5</v>
      </c>
      <c r="Q155" s="14">
        <v>12.31</v>
      </c>
      <c r="R155" s="14">
        <v>4.25</v>
      </c>
      <c r="S155" s="14">
        <v>7.4</v>
      </c>
      <c r="T155" s="14">
        <f t="shared" si="14"/>
        <v>64.269892013837179</v>
      </c>
      <c r="V155" s="15">
        <f t="shared" si="11"/>
        <v>0.2745775692882102</v>
      </c>
      <c r="W155" s="15">
        <f t="shared" si="12"/>
        <v>0.50098157350238559</v>
      </c>
      <c r="Y155" s="15">
        <f t="shared" si="13"/>
        <v>0.40147531988922269</v>
      </c>
    </row>
    <row r="156" spans="1:25" x14ac:dyDescent="0.3">
      <c r="A156" s="5">
        <v>35</v>
      </c>
      <c r="B156" s="5">
        <v>3500</v>
      </c>
      <c r="C156" s="5">
        <v>1145</v>
      </c>
      <c r="D156" s="5" t="s">
        <v>33</v>
      </c>
      <c r="E156" s="5" t="s">
        <v>34</v>
      </c>
      <c r="F156" s="13">
        <v>148</v>
      </c>
      <c r="G156" s="13" t="s">
        <v>185</v>
      </c>
      <c r="H156" s="13">
        <v>1476</v>
      </c>
      <c r="I156" s="13"/>
      <c r="J156" s="13"/>
      <c r="K156" s="13">
        <v>1056</v>
      </c>
      <c r="L156" s="13">
        <v>420</v>
      </c>
      <c r="M156" s="13">
        <f t="shared" si="10"/>
        <v>1476</v>
      </c>
      <c r="N156" s="14">
        <v>33</v>
      </c>
      <c r="O156" s="14">
        <v>7.0414362434762596</v>
      </c>
      <c r="P156" s="14">
        <v>4</v>
      </c>
      <c r="Q156" s="14">
        <v>7.5</v>
      </c>
      <c r="R156" s="14">
        <v>2.5</v>
      </c>
      <c r="S156" s="14">
        <v>7</v>
      </c>
      <c r="T156" s="14">
        <f t="shared" si="14"/>
        <v>61.041436243476262</v>
      </c>
      <c r="V156" s="15">
        <f t="shared" si="11"/>
        <v>0.6476473122397205</v>
      </c>
      <c r="W156" s="15">
        <f t="shared" si="12"/>
        <v>0.41457884158134117</v>
      </c>
      <c r="Y156" s="15">
        <f t="shared" si="13"/>
        <v>0.53909075615917712</v>
      </c>
    </row>
    <row r="157" spans="1:25" x14ac:dyDescent="0.3">
      <c r="A157" s="5">
        <v>35</v>
      </c>
      <c r="B157" s="5">
        <v>3500</v>
      </c>
      <c r="C157" s="5">
        <v>1146</v>
      </c>
      <c r="D157" s="5" t="s">
        <v>33</v>
      </c>
      <c r="E157" s="5" t="s">
        <v>34</v>
      </c>
      <c r="F157" s="13">
        <v>149</v>
      </c>
      <c r="G157" s="13" t="s">
        <v>186</v>
      </c>
      <c r="H157" s="13">
        <v>1054</v>
      </c>
      <c r="I157" s="13"/>
      <c r="J157" s="13"/>
      <c r="K157" s="13">
        <v>812</v>
      </c>
      <c r="L157" s="13">
        <v>242</v>
      </c>
      <c r="M157" s="13">
        <f t="shared" si="10"/>
        <v>1054</v>
      </c>
      <c r="N157" s="14">
        <v>38</v>
      </c>
      <c r="O157" s="14">
        <v>9.996206332105702</v>
      </c>
      <c r="P157" s="14">
        <v>4</v>
      </c>
      <c r="Q157" s="14">
        <v>7.5</v>
      </c>
      <c r="R157" s="14">
        <v>2.5</v>
      </c>
      <c r="S157" s="14">
        <v>5</v>
      </c>
      <c r="T157" s="14">
        <f t="shared" si="14"/>
        <v>66.9962063321057</v>
      </c>
      <c r="V157" s="15">
        <f t="shared" si="11"/>
        <v>0.53255256117732774</v>
      </c>
      <c r="W157" s="15">
        <f t="shared" si="12"/>
        <v>0.42027673296473012</v>
      </c>
      <c r="Y157" s="15">
        <f t="shared" si="13"/>
        <v>0.42251448873940578</v>
      </c>
    </row>
    <row r="158" spans="1:25" x14ac:dyDescent="0.3">
      <c r="A158" s="5">
        <v>35</v>
      </c>
      <c r="B158" s="5">
        <v>3500</v>
      </c>
      <c r="C158" s="5">
        <v>1147</v>
      </c>
      <c r="D158" s="5" t="s">
        <v>33</v>
      </c>
      <c r="E158" s="5" t="s">
        <v>34</v>
      </c>
      <c r="F158" s="13">
        <v>150</v>
      </c>
      <c r="G158" s="13" t="s">
        <v>187</v>
      </c>
      <c r="H158" s="13">
        <v>1430</v>
      </c>
      <c r="I158" s="13"/>
      <c r="J158" s="13"/>
      <c r="K158" s="13">
        <v>958</v>
      </c>
      <c r="L158" s="13">
        <v>472</v>
      </c>
      <c r="M158" s="13">
        <f t="shared" si="10"/>
        <v>1430</v>
      </c>
      <c r="N158" s="14">
        <v>39</v>
      </c>
      <c r="O158" s="14">
        <v>8.0322155099118735</v>
      </c>
      <c r="P158" s="14">
        <v>4</v>
      </c>
      <c r="Q158" s="14">
        <v>7.5</v>
      </c>
      <c r="R158" s="14">
        <v>2.5</v>
      </c>
      <c r="S158" s="14">
        <v>5</v>
      </c>
      <c r="T158" s="14">
        <f t="shared" si="14"/>
        <v>66.032215509911879</v>
      </c>
      <c r="V158" s="15">
        <f t="shared" si="11"/>
        <v>0.74154739680564208</v>
      </c>
      <c r="W158" s="15">
        <f t="shared" si="12"/>
        <v>0.45817450015054251</v>
      </c>
      <c r="Y158" s="15">
        <f t="shared" si="13"/>
        <v>0.56499250980789573</v>
      </c>
    </row>
    <row r="159" spans="1:25" x14ac:dyDescent="0.3">
      <c r="A159" s="5">
        <v>35</v>
      </c>
      <c r="B159" s="5">
        <v>3500</v>
      </c>
      <c r="C159" s="5">
        <v>1143</v>
      </c>
      <c r="D159" s="5" t="s">
        <v>33</v>
      </c>
      <c r="E159" s="5" t="s">
        <v>34</v>
      </c>
      <c r="F159" s="13">
        <v>151</v>
      </c>
      <c r="G159" s="13" t="s">
        <v>188</v>
      </c>
      <c r="H159" s="13">
        <v>1185</v>
      </c>
      <c r="I159" s="13">
        <v>115</v>
      </c>
      <c r="J159" s="13">
        <v>196</v>
      </c>
      <c r="K159" s="13">
        <v>542</v>
      </c>
      <c r="L159" s="13">
        <v>332</v>
      </c>
      <c r="M159" s="13">
        <f t="shared" si="10"/>
        <v>1185</v>
      </c>
      <c r="N159" s="14">
        <v>26</v>
      </c>
      <c r="O159" s="14">
        <v>8</v>
      </c>
      <c r="P159" s="14">
        <v>6</v>
      </c>
      <c r="Q159" s="14">
        <v>8</v>
      </c>
      <c r="R159" s="14">
        <v>3</v>
      </c>
      <c r="S159" s="14">
        <v>6</v>
      </c>
      <c r="T159" s="14">
        <f t="shared" si="14"/>
        <v>57</v>
      </c>
      <c r="V159" s="15">
        <f t="shared" si="11"/>
        <v>0.40966604438913085</v>
      </c>
      <c r="W159" s="15">
        <f t="shared" si="12"/>
        <v>0.37815327174381314</v>
      </c>
      <c r="Y159" s="15">
        <f t="shared" si="13"/>
        <v>0.40415130917620029</v>
      </c>
    </row>
    <row r="160" spans="1:25" x14ac:dyDescent="0.3">
      <c r="A160" s="5">
        <v>35</v>
      </c>
      <c r="B160" s="5">
        <v>3500</v>
      </c>
      <c r="C160" s="5">
        <v>1144</v>
      </c>
      <c r="D160" s="5" t="s">
        <v>33</v>
      </c>
      <c r="E160" s="5" t="s">
        <v>34</v>
      </c>
      <c r="F160" s="13">
        <v>152</v>
      </c>
      <c r="G160" s="13" t="s">
        <v>189</v>
      </c>
      <c r="H160" s="13">
        <v>1120</v>
      </c>
      <c r="I160" s="13">
        <v>0</v>
      </c>
      <c r="J160" s="13">
        <v>0</v>
      </c>
      <c r="K160" s="13">
        <v>42.836009381201521</v>
      </c>
      <c r="L160" s="13">
        <v>1077.1639906187986</v>
      </c>
      <c r="M160" s="13">
        <f t="shared" si="10"/>
        <v>1120.0000000000002</v>
      </c>
      <c r="N160" s="13">
        <v>12.44</v>
      </c>
      <c r="O160" s="13">
        <v>14.29</v>
      </c>
      <c r="P160" s="13">
        <v>4.21</v>
      </c>
      <c r="Q160" s="13">
        <v>10.47</v>
      </c>
      <c r="R160" s="13">
        <v>2.1800000000000002</v>
      </c>
      <c r="S160" s="14">
        <v>4.4000000000000004</v>
      </c>
      <c r="T160" s="14">
        <f t="shared" si="14"/>
        <v>47.989999999999995</v>
      </c>
      <c r="V160" s="15">
        <f t="shared" si="11"/>
        <v>0.18525787287454989</v>
      </c>
      <c r="W160" s="15">
        <f t="shared" si="12"/>
        <v>0.63842484004276168</v>
      </c>
      <c r="Y160" s="15">
        <f t="shared" si="13"/>
        <v>0.32160260399214968</v>
      </c>
    </row>
    <row r="161" spans="1:25" x14ac:dyDescent="0.3">
      <c r="F161" s="13"/>
      <c r="G161" s="17" t="s">
        <v>190</v>
      </c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4"/>
      <c r="V161" s="15">
        <f t="shared" si="11"/>
        <v>0</v>
      </c>
      <c r="W161" s="15">
        <f t="shared" si="12"/>
        <v>0</v>
      </c>
      <c r="Y161" s="15">
        <f t="shared" si="13"/>
        <v>0</v>
      </c>
    </row>
    <row r="162" spans="1:25" x14ac:dyDescent="0.3">
      <c r="A162" s="5">
        <v>35</v>
      </c>
      <c r="B162" s="5">
        <v>3500</v>
      </c>
      <c r="C162" s="5">
        <v>1229</v>
      </c>
      <c r="D162" s="5" t="s">
        <v>33</v>
      </c>
      <c r="E162" s="5" t="s">
        <v>34</v>
      </c>
      <c r="F162" s="13">
        <v>153</v>
      </c>
      <c r="G162" s="13" t="s">
        <v>191</v>
      </c>
      <c r="H162" s="13">
        <v>1151</v>
      </c>
      <c r="I162" s="13">
        <v>884</v>
      </c>
      <c r="J162" s="13"/>
      <c r="K162" s="13">
        <v>267</v>
      </c>
      <c r="L162" s="13"/>
      <c r="M162" s="13">
        <f t="shared" si="10"/>
        <v>1151</v>
      </c>
      <c r="N162" s="14">
        <v>36.069767441860463</v>
      </c>
      <c r="O162" s="14">
        <v>7.4729815173868186</v>
      </c>
      <c r="P162" s="14">
        <v>4</v>
      </c>
      <c r="Q162" s="14">
        <v>7.5</v>
      </c>
      <c r="R162" s="14">
        <v>2.5</v>
      </c>
      <c r="S162" s="14">
        <v>5</v>
      </c>
      <c r="T162" s="14">
        <f t="shared" si="14"/>
        <v>62.542748959247284</v>
      </c>
      <c r="V162" s="15">
        <f t="shared" si="11"/>
        <v>0.55202269884401833</v>
      </c>
      <c r="W162" s="15">
        <f t="shared" si="12"/>
        <v>0.34310635068180195</v>
      </c>
      <c r="Y162" s="15">
        <f t="shared" si="13"/>
        <v>0.43072796929355722</v>
      </c>
    </row>
    <row r="163" spans="1:25" x14ac:dyDescent="0.3">
      <c r="A163" s="5">
        <v>35</v>
      </c>
      <c r="B163" s="5">
        <v>3500</v>
      </c>
      <c r="C163" s="5">
        <v>1230</v>
      </c>
      <c r="D163" s="5" t="s">
        <v>33</v>
      </c>
      <c r="E163" s="5" t="s">
        <v>34</v>
      </c>
      <c r="F163" s="13">
        <v>154</v>
      </c>
      <c r="G163" s="13" t="s">
        <v>192</v>
      </c>
      <c r="H163" s="13">
        <v>319</v>
      </c>
      <c r="I163" s="13">
        <v>204</v>
      </c>
      <c r="J163" s="13"/>
      <c r="K163" s="13"/>
      <c r="L163" s="13">
        <v>115</v>
      </c>
      <c r="M163" s="13">
        <f t="shared" si="10"/>
        <v>319</v>
      </c>
      <c r="N163" s="14">
        <v>16.5</v>
      </c>
      <c r="O163" s="14">
        <v>6.1457048091226003</v>
      </c>
      <c r="P163" s="14">
        <v>7</v>
      </c>
      <c r="Q163" s="14">
        <v>10.5</v>
      </c>
      <c r="R163" s="14">
        <v>3.5</v>
      </c>
      <c r="S163" s="14">
        <v>3</v>
      </c>
      <c r="T163" s="14">
        <f t="shared" si="14"/>
        <v>46.645704809122599</v>
      </c>
      <c r="V163" s="15">
        <f t="shared" si="11"/>
        <v>6.9986277982544309E-2</v>
      </c>
      <c r="W163" s="15">
        <f t="shared" si="12"/>
        <v>7.8202728212711584E-2</v>
      </c>
      <c r="Y163" s="15">
        <f t="shared" si="13"/>
        <v>8.9033434458080679E-2</v>
      </c>
    </row>
    <row r="164" spans="1:25" x14ac:dyDescent="0.3">
      <c r="A164" s="5">
        <v>35</v>
      </c>
      <c r="B164" s="5">
        <v>3500</v>
      </c>
      <c r="C164" s="5">
        <v>1231</v>
      </c>
      <c r="D164" s="5" t="s">
        <v>33</v>
      </c>
      <c r="E164" s="5" t="s">
        <v>34</v>
      </c>
      <c r="F164" s="13">
        <v>155</v>
      </c>
      <c r="G164" s="13" t="s">
        <v>193</v>
      </c>
      <c r="H164" s="13">
        <v>309</v>
      </c>
      <c r="I164" s="13">
        <v>309</v>
      </c>
      <c r="J164" s="13"/>
      <c r="K164" s="13"/>
      <c r="L164" s="13"/>
      <c r="M164" s="13">
        <f t="shared" si="10"/>
        <v>309</v>
      </c>
      <c r="N164" s="14">
        <v>35</v>
      </c>
      <c r="O164" s="14">
        <v>11.55181714796468</v>
      </c>
      <c r="P164" s="14">
        <v>7</v>
      </c>
      <c r="Q164" s="14">
        <v>8</v>
      </c>
      <c r="R164" s="14">
        <v>4</v>
      </c>
      <c r="S164" s="14">
        <v>6</v>
      </c>
      <c r="T164" s="14">
        <f t="shared" si="14"/>
        <v>71.551817147964684</v>
      </c>
      <c r="V164" s="15">
        <f t="shared" si="11"/>
        <v>0.14380195618527916</v>
      </c>
      <c r="W164" s="15">
        <f t="shared" si="12"/>
        <v>0.14238633457474056</v>
      </c>
      <c r="Y164" s="15">
        <f t="shared" si="13"/>
        <v>0.13229088781485501</v>
      </c>
    </row>
    <row r="165" spans="1:25" x14ac:dyDescent="0.3">
      <c r="A165" s="5">
        <v>35</v>
      </c>
      <c r="B165" s="5">
        <v>3500</v>
      </c>
      <c r="C165" s="5">
        <v>1232</v>
      </c>
      <c r="D165" s="5" t="s">
        <v>33</v>
      </c>
      <c r="E165" s="5" t="s">
        <v>34</v>
      </c>
      <c r="F165" s="13">
        <v>156</v>
      </c>
      <c r="G165" s="13" t="s">
        <v>194</v>
      </c>
      <c r="H165" s="13">
        <v>350</v>
      </c>
      <c r="I165" s="13">
        <v>248</v>
      </c>
      <c r="J165" s="13"/>
      <c r="K165" s="13">
        <v>98</v>
      </c>
      <c r="L165" s="13">
        <v>4</v>
      </c>
      <c r="M165" s="13">
        <f t="shared" si="10"/>
        <v>350</v>
      </c>
      <c r="N165" s="14">
        <v>22.35</v>
      </c>
      <c r="O165" s="14">
        <v>12.068152793041492</v>
      </c>
      <c r="P165" s="14">
        <v>4.75</v>
      </c>
      <c r="Q165" s="14">
        <v>9.5</v>
      </c>
      <c r="R165" s="14">
        <v>2.5</v>
      </c>
      <c r="S165" s="14">
        <v>4.75</v>
      </c>
      <c r="T165" s="14">
        <f t="shared" si="14"/>
        <v>55.918152793041493</v>
      </c>
      <c r="V165" s="15">
        <f t="shared" si="11"/>
        <v>0.10401209452236211</v>
      </c>
      <c r="W165" s="15">
        <f t="shared" si="12"/>
        <v>0.1684877649691463</v>
      </c>
      <c r="Y165" s="15">
        <f t="shared" si="13"/>
        <v>0.11710397705689367</v>
      </c>
    </row>
    <row r="166" spans="1:25" x14ac:dyDescent="0.3">
      <c r="A166" s="5">
        <v>35</v>
      </c>
      <c r="B166" s="5">
        <v>3500</v>
      </c>
      <c r="C166" s="5">
        <v>1233</v>
      </c>
      <c r="D166" s="5" t="s">
        <v>33</v>
      </c>
      <c r="E166" s="5" t="s">
        <v>34</v>
      </c>
      <c r="F166" s="13">
        <v>157</v>
      </c>
      <c r="G166" s="13" t="s">
        <v>195</v>
      </c>
      <c r="H166" s="13">
        <v>63</v>
      </c>
      <c r="I166" s="13">
        <v>63</v>
      </c>
      <c r="J166" s="13"/>
      <c r="K166" s="13"/>
      <c r="L166" s="13"/>
      <c r="M166" s="13">
        <f t="shared" si="10"/>
        <v>63</v>
      </c>
      <c r="N166" s="14">
        <v>37</v>
      </c>
      <c r="O166" s="14">
        <v>11.636898510139314</v>
      </c>
      <c r="P166" s="14">
        <v>7</v>
      </c>
      <c r="Q166" s="14">
        <v>8</v>
      </c>
      <c r="R166" s="14">
        <v>4</v>
      </c>
      <c r="S166" s="14">
        <v>6</v>
      </c>
      <c r="T166" s="14">
        <f t="shared" si="14"/>
        <v>73.636898510139318</v>
      </c>
      <c r="V166" s="15">
        <f t="shared" si="11"/>
        <v>3.0994208032166955E-2</v>
      </c>
      <c r="W166" s="15">
        <f t="shared" si="12"/>
        <v>2.9244036751822026E-2</v>
      </c>
      <c r="Y166" s="15">
        <f t="shared" si="13"/>
        <v>2.7757913731623531E-2</v>
      </c>
    </row>
    <row r="167" spans="1:25" x14ac:dyDescent="0.3">
      <c r="A167" s="5">
        <v>35</v>
      </c>
      <c r="B167" s="5">
        <v>3500</v>
      </c>
      <c r="C167" s="5">
        <v>1234</v>
      </c>
      <c r="D167" s="5" t="s">
        <v>33</v>
      </c>
      <c r="E167" s="5" t="s">
        <v>34</v>
      </c>
      <c r="F167" s="13">
        <v>158</v>
      </c>
      <c r="G167" s="13" t="s">
        <v>196</v>
      </c>
      <c r="H167" s="13">
        <v>777</v>
      </c>
      <c r="I167" s="13">
        <v>579</v>
      </c>
      <c r="J167" s="13">
        <v>198</v>
      </c>
      <c r="K167" s="13"/>
      <c r="L167" s="13"/>
      <c r="M167" s="13">
        <f t="shared" si="10"/>
        <v>777</v>
      </c>
      <c r="N167" s="14">
        <v>36</v>
      </c>
      <c r="O167" s="14">
        <v>8.783932537150406</v>
      </c>
      <c r="P167" s="14">
        <v>7</v>
      </c>
      <c r="Q167" s="14">
        <v>8</v>
      </c>
      <c r="R167" s="14">
        <v>4</v>
      </c>
      <c r="S167" s="14">
        <v>6</v>
      </c>
      <c r="T167" s="14">
        <f t="shared" si="14"/>
        <v>69.783932537150406</v>
      </c>
      <c r="V167" s="15">
        <f t="shared" si="11"/>
        <v>0.37193049638600356</v>
      </c>
      <c r="W167" s="15">
        <f t="shared" si="12"/>
        <v>0.27225103239695986</v>
      </c>
      <c r="Y167" s="15">
        <f t="shared" si="13"/>
        <v>0.32443465835387164</v>
      </c>
    </row>
    <row r="168" spans="1:25" x14ac:dyDescent="0.3">
      <c r="A168" s="5">
        <v>35</v>
      </c>
      <c r="B168" s="5">
        <v>3500</v>
      </c>
      <c r="C168" s="5">
        <v>1235</v>
      </c>
      <c r="D168" s="5" t="s">
        <v>33</v>
      </c>
      <c r="E168" s="5" t="s">
        <v>34</v>
      </c>
      <c r="F168" s="13">
        <v>159</v>
      </c>
      <c r="G168" s="13" t="s">
        <v>197</v>
      </c>
      <c r="H168" s="13">
        <v>80</v>
      </c>
      <c r="I168" s="13">
        <v>70</v>
      </c>
      <c r="J168" s="13">
        <v>10</v>
      </c>
      <c r="K168" s="13"/>
      <c r="L168" s="13"/>
      <c r="M168" s="13">
        <f t="shared" si="10"/>
        <v>80</v>
      </c>
      <c r="N168" s="14">
        <v>35</v>
      </c>
      <c r="O168" s="14">
        <v>10.004603618354984</v>
      </c>
      <c r="P168" s="14">
        <v>8</v>
      </c>
      <c r="Q168" s="14">
        <v>8</v>
      </c>
      <c r="R168" s="14">
        <v>5</v>
      </c>
      <c r="S168" s="14">
        <v>6</v>
      </c>
      <c r="T168" s="14">
        <f t="shared" si="14"/>
        <v>72.004603618354992</v>
      </c>
      <c r="V168" s="15">
        <f t="shared" si="11"/>
        <v>3.7230279918518877E-2</v>
      </c>
      <c r="W168" s="15">
        <f t="shared" si="12"/>
        <v>3.1926359415872817E-2</v>
      </c>
      <c r="Y168" s="15">
        <f t="shared" si="13"/>
        <v>3.4466805618857399E-2</v>
      </c>
    </row>
    <row r="169" spans="1:25" x14ac:dyDescent="0.3">
      <c r="A169" s="5">
        <v>35</v>
      </c>
      <c r="B169" s="5">
        <v>3500</v>
      </c>
      <c r="C169" s="5">
        <v>1090</v>
      </c>
      <c r="D169" s="5" t="s">
        <v>33</v>
      </c>
      <c r="E169" s="5" t="s">
        <v>34</v>
      </c>
      <c r="F169" s="13">
        <v>160</v>
      </c>
      <c r="G169" s="13" t="s">
        <v>198</v>
      </c>
      <c r="H169" s="13">
        <v>1523</v>
      </c>
      <c r="I169" s="13">
        <v>1223</v>
      </c>
      <c r="J169" s="13">
        <v>300</v>
      </c>
      <c r="K169" s="13"/>
      <c r="L169" s="13"/>
      <c r="M169" s="13">
        <f t="shared" si="10"/>
        <v>1523</v>
      </c>
      <c r="N169" s="14">
        <v>35</v>
      </c>
      <c r="O169" s="14">
        <v>5</v>
      </c>
      <c r="P169" s="14">
        <v>7</v>
      </c>
      <c r="Q169" s="14">
        <v>8</v>
      </c>
      <c r="R169" s="14">
        <v>4</v>
      </c>
      <c r="S169" s="14">
        <v>6</v>
      </c>
      <c r="T169" s="14">
        <f t="shared" si="14"/>
        <v>65</v>
      </c>
      <c r="V169" s="15">
        <f t="shared" si="11"/>
        <v>0.70877145394880303</v>
      </c>
      <c r="W169" s="15">
        <f t="shared" si="12"/>
        <v>0.30375919454948697</v>
      </c>
      <c r="Y169" s="16">
        <f t="shared" si="13"/>
        <v>0.59233042937149971</v>
      </c>
    </row>
    <row r="170" spans="1:25" x14ac:dyDescent="0.3">
      <c r="A170" s="5">
        <v>35</v>
      </c>
      <c r="B170" s="5">
        <v>3500</v>
      </c>
      <c r="C170" s="5">
        <v>1091</v>
      </c>
      <c r="D170" s="5" t="s">
        <v>33</v>
      </c>
      <c r="E170" s="5" t="s">
        <v>34</v>
      </c>
      <c r="F170" s="13">
        <v>161</v>
      </c>
      <c r="G170" s="13" t="s">
        <v>199</v>
      </c>
      <c r="H170" s="13">
        <v>1736</v>
      </c>
      <c r="I170" s="13">
        <v>975</v>
      </c>
      <c r="J170" s="13">
        <v>346</v>
      </c>
      <c r="K170" s="13">
        <v>415</v>
      </c>
      <c r="L170" s="13"/>
      <c r="M170" s="13">
        <f t="shared" si="10"/>
        <v>1736</v>
      </c>
      <c r="N170" s="14">
        <v>23</v>
      </c>
      <c r="O170" s="14">
        <v>6.7676291915288571</v>
      </c>
      <c r="P170" s="14">
        <v>5.25</v>
      </c>
      <c r="Q170" s="14">
        <v>9</v>
      </c>
      <c r="R170" s="14">
        <v>2.5</v>
      </c>
      <c r="S170" s="14">
        <v>5.55</v>
      </c>
      <c r="T170" s="14">
        <f t="shared" si="14"/>
        <v>52.067629191528852</v>
      </c>
      <c r="V170" s="15">
        <f t="shared" si="11"/>
        <v>0.5309037916380791</v>
      </c>
      <c r="W170" s="15">
        <f t="shared" si="12"/>
        <v>0.4686469562847676</v>
      </c>
      <c r="Y170" s="15">
        <f t="shared" si="13"/>
        <v>0.54083938224889949</v>
      </c>
    </row>
    <row r="171" spans="1:25" x14ac:dyDescent="0.3">
      <c r="A171" s="5">
        <v>35</v>
      </c>
      <c r="B171" s="5">
        <v>3500</v>
      </c>
      <c r="C171" s="5">
        <v>1092</v>
      </c>
      <c r="D171" s="5" t="s">
        <v>33</v>
      </c>
      <c r="E171" s="5" t="s">
        <v>34</v>
      </c>
      <c r="F171" s="13">
        <v>162</v>
      </c>
      <c r="G171" s="13" t="s">
        <v>200</v>
      </c>
      <c r="H171" s="13">
        <v>1074</v>
      </c>
      <c r="I171" s="13">
        <v>759</v>
      </c>
      <c r="J171" s="13">
        <v>315</v>
      </c>
      <c r="K171" s="13"/>
      <c r="L171" s="13"/>
      <c r="M171" s="13">
        <f t="shared" si="10"/>
        <v>1074</v>
      </c>
      <c r="N171" s="14">
        <v>37</v>
      </c>
      <c r="O171" s="14">
        <v>9.3271333530965954</v>
      </c>
      <c r="P171" s="14">
        <v>4</v>
      </c>
      <c r="Q171" s="14">
        <v>7.5</v>
      </c>
      <c r="R171" s="14">
        <v>2.5</v>
      </c>
      <c r="S171" s="14">
        <v>5</v>
      </c>
      <c r="T171" s="14">
        <f t="shared" si="14"/>
        <v>65.327133353096599</v>
      </c>
      <c r="V171" s="15">
        <f t="shared" si="11"/>
        <v>0.52837745121503676</v>
      </c>
      <c r="W171" s="15">
        <f t="shared" si="12"/>
        <v>0.39958759039880587</v>
      </c>
      <c r="Y171" s="15">
        <f t="shared" si="13"/>
        <v>0.41980602425222435</v>
      </c>
    </row>
    <row r="172" spans="1:25" x14ac:dyDescent="0.3">
      <c r="A172" s="5">
        <v>35</v>
      </c>
      <c r="B172" s="5">
        <v>3500</v>
      </c>
      <c r="C172" s="5">
        <v>1093</v>
      </c>
      <c r="D172" s="5" t="s">
        <v>33</v>
      </c>
      <c r="E172" s="5" t="s">
        <v>34</v>
      </c>
      <c r="F172" s="13">
        <v>163</v>
      </c>
      <c r="G172" s="13" t="s">
        <v>201</v>
      </c>
      <c r="H172" s="13">
        <v>1074</v>
      </c>
      <c r="I172" s="13">
        <v>620</v>
      </c>
      <c r="J172" s="13"/>
      <c r="K172" s="13">
        <v>395</v>
      </c>
      <c r="L172" s="13">
        <v>59</v>
      </c>
      <c r="M172" s="13">
        <f t="shared" si="10"/>
        <v>1074</v>
      </c>
      <c r="N172" s="14">
        <v>29</v>
      </c>
      <c r="O172" s="14">
        <v>9.9400208127779663</v>
      </c>
      <c r="P172" s="14">
        <v>5.25</v>
      </c>
      <c r="Q172" s="14">
        <v>7.5</v>
      </c>
      <c r="R172" s="14">
        <v>2.5</v>
      </c>
      <c r="S172" s="14">
        <v>5.8</v>
      </c>
      <c r="T172" s="14">
        <f t="shared" si="14"/>
        <v>59.990020812777963</v>
      </c>
      <c r="V172" s="15">
        <f t="shared" si="11"/>
        <v>0.41413367797935313</v>
      </c>
      <c r="W172" s="15">
        <f t="shared" si="12"/>
        <v>0.42584455638486812</v>
      </c>
      <c r="Y172" s="15">
        <f t="shared" si="13"/>
        <v>0.38550860629531575</v>
      </c>
    </row>
    <row r="173" spans="1:25" x14ac:dyDescent="0.3">
      <c r="A173" s="5">
        <v>35</v>
      </c>
      <c r="B173" s="5">
        <v>3500</v>
      </c>
      <c r="C173" s="5">
        <v>1094</v>
      </c>
      <c r="D173" s="5" t="s">
        <v>33</v>
      </c>
      <c r="E173" s="5" t="s">
        <v>34</v>
      </c>
      <c r="F173" s="13">
        <v>164</v>
      </c>
      <c r="G173" s="13" t="s">
        <v>202</v>
      </c>
      <c r="H173" s="13">
        <v>1499</v>
      </c>
      <c r="I173" s="13">
        <v>1192</v>
      </c>
      <c r="J173" s="13"/>
      <c r="K173" s="13">
        <v>286</v>
      </c>
      <c r="L173" s="13">
        <v>21</v>
      </c>
      <c r="M173" s="13">
        <f t="shared" si="10"/>
        <v>1499</v>
      </c>
      <c r="N173" s="14">
        <v>34</v>
      </c>
      <c r="O173" s="14">
        <v>8.5884700885797223</v>
      </c>
      <c r="P173" s="14">
        <v>7</v>
      </c>
      <c r="Q173" s="14">
        <v>7.5</v>
      </c>
      <c r="R173" s="14">
        <v>2.5</v>
      </c>
      <c r="S173" s="14">
        <v>5</v>
      </c>
      <c r="T173" s="14">
        <f t="shared" si="14"/>
        <v>64.588470088579726</v>
      </c>
      <c r="V173" s="15">
        <f t="shared" si="11"/>
        <v>0.67767087368829748</v>
      </c>
      <c r="W173" s="15">
        <f t="shared" si="12"/>
        <v>0.51354317899179092</v>
      </c>
      <c r="Y173" s="15">
        <f t="shared" si="13"/>
        <v>0.57930518322950686</v>
      </c>
    </row>
    <row r="174" spans="1:25" x14ac:dyDescent="0.3">
      <c r="A174" s="5">
        <v>35</v>
      </c>
      <c r="B174" s="5">
        <v>3500</v>
      </c>
      <c r="C174" s="5">
        <v>1095</v>
      </c>
      <c r="D174" s="5" t="s">
        <v>33</v>
      </c>
      <c r="E174" s="5" t="s">
        <v>34</v>
      </c>
      <c r="F174" s="13">
        <v>165</v>
      </c>
      <c r="G174" s="13" t="s">
        <v>203</v>
      </c>
      <c r="H174" s="13">
        <v>2184</v>
      </c>
      <c r="I174" s="13">
        <v>1224</v>
      </c>
      <c r="J174" s="13">
        <v>195</v>
      </c>
      <c r="K174" s="13">
        <v>765</v>
      </c>
      <c r="L174" s="13"/>
      <c r="M174" s="13">
        <f t="shared" si="10"/>
        <v>2184</v>
      </c>
      <c r="N174" s="14">
        <v>17.18</v>
      </c>
      <c r="O174" s="14">
        <v>7.3230547137836846</v>
      </c>
      <c r="P174" s="14">
        <v>8.25</v>
      </c>
      <c r="Q174" s="14">
        <v>11.64</v>
      </c>
      <c r="R174" s="14">
        <v>3.9</v>
      </c>
      <c r="S174" s="14">
        <v>8.5</v>
      </c>
      <c r="T174" s="14">
        <f t="shared" si="14"/>
        <v>56.793054713783683</v>
      </c>
      <c r="V174" s="15">
        <f t="shared" si="11"/>
        <v>0.49890064302012027</v>
      </c>
      <c r="W174" s="15">
        <f t="shared" si="12"/>
        <v>0.63797614183554197</v>
      </c>
      <c r="Y174" s="15">
        <f t="shared" si="13"/>
        <v>0.74216188487209545</v>
      </c>
    </row>
    <row r="175" spans="1:25" x14ac:dyDescent="0.3">
      <c r="F175" s="13"/>
      <c r="G175" s="17" t="s">
        <v>204</v>
      </c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4"/>
      <c r="V175" s="15">
        <f t="shared" si="11"/>
        <v>0</v>
      </c>
      <c r="W175" s="15">
        <f t="shared" si="12"/>
        <v>0</v>
      </c>
      <c r="Y175" s="15">
        <f t="shared" si="13"/>
        <v>0</v>
      </c>
    </row>
    <row r="176" spans="1:25" x14ac:dyDescent="0.3">
      <c r="A176" s="5">
        <v>35</v>
      </c>
      <c r="B176" s="5">
        <v>3500</v>
      </c>
      <c r="C176" s="5">
        <v>1083</v>
      </c>
      <c r="D176" s="5" t="s">
        <v>33</v>
      </c>
      <c r="E176" s="5" t="s">
        <v>34</v>
      </c>
      <c r="F176" s="13">
        <v>166</v>
      </c>
      <c r="G176" s="13" t="s">
        <v>205</v>
      </c>
      <c r="H176" s="13">
        <v>1239</v>
      </c>
      <c r="I176" s="13">
        <v>539</v>
      </c>
      <c r="J176" s="13"/>
      <c r="K176" s="13">
        <v>700</v>
      </c>
      <c r="L176" s="13"/>
      <c r="M176" s="13">
        <f t="shared" si="10"/>
        <v>1239</v>
      </c>
      <c r="N176" s="14">
        <v>25.46</v>
      </c>
      <c r="O176" s="14">
        <v>5</v>
      </c>
      <c r="P176" s="14">
        <v>7</v>
      </c>
      <c r="Q176" s="14">
        <v>7.5</v>
      </c>
      <c r="R176" s="14">
        <v>4.3125</v>
      </c>
      <c r="S176" s="14">
        <v>6.2</v>
      </c>
      <c r="T176" s="14">
        <f t="shared" si="14"/>
        <v>55.472500000000004</v>
      </c>
      <c r="V176" s="15">
        <f t="shared" si="11"/>
        <v>0.41943819507602959</v>
      </c>
      <c r="W176" s="15">
        <f t="shared" si="12"/>
        <v>0.24711598295916898</v>
      </c>
      <c r="Y176" s="15">
        <f t="shared" si="13"/>
        <v>0.41124424094107515</v>
      </c>
    </row>
    <row r="177" spans="1:25" x14ac:dyDescent="0.3">
      <c r="A177" s="5">
        <v>35</v>
      </c>
      <c r="B177" s="5">
        <v>3500</v>
      </c>
      <c r="C177" s="5">
        <v>1084</v>
      </c>
      <c r="D177" s="5" t="s">
        <v>33</v>
      </c>
      <c r="E177" s="5" t="s">
        <v>34</v>
      </c>
      <c r="F177" s="13">
        <v>167</v>
      </c>
      <c r="G177" s="13" t="s">
        <v>206</v>
      </c>
      <c r="H177" s="13">
        <v>2323</v>
      </c>
      <c r="I177" s="13">
        <v>1498</v>
      </c>
      <c r="J177" s="13">
        <v>400</v>
      </c>
      <c r="K177" s="13"/>
      <c r="L177" s="13">
        <v>425</v>
      </c>
      <c r="M177" s="13">
        <f t="shared" si="10"/>
        <v>2323</v>
      </c>
      <c r="N177" s="14">
        <v>37.917857142857144</v>
      </c>
      <c r="O177" s="14">
        <v>4.0683135497176419</v>
      </c>
      <c r="P177" s="14">
        <v>6.1111111111111116</v>
      </c>
      <c r="Q177" s="14">
        <v>9.8333333333333339</v>
      </c>
      <c r="R177" s="14">
        <v>2.625</v>
      </c>
      <c r="S177" s="14">
        <v>6.8571428571428577</v>
      </c>
      <c r="T177" s="14">
        <f t="shared" si="14"/>
        <v>67.412757994162092</v>
      </c>
      <c r="V177" s="15">
        <f t="shared" si="11"/>
        <v>1.1712005454615908</v>
      </c>
      <c r="W177" s="15">
        <f t="shared" si="12"/>
        <v>0.37698420276650563</v>
      </c>
      <c r="Y177" s="15">
        <f t="shared" si="13"/>
        <v>0.93700539000310257</v>
      </c>
    </row>
    <row r="178" spans="1:25" x14ac:dyDescent="0.3">
      <c r="A178" s="5">
        <v>35</v>
      </c>
      <c r="B178" s="5">
        <v>3500</v>
      </c>
      <c r="C178" s="5">
        <v>1085</v>
      </c>
      <c r="D178" s="5" t="s">
        <v>33</v>
      </c>
      <c r="E178" s="5" t="s">
        <v>34</v>
      </c>
      <c r="F178" s="13">
        <v>168</v>
      </c>
      <c r="G178" s="13" t="s">
        <v>207</v>
      </c>
      <c r="H178" s="13">
        <v>1447</v>
      </c>
      <c r="I178" s="13">
        <v>1132</v>
      </c>
      <c r="J178" s="13">
        <v>315</v>
      </c>
      <c r="K178" s="13"/>
      <c r="L178" s="13"/>
      <c r="M178" s="13">
        <f t="shared" si="10"/>
        <v>1447</v>
      </c>
      <c r="N178" s="14">
        <v>36.233333333333334</v>
      </c>
      <c r="O178" s="14">
        <v>5</v>
      </c>
      <c r="P178" s="14">
        <v>7.666666666666667</v>
      </c>
      <c r="Q178" s="14">
        <v>11.25</v>
      </c>
      <c r="R178" s="14">
        <v>4.375</v>
      </c>
      <c r="S178" s="14">
        <v>6.7142857142857135</v>
      </c>
      <c r="T178" s="14">
        <f t="shared" si="14"/>
        <v>71.239285714285714</v>
      </c>
      <c r="V178" s="15">
        <f t="shared" si="11"/>
        <v>0.69713211608046699</v>
      </c>
      <c r="W178" s="15">
        <f t="shared" si="12"/>
        <v>0.28860115201123288</v>
      </c>
      <c r="Y178" s="15">
        <f t="shared" si="13"/>
        <v>0.61679219776800664</v>
      </c>
    </row>
    <row r="179" spans="1:25" x14ac:dyDescent="0.3">
      <c r="A179" s="5">
        <v>35</v>
      </c>
      <c r="B179" s="5">
        <v>3500</v>
      </c>
      <c r="C179" s="5">
        <v>1086</v>
      </c>
      <c r="D179" s="5" t="s">
        <v>33</v>
      </c>
      <c r="E179" s="5" t="s">
        <v>34</v>
      </c>
      <c r="F179" s="13">
        <v>169</v>
      </c>
      <c r="G179" s="13" t="s">
        <v>208</v>
      </c>
      <c r="H179" s="13">
        <v>2056</v>
      </c>
      <c r="I179" s="13">
        <v>794</v>
      </c>
      <c r="J179" s="13">
        <v>512</v>
      </c>
      <c r="K179" s="13">
        <v>750</v>
      </c>
      <c r="L179" s="13"/>
      <c r="M179" s="13">
        <f t="shared" si="10"/>
        <v>2056</v>
      </c>
      <c r="N179" s="14">
        <v>19.649999999999999</v>
      </c>
      <c r="O179" s="14">
        <v>5</v>
      </c>
      <c r="P179" s="14">
        <v>7.38</v>
      </c>
      <c r="Q179" s="14">
        <v>12.33</v>
      </c>
      <c r="R179" s="14">
        <v>3.58</v>
      </c>
      <c r="S179" s="14">
        <v>6.5</v>
      </c>
      <c r="T179" s="14">
        <f t="shared" si="14"/>
        <v>54.44</v>
      </c>
      <c r="V179" s="15">
        <f t="shared" si="11"/>
        <v>0.53718507172147489</v>
      </c>
      <c r="W179" s="15">
        <f t="shared" si="12"/>
        <v>0.41006494024540069</v>
      </c>
      <c r="Y179" s="15">
        <f t="shared" si="13"/>
        <v>0.66971806040878845</v>
      </c>
    </row>
    <row r="180" spans="1:25" x14ac:dyDescent="0.3">
      <c r="A180" s="5">
        <v>35</v>
      </c>
      <c r="B180" s="5">
        <v>3500</v>
      </c>
      <c r="C180" s="5">
        <v>1087</v>
      </c>
      <c r="D180" s="5" t="s">
        <v>33</v>
      </c>
      <c r="E180" s="5" t="s">
        <v>34</v>
      </c>
      <c r="F180" s="13">
        <v>170</v>
      </c>
      <c r="G180" s="13" t="s">
        <v>209</v>
      </c>
      <c r="H180" s="13">
        <v>1879</v>
      </c>
      <c r="I180" s="13">
        <v>1537</v>
      </c>
      <c r="J180" s="13">
        <v>282</v>
      </c>
      <c r="K180" s="13"/>
      <c r="L180" s="13">
        <v>60</v>
      </c>
      <c r="M180" s="13">
        <f t="shared" si="10"/>
        <v>1879</v>
      </c>
      <c r="N180" s="14">
        <v>35.763690476190476</v>
      </c>
      <c r="O180" s="14">
        <v>4.8069969034312985</v>
      </c>
      <c r="P180" s="14">
        <v>6.5555555555555554</v>
      </c>
      <c r="Q180" s="14">
        <v>9.5</v>
      </c>
      <c r="R180" s="14">
        <v>3</v>
      </c>
      <c r="S180" s="14">
        <v>7</v>
      </c>
      <c r="T180" s="14">
        <f t="shared" si="14"/>
        <v>66.626242935177331</v>
      </c>
      <c r="V180" s="15">
        <f t="shared" si="11"/>
        <v>0.89352637771663901</v>
      </c>
      <c r="W180" s="15">
        <f t="shared" si="12"/>
        <v>0.36029658631098754</v>
      </c>
      <c r="Y180" s="15">
        <f t="shared" si="13"/>
        <v>0.74907083478051684</v>
      </c>
    </row>
    <row r="181" spans="1:25" x14ac:dyDescent="0.3">
      <c r="A181" s="5">
        <v>35</v>
      </c>
      <c r="B181" s="5">
        <v>3500</v>
      </c>
      <c r="C181" s="5">
        <v>1088</v>
      </c>
      <c r="D181" s="5" t="s">
        <v>33</v>
      </c>
      <c r="E181" s="5" t="s">
        <v>34</v>
      </c>
      <c r="F181" s="13">
        <v>171</v>
      </c>
      <c r="G181" s="13" t="s">
        <v>210</v>
      </c>
      <c r="H181" s="13">
        <v>1244</v>
      </c>
      <c r="I181" s="13">
        <v>812</v>
      </c>
      <c r="J181" s="13">
        <v>112</v>
      </c>
      <c r="K181" s="13">
        <v>320</v>
      </c>
      <c r="L181" s="13"/>
      <c r="M181" s="13">
        <f t="shared" si="10"/>
        <v>1244</v>
      </c>
      <c r="N181" s="14">
        <v>24.5</v>
      </c>
      <c r="O181" s="14">
        <v>5</v>
      </c>
      <c r="P181" s="14">
        <v>5.61</v>
      </c>
      <c r="Q181" s="14">
        <v>6.17</v>
      </c>
      <c r="R181" s="14">
        <v>3.63</v>
      </c>
      <c r="S181" s="14">
        <v>5.36</v>
      </c>
      <c r="T181" s="14">
        <f t="shared" si="14"/>
        <v>50.27</v>
      </c>
      <c r="V181" s="15">
        <f t="shared" si="11"/>
        <v>0.40525159691307794</v>
      </c>
      <c r="W181" s="15">
        <f t="shared" si="12"/>
        <v>0.24811322259984361</v>
      </c>
      <c r="Y181" s="16">
        <f t="shared" si="13"/>
        <v>0.37417955100282418</v>
      </c>
    </row>
    <row r="182" spans="1:25" x14ac:dyDescent="0.3">
      <c r="A182" s="5">
        <v>35</v>
      </c>
      <c r="B182" s="5">
        <v>3500</v>
      </c>
      <c r="C182" s="5">
        <v>1089</v>
      </c>
      <c r="D182" s="5" t="s">
        <v>33</v>
      </c>
      <c r="E182" s="5" t="s">
        <v>34</v>
      </c>
      <c r="F182" s="13">
        <v>172</v>
      </c>
      <c r="G182" s="13" t="s">
        <v>211</v>
      </c>
      <c r="H182" s="13">
        <v>1393</v>
      </c>
      <c r="I182" s="13">
        <v>874</v>
      </c>
      <c r="J182" s="13">
        <v>165</v>
      </c>
      <c r="K182" s="13">
        <v>354</v>
      </c>
      <c r="L182" s="13"/>
      <c r="M182" s="13">
        <f t="shared" si="10"/>
        <v>1393</v>
      </c>
      <c r="N182" s="14">
        <v>22</v>
      </c>
      <c r="O182" s="14">
        <v>5</v>
      </c>
      <c r="P182" s="14">
        <v>6.61</v>
      </c>
      <c r="Q182" s="14">
        <v>9.17</v>
      </c>
      <c r="R182" s="14">
        <v>2.88</v>
      </c>
      <c r="S182" s="14">
        <v>6.29</v>
      </c>
      <c r="T182" s="14">
        <f t="shared" si="14"/>
        <v>51.95</v>
      </c>
      <c r="V182" s="15">
        <f t="shared" si="11"/>
        <v>0.40748541370818903</v>
      </c>
      <c r="W182" s="15">
        <f t="shared" si="12"/>
        <v>0.27783096389194706</v>
      </c>
      <c r="Y182" s="16">
        <f t="shared" si="13"/>
        <v>0.43299955722559957</v>
      </c>
    </row>
    <row r="183" spans="1:25" x14ac:dyDescent="0.3">
      <c r="A183" s="5">
        <v>35</v>
      </c>
      <c r="B183" s="5">
        <v>3500</v>
      </c>
      <c r="C183" s="5">
        <v>1082</v>
      </c>
      <c r="D183" s="5" t="s">
        <v>33</v>
      </c>
      <c r="E183" s="5" t="s">
        <v>34</v>
      </c>
      <c r="F183" s="13">
        <v>173</v>
      </c>
      <c r="G183" s="13" t="s">
        <v>212</v>
      </c>
      <c r="H183" s="13">
        <v>2188</v>
      </c>
      <c r="I183" s="13">
        <v>1389</v>
      </c>
      <c r="J183" s="13">
        <v>265</v>
      </c>
      <c r="K183" s="13">
        <v>434</v>
      </c>
      <c r="L183" s="13">
        <v>100</v>
      </c>
      <c r="M183" s="13">
        <f t="shared" si="10"/>
        <v>2188</v>
      </c>
      <c r="N183" s="14">
        <v>21</v>
      </c>
      <c r="O183" s="14">
        <v>4.9948467629762643</v>
      </c>
      <c r="P183" s="14">
        <v>8.5</v>
      </c>
      <c r="Q183" s="14">
        <v>12.75</v>
      </c>
      <c r="R183" s="14">
        <v>4.25</v>
      </c>
      <c r="S183" s="14">
        <v>8.5</v>
      </c>
      <c r="T183" s="14">
        <f t="shared" si="14"/>
        <v>59.994846762976266</v>
      </c>
      <c r="V183" s="15">
        <f t="shared" si="11"/>
        <v>0.6109488934628946</v>
      </c>
      <c r="W183" s="15">
        <f t="shared" si="12"/>
        <v>0.43594230040815279</v>
      </c>
      <c r="Y183" s="15">
        <f t="shared" si="13"/>
        <v>0.78543825521392019</v>
      </c>
    </row>
    <row r="184" spans="1:25" x14ac:dyDescent="0.3">
      <c r="A184" s="5">
        <v>35</v>
      </c>
      <c r="B184" s="5">
        <v>3500</v>
      </c>
      <c r="C184" s="5">
        <v>1077</v>
      </c>
      <c r="D184" s="5" t="s">
        <v>33</v>
      </c>
      <c r="E184" s="5" t="s">
        <v>34</v>
      </c>
      <c r="F184" s="13">
        <v>174</v>
      </c>
      <c r="G184" s="13" t="s">
        <v>213</v>
      </c>
      <c r="H184" s="13">
        <v>1094</v>
      </c>
      <c r="I184" s="13">
        <v>765</v>
      </c>
      <c r="J184" s="13"/>
      <c r="K184" s="13">
        <v>321</v>
      </c>
      <c r="L184" s="13">
        <v>8</v>
      </c>
      <c r="M184" s="13">
        <f t="shared" si="10"/>
        <v>1094</v>
      </c>
      <c r="N184" s="14">
        <v>21</v>
      </c>
      <c r="O184" s="14">
        <v>9.9263102041556088</v>
      </c>
      <c r="P184" s="14">
        <v>5.78</v>
      </c>
      <c r="Q184" s="14">
        <v>6.5</v>
      </c>
      <c r="R184" s="14">
        <v>3.88</v>
      </c>
      <c r="S184" s="14">
        <v>6.14</v>
      </c>
      <c r="T184" s="14">
        <f t="shared" si="14"/>
        <v>53.22631020415561</v>
      </c>
      <c r="V184" s="15">
        <f t="shared" si="11"/>
        <v>0.3054744467314473</v>
      </c>
      <c r="W184" s="15">
        <f t="shared" si="12"/>
        <v>0.43317630252845069</v>
      </c>
      <c r="Y184" s="15">
        <f t="shared" si="13"/>
        <v>0.34841309273937482</v>
      </c>
    </row>
    <row r="185" spans="1:25" x14ac:dyDescent="0.3">
      <c r="A185" s="5">
        <v>35</v>
      </c>
      <c r="B185" s="5">
        <v>3500</v>
      </c>
      <c r="C185" s="5">
        <v>1078</v>
      </c>
      <c r="D185" s="5" t="s">
        <v>33</v>
      </c>
      <c r="E185" s="5" t="s">
        <v>34</v>
      </c>
      <c r="F185" s="13">
        <v>175</v>
      </c>
      <c r="G185" s="13" t="s">
        <v>214</v>
      </c>
      <c r="H185" s="13">
        <v>1867</v>
      </c>
      <c r="I185" s="13">
        <v>1346</v>
      </c>
      <c r="J185" s="13">
        <v>100</v>
      </c>
      <c r="K185" s="13">
        <v>415</v>
      </c>
      <c r="L185" s="13">
        <v>6</v>
      </c>
      <c r="M185" s="13">
        <f t="shared" si="10"/>
        <v>1867</v>
      </c>
      <c r="N185" s="14">
        <v>20.65</v>
      </c>
      <c r="O185" s="14">
        <v>9.8865718188137546</v>
      </c>
      <c r="P185" s="14">
        <v>7.333333333333333</v>
      </c>
      <c r="Q185" s="14">
        <v>11.25</v>
      </c>
      <c r="R185" s="14">
        <v>3.8125</v>
      </c>
      <c r="S185" s="14">
        <v>7.2857142857142856</v>
      </c>
      <c r="T185" s="14">
        <f t="shared" si="14"/>
        <v>60.218119437861375</v>
      </c>
      <c r="V185" s="15">
        <f t="shared" si="11"/>
        <v>0.51262837798307614</v>
      </c>
      <c r="W185" s="15">
        <f t="shared" si="12"/>
        <v>0.73629112958232723</v>
      </c>
      <c r="Y185" s="15">
        <f t="shared" si="13"/>
        <v>0.67270133664309506</v>
      </c>
    </row>
    <row r="186" spans="1:25" x14ac:dyDescent="0.3">
      <c r="A186" s="5">
        <v>35</v>
      </c>
      <c r="B186" s="5">
        <v>3500</v>
      </c>
      <c r="C186" s="5">
        <v>1079</v>
      </c>
      <c r="D186" s="5" t="s">
        <v>33</v>
      </c>
      <c r="E186" s="5" t="s">
        <v>34</v>
      </c>
      <c r="F186" s="13">
        <v>176</v>
      </c>
      <c r="G186" s="13" t="s">
        <v>215</v>
      </c>
      <c r="H186" s="13">
        <v>1088</v>
      </c>
      <c r="I186" s="13">
        <v>789</v>
      </c>
      <c r="J186" s="13"/>
      <c r="K186" s="13">
        <v>281</v>
      </c>
      <c r="L186" s="13">
        <v>18</v>
      </c>
      <c r="M186" s="13">
        <f t="shared" si="10"/>
        <v>1088</v>
      </c>
      <c r="N186" s="14">
        <v>22.53</v>
      </c>
      <c r="O186" s="14">
        <v>6.5904912039182868</v>
      </c>
      <c r="P186" s="14">
        <v>7.1111111111111116</v>
      </c>
      <c r="Q186" s="14">
        <v>11.25</v>
      </c>
      <c r="R186" s="14">
        <v>3.875</v>
      </c>
      <c r="S186" s="14">
        <v>6.9285714285714288</v>
      </c>
      <c r="T186" s="14">
        <f t="shared" si="14"/>
        <v>58.285173743600829</v>
      </c>
      <c r="V186" s="15">
        <f t="shared" si="11"/>
        <v>0.32593301740781522</v>
      </c>
      <c r="W186" s="15">
        <f t="shared" si="12"/>
        <v>0.28602645596441434</v>
      </c>
      <c r="Y186" s="15">
        <f t="shared" si="13"/>
        <v>0.37943533718489841</v>
      </c>
    </row>
    <row r="187" spans="1:25" x14ac:dyDescent="0.3">
      <c r="A187" s="5">
        <v>35</v>
      </c>
      <c r="B187" s="5">
        <v>3500</v>
      </c>
      <c r="C187" s="5">
        <v>1080</v>
      </c>
      <c r="D187" s="5" t="s">
        <v>33</v>
      </c>
      <c r="E187" s="5" t="s">
        <v>34</v>
      </c>
      <c r="F187" s="13">
        <v>177</v>
      </c>
      <c r="G187" s="13" t="s">
        <v>216</v>
      </c>
      <c r="H187" s="13">
        <v>1920</v>
      </c>
      <c r="I187" s="13">
        <v>956</v>
      </c>
      <c r="J187" s="13">
        <v>195</v>
      </c>
      <c r="K187" s="13">
        <v>675</v>
      </c>
      <c r="L187" s="13">
        <v>94</v>
      </c>
      <c r="M187" s="13">
        <f t="shared" si="10"/>
        <v>1920</v>
      </c>
      <c r="N187" s="14">
        <v>22.99</v>
      </c>
      <c r="O187" s="14">
        <v>9.4955899932150736</v>
      </c>
      <c r="P187" s="14">
        <v>8.5</v>
      </c>
      <c r="Q187" s="14">
        <v>12.64</v>
      </c>
      <c r="R187" s="14">
        <v>3.5</v>
      </c>
      <c r="S187" s="14">
        <v>7.62</v>
      </c>
      <c r="T187" s="14">
        <f t="shared" si="14"/>
        <v>64.745589993215077</v>
      </c>
      <c r="V187" s="15">
        <f t="shared" si="11"/>
        <v>0.58691940708119916</v>
      </c>
      <c r="W187" s="15">
        <f t="shared" si="12"/>
        <v>0.72724828821713261</v>
      </c>
      <c r="Y187" s="15">
        <f t="shared" si="13"/>
        <v>0.7438103297291474</v>
      </c>
    </row>
    <row r="188" spans="1:25" x14ac:dyDescent="0.3">
      <c r="A188" s="5">
        <v>35</v>
      </c>
      <c r="B188" s="5">
        <v>3500</v>
      </c>
      <c r="C188" s="5">
        <v>1081</v>
      </c>
      <c r="D188" s="5" t="s">
        <v>33</v>
      </c>
      <c r="E188" s="5" t="s">
        <v>34</v>
      </c>
      <c r="F188" s="19">
        <v>178</v>
      </c>
      <c r="G188" s="19" t="s">
        <v>217</v>
      </c>
      <c r="H188" s="19">
        <v>1262</v>
      </c>
      <c r="I188" s="19">
        <v>355</v>
      </c>
      <c r="J188" s="19">
        <v>155</v>
      </c>
      <c r="K188" s="19"/>
      <c r="L188" s="19">
        <v>752</v>
      </c>
      <c r="M188" s="19">
        <f t="shared" si="10"/>
        <v>1262</v>
      </c>
      <c r="N188" s="20">
        <v>21.94</v>
      </c>
      <c r="O188" s="20">
        <v>4.4451452165132368</v>
      </c>
      <c r="P188" s="20">
        <v>4</v>
      </c>
      <c r="Q188" s="20">
        <v>7.5</v>
      </c>
      <c r="R188" s="20">
        <v>2.5</v>
      </c>
      <c r="S188" s="20">
        <v>8</v>
      </c>
      <c r="T188" s="20">
        <f t="shared" si="14"/>
        <v>48.385145216513237</v>
      </c>
      <c r="V188" s="21">
        <f t="shared" si="11"/>
        <v>0.36815800530797421</v>
      </c>
      <c r="W188" s="21">
        <f t="shared" si="12"/>
        <v>0.22377153093196847</v>
      </c>
      <c r="Y188" s="15">
        <f t="shared" si="13"/>
        <v>0.36536100033052338</v>
      </c>
    </row>
    <row r="190" spans="1:25" ht="18" x14ac:dyDescent="0.35">
      <c r="H190" s="22">
        <f>SUM(H6:H188)</f>
        <v>167128</v>
      </c>
      <c r="N190" s="23">
        <f>AVERAGE(N6:N188)</f>
        <v>26.97680077722833</v>
      </c>
      <c r="O190" s="23">
        <f>AVERAGE(O6:O188)</f>
        <v>8.4852425506063458</v>
      </c>
      <c r="V190" s="24">
        <f>SUM(V6:V189)</f>
        <v>55.860726885213523</v>
      </c>
      <c r="W190" s="24">
        <f>SUM(W6:W189)</f>
        <v>58.033863504159804</v>
      </c>
      <c r="Y190" s="24">
        <f>SUM(Y6:Y189)</f>
        <v>57.683923380350308</v>
      </c>
    </row>
    <row r="191" spans="1:25" ht="18" x14ac:dyDescent="0.35">
      <c r="N191" s="25">
        <f>N190/45*100</f>
        <v>59.948446171618507</v>
      </c>
      <c r="O191" s="25">
        <f>O190/15*100</f>
        <v>56.568283670708972</v>
      </c>
    </row>
    <row r="198" spans="14:23" x14ac:dyDescent="0.3">
      <c r="N198" s="26" t="s">
        <v>218</v>
      </c>
      <c r="O198" s="26"/>
      <c r="V198" s="26" t="s">
        <v>219</v>
      </c>
      <c r="W198" s="26"/>
    </row>
  </sheetData>
  <mergeCells count="17">
    <mergeCell ref="N198:O198"/>
    <mergeCell ref="V198:W198"/>
    <mergeCell ref="G1:G3"/>
    <mergeCell ref="H1:H3"/>
    <mergeCell ref="I1:M1"/>
    <mergeCell ref="N1:T1"/>
    <mergeCell ref="I2:I3"/>
    <mergeCell ref="J2:J3"/>
    <mergeCell ref="K2:K3"/>
    <mergeCell ref="L2:L3"/>
    <mergeCell ref="M2:M3"/>
    <mergeCell ref="A1:A4"/>
    <mergeCell ref="B1:B4"/>
    <mergeCell ref="C1:C4"/>
    <mergeCell ref="D1:D4"/>
    <mergeCell ref="E1:E4"/>
    <mergeCell ref="F1:F3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69" orientation="landscape" r:id="rId1"/>
  <rowBreaks count="1" manualBreakCount="1">
    <brk id="145" max="2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B40DF-761A-45C9-A533-0EBC8A0B1B2B}">
  <dimension ref="A1:Y198"/>
  <sheetViews>
    <sheetView view="pageBreakPreview" topLeftCell="F1" zoomScale="75" zoomScaleNormal="85" zoomScaleSheetLayoutView="75" workbookViewId="0">
      <pane xSplit="2" ySplit="4" topLeftCell="H5" activePane="bottomRight" state="frozen"/>
      <selection activeCell="F1" sqref="F1"/>
      <selection pane="topRight" activeCell="H1" sqref="H1"/>
      <selection pane="bottomLeft" activeCell="F5" sqref="F5"/>
      <selection pane="bottomRight" activeCell="Y1" sqref="Y1:Y1048576"/>
    </sheetView>
  </sheetViews>
  <sheetFormatPr defaultRowHeight="14.4" x14ac:dyDescent="0.3"/>
  <cols>
    <col min="1" max="4" width="0" style="5" hidden="1" customWidth="1"/>
    <col min="5" max="5" width="12.109375" style="5" hidden="1" customWidth="1"/>
    <col min="6" max="6" width="4.21875" style="5" bestFit="1" customWidth="1"/>
    <col min="7" max="7" width="35.6640625" style="5" customWidth="1"/>
    <col min="8" max="8" width="11.44140625" style="5" bestFit="1" customWidth="1"/>
    <col min="9" max="13" width="8.77734375" style="5" customWidth="1"/>
    <col min="14" max="14" width="12.77734375" style="5" customWidth="1"/>
    <col min="15" max="18" width="11.77734375" style="5" bestFit="1" customWidth="1"/>
    <col min="19" max="19" width="8.77734375" style="5" customWidth="1"/>
    <col min="20" max="20" width="8.21875" style="5" bestFit="1" customWidth="1"/>
    <col min="21" max="21" width="8.88671875" style="5"/>
    <col min="22" max="22" width="14.33203125" style="5" bestFit="1" customWidth="1"/>
    <col min="23" max="23" width="10.6640625" style="5" customWidth="1"/>
    <col min="24" max="24" width="8.88671875" style="5"/>
    <col min="25" max="25" width="14.33203125" style="5" bestFit="1" customWidth="1"/>
    <col min="26" max="96" width="8.88671875" style="5"/>
    <col min="97" max="97" width="10.44140625" style="5" customWidth="1"/>
    <col min="98" max="16384" width="8.88671875" style="5"/>
  </cols>
  <sheetData>
    <row r="1" spans="1:25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/>
      <c r="K1" s="4"/>
      <c r="L1" s="4"/>
      <c r="M1" s="4"/>
      <c r="N1" s="4" t="s">
        <v>9</v>
      </c>
      <c r="O1" s="4"/>
      <c r="P1" s="4"/>
      <c r="Q1" s="4"/>
      <c r="R1" s="4"/>
      <c r="S1" s="4"/>
      <c r="T1" s="4"/>
    </row>
    <row r="2" spans="1:25" ht="33.75" customHeight="1" x14ac:dyDescent="0.3">
      <c r="A2" s="1"/>
      <c r="B2" s="1"/>
      <c r="C2" s="1"/>
      <c r="D2" s="1"/>
      <c r="E2" s="1"/>
      <c r="F2" s="2"/>
      <c r="G2" s="6"/>
      <c r="H2" s="4"/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7" t="s">
        <v>15</v>
      </c>
      <c r="O2" s="7" t="s">
        <v>16</v>
      </c>
      <c r="P2" s="7" t="s">
        <v>17</v>
      </c>
      <c r="Q2" s="7" t="s">
        <v>18</v>
      </c>
      <c r="R2" s="7" t="s">
        <v>19</v>
      </c>
      <c r="S2" s="7" t="s">
        <v>20</v>
      </c>
      <c r="T2" s="7" t="s">
        <v>21</v>
      </c>
      <c r="V2" s="7" t="s">
        <v>22</v>
      </c>
      <c r="W2" s="7" t="s">
        <v>23</v>
      </c>
      <c r="Y2" s="7" t="s">
        <v>24</v>
      </c>
    </row>
    <row r="3" spans="1:25" ht="34.950000000000003" customHeight="1" x14ac:dyDescent="0.3">
      <c r="A3" s="1"/>
      <c r="B3" s="1"/>
      <c r="C3" s="1"/>
      <c r="D3" s="1"/>
      <c r="E3" s="1"/>
      <c r="F3" s="2"/>
      <c r="G3" s="8"/>
      <c r="H3" s="4"/>
      <c r="I3" s="4"/>
      <c r="J3" s="4"/>
      <c r="K3" s="4"/>
      <c r="L3" s="4"/>
      <c r="M3" s="4"/>
      <c r="N3" s="7" t="s">
        <v>25</v>
      </c>
      <c r="O3" s="7" t="s">
        <v>26</v>
      </c>
      <c r="P3" s="7" t="s">
        <v>27</v>
      </c>
      <c r="Q3" s="7" t="s">
        <v>26</v>
      </c>
      <c r="R3" s="7" t="s">
        <v>28</v>
      </c>
      <c r="S3" s="7" t="s">
        <v>27</v>
      </c>
      <c r="T3" s="7" t="s">
        <v>29</v>
      </c>
      <c r="V3" s="7" t="s">
        <v>30</v>
      </c>
      <c r="W3" s="7" t="s">
        <v>31</v>
      </c>
      <c r="Y3" s="7" t="s">
        <v>30</v>
      </c>
    </row>
    <row r="4" spans="1:25" ht="12.75" customHeight="1" x14ac:dyDescent="0.3">
      <c r="A4" s="1"/>
      <c r="B4" s="1"/>
      <c r="C4" s="1"/>
      <c r="D4" s="1"/>
      <c r="E4" s="1"/>
      <c r="F4" s="9">
        <v>1</v>
      </c>
      <c r="G4" s="9">
        <f>F4+1</f>
        <v>2</v>
      </c>
      <c r="H4" s="9">
        <v>3</v>
      </c>
      <c r="I4" s="9">
        <v>4</v>
      </c>
      <c r="J4" s="9">
        <v>5</v>
      </c>
      <c r="K4" s="9">
        <v>6</v>
      </c>
      <c r="L4" s="9">
        <v>7</v>
      </c>
      <c r="M4" s="9">
        <v>8</v>
      </c>
      <c r="N4" s="9">
        <v>9</v>
      </c>
      <c r="O4" s="9">
        <v>10</v>
      </c>
      <c r="P4" s="9">
        <v>11</v>
      </c>
      <c r="Q4" s="9">
        <v>12</v>
      </c>
      <c r="R4" s="9">
        <v>13</v>
      </c>
      <c r="S4" s="9">
        <v>14</v>
      </c>
      <c r="T4" s="9">
        <v>15</v>
      </c>
      <c r="V4" s="10">
        <v>16</v>
      </c>
      <c r="W4" s="10">
        <v>17</v>
      </c>
      <c r="Y4" s="10">
        <v>16</v>
      </c>
    </row>
    <row r="5" spans="1:25" ht="12.75" customHeight="1" x14ac:dyDescent="0.3">
      <c r="A5" s="11"/>
      <c r="B5" s="11"/>
      <c r="C5" s="11"/>
      <c r="D5" s="11"/>
      <c r="E5" s="11"/>
      <c r="F5" s="10"/>
      <c r="G5" s="12" t="s">
        <v>32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V5" s="13"/>
      <c r="W5" s="13"/>
      <c r="Y5" s="13"/>
    </row>
    <row r="6" spans="1:25" s="27" customFormat="1" x14ac:dyDescent="0.3">
      <c r="A6" s="27">
        <v>35</v>
      </c>
      <c r="B6" s="27">
        <v>3500</v>
      </c>
      <c r="C6" s="27">
        <v>1096</v>
      </c>
      <c r="D6" s="27" t="s">
        <v>33</v>
      </c>
      <c r="E6" s="27" t="s">
        <v>34</v>
      </c>
      <c r="F6" s="28">
        <v>1</v>
      </c>
      <c r="G6" s="28" t="s">
        <v>35</v>
      </c>
      <c r="H6" s="28">
        <v>1523</v>
      </c>
      <c r="I6" s="28">
        <v>839</v>
      </c>
      <c r="J6" s="28"/>
      <c r="K6" s="28">
        <v>456</v>
      </c>
      <c r="L6" s="28">
        <v>228</v>
      </c>
      <c r="M6" s="28">
        <f>SUM(I6:L6)</f>
        <v>1523</v>
      </c>
      <c r="N6" s="29">
        <v>31.88</v>
      </c>
      <c r="O6" s="29">
        <v>9.61</v>
      </c>
      <c r="P6" s="29">
        <v>5.58</v>
      </c>
      <c r="Q6" s="29">
        <v>9.9499999999999993</v>
      </c>
      <c r="R6" s="29">
        <v>3.8</v>
      </c>
      <c r="S6" s="29">
        <v>6.41</v>
      </c>
      <c r="T6" s="29">
        <f>SUM(N6:S6)</f>
        <v>67.22999999999999</v>
      </c>
      <c r="V6" s="30">
        <f>(((N6/45)*100)*H6)/$H$190</f>
        <v>0.6455895414825098</v>
      </c>
      <c r="W6" s="30">
        <f>(((O6/15)*100)*H6)/$H$190</f>
        <v>0.58382517192411398</v>
      </c>
      <c r="Y6" s="15">
        <f>(T6*H6)/$H$190</f>
        <v>0.61265191948686026</v>
      </c>
    </row>
    <row r="7" spans="1:25" x14ac:dyDescent="0.3">
      <c r="A7" s="5">
        <v>35</v>
      </c>
      <c r="B7" s="5">
        <v>3500</v>
      </c>
      <c r="C7" s="5">
        <v>1097</v>
      </c>
      <c r="D7" s="5" t="s">
        <v>33</v>
      </c>
      <c r="E7" s="5" t="s">
        <v>34</v>
      </c>
      <c r="F7" s="13">
        <v>2</v>
      </c>
      <c r="G7" s="13" t="s">
        <v>36</v>
      </c>
      <c r="H7" s="13">
        <v>1744</v>
      </c>
      <c r="I7" s="13">
        <v>922</v>
      </c>
      <c r="J7" s="13"/>
      <c r="K7" s="13">
        <v>557</v>
      </c>
      <c r="L7" s="13">
        <v>265</v>
      </c>
      <c r="M7" s="13">
        <f t="shared" ref="M7:M70" si="0">SUM(I7:L7)</f>
        <v>1744</v>
      </c>
      <c r="N7" s="14">
        <v>25.02</v>
      </c>
      <c r="O7" s="14">
        <v>11.87</v>
      </c>
      <c r="P7" s="14">
        <v>4.54</v>
      </c>
      <c r="Q7" s="14">
        <v>7.66</v>
      </c>
      <c r="R7" s="14">
        <v>2.2999999999999998</v>
      </c>
      <c r="S7" s="14">
        <v>5.16</v>
      </c>
      <c r="T7" s="14">
        <f t="shared" ref="T7:T70" si="1">SUM(N7:S7)</f>
        <v>56.55</v>
      </c>
      <c r="V7" s="15">
        <f t="shared" ref="V7:V70" si="2">(((N7/45)*100)*H7)/$H$190</f>
        <v>0.58019242736106458</v>
      </c>
      <c r="W7" s="15">
        <f t="shared" ref="W7:W70" si="3">(((O7/15)*100)*H7)/$H$190</f>
        <v>0.82576548114818193</v>
      </c>
      <c r="Y7" s="15">
        <f t="shared" ref="Y7:Y70" si="4">(T7*H7)/$H$190</f>
        <v>0.59010578718108275</v>
      </c>
    </row>
    <row r="8" spans="1:25" x14ac:dyDescent="0.3">
      <c r="A8" s="5">
        <v>35</v>
      </c>
      <c r="B8" s="5">
        <v>3500</v>
      </c>
      <c r="C8" s="5">
        <v>1098</v>
      </c>
      <c r="D8" s="5" t="s">
        <v>33</v>
      </c>
      <c r="E8" s="5" t="s">
        <v>34</v>
      </c>
      <c r="F8" s="13">
        <v>3</v>
      </c>
      <c r="G8" s="13" t="s">
        <v>37</v>
      </c>
      <c r="H8" s="13">
        <v>1126</v>
      </c>
      <c r="I8" s="13">
        <v>606</v>
      </c>
      <c r="J8" s="13"/>
      <c r="K8" s="13">
        <v>351</v>
      </c>
      <c r="L8" s="13">
        <v>169</v>
      </c>
      <c r="M8" s="13">
        <f t="shared" si="0"/>
        <v>1126</v>
      </c>
      <c r="N8" s="14">
        <v>23.46</v>
      </c>
      <c r="O8" s="14">
        <v>7.3858069790485441</v>
      </c>
      <c r="P8" s="14">
        <v>4</v>
      </c>
      <c r="Q8" s="14">
        <v>7.5</v>
      </c>
      <c r="R8" s="14">
        <v>2.5</v>
      </c>
      <c r="S8" s="14">
        <v>5</v>
      </c>
      <c r="T8" s="14">
        <f t="shared" si="1"/>
        <v>49.845806979048547</v>
      </c>
      <c r="V8" s="15">
        <f t="shared" si="2"/>
        <v>0.3512405661129992</v>
      </c>
      <c r="W8" s="15">
        <f t="shared" si="3"/>
        <v>0.3317384941844439</v>
      </c>
      <c r="Y8" s="15">
        <f t="shared" si="4"/>
        <v>0.33582869811407223</v>
      </c>
    </row>
    <row r="9" spans="1:25" s="27" customFormat="1" x14ac:dyDescent="0.3">
      <c r="A9" s="27">
        <v>35</v>
      </c>
      <c r="B9" s="27">
        <v>3500</v>
      </c>
      <c r="C9" s="27">
        <v>1099</v>
      </c>
      <c r="D9" s="27" t="s">
        <v>33</v>
      </c>
      <c r="E9" s="27" t="s">
        <v>34</v>
      </c>
      <c r="F9" s="28">
        <v>4</v>
      </c>
      <c r="G9" s="28" t="s">
        <v>38</v>
      </c>
      <c r="H9" s="28">
        <v>1909</v>
      </c>
      <c r="I9" s="28">
        <v>940</v>
      </c>
      <c r="J9" s="28">
        <v>360</v>
      </c>
      <c r="K9" s="28">
        <v>598</v>
      </c>
      <c r="L9" s="28">
        <v>11</v>
      </c>
      <c r="M9" s="28">
        <f t="shared" si="0"/>
        <v>1909</v>
      </c>
      <c r="N9" s="29">
        <v>28.37</v>
      </c>
      <c r="O9" s="29">
        <v>11.03</v>
      </c>
      <c r="P9" s="29">
        <v>4.3600000000000003</v>
      </c>
      <c r="Q9" s="29">
        <v>8.58</v>
      </c>
      <c r="R9" s="29">
        <v>3.1</v>
      </c>
      <c r="S9" s="29">
        <v>4.04</v>
      </c>
      <c r="T9" s="29">
        <f t="shared" si="1"/>
        <v>59.48</v>
      </c>
      <c r="V9" s="30">
        <f t="shared" si="2"/>
        <v>0.72011778064982801</v>
      </c>
      <c r="W9" s="30">
        <f t="shared" si="3"/>
        <v>0.83992588514990507</v>
      </c>
      <c r="Y9" s="15">
        <f t="shared" si="4"/>
        <v>0.67940333157819155</v>
      </c>
    </row>
    <row r="10" spans="1:25" x14ac:dyDescent="0.3">
      <c r="A10" s="5">
        <v>35</v>
      </c>
      <c r="B10" s="5">
        <v>3500</v>
      </c>
      <c r="C10" s="5">
        <v>1100</v>
      </c>
      <c r="D10" s="5" t="s">
        <v>33</v>
      </c>
      <c r="E10" s="5" t="s">
        <v>34</v>
      </c>
      <c r="F10" s="13">
        <v>5</v>
      </c>
      <c r="G10" s="13" t="s">
        <v>39</v>
      </c>
      <c r="H10" s="13">
        <v>1513</v>
      </c>
      <c r="I10" s="13">
        <v>738</v>
      </c>
      <c r="J10" s="13">
        <v>102</v>
      </c>
      <c r="K10" s="13">
        <v>446</v>
      </c>
      <c r="L10" s="13">
        <v>227</v>
      </c>
      <c r="M10" s="13">
        <f t="shared" si="0"/>
        <v>1513</v>
      </c>
      <c r="N10" s="14">
        <v>23.99</v>
      </c>
      <c r="O10" s="14">
        <v>8.4760199827562914</v>
      </c>
      <c r="P10" s="14">
        <v>4</v>
      </c>
      <c r="Q10" s="14">
        <v>7.5</v>
      </c>
      <c r="R10" s="14">
        <v>2.5</v>
      </c>
      <c r="S10" s="14">
        <v>5</v>
      </c>
      <c r="T10" s="14">
        <f t="shared" si="1"/>
        <v>51.466019982756293</v>
      </c>
      <c r="V10" s="15">
        <f t="shared" si="2"/>
        <v>0.48262236795217506</v>
      </c>
      <c r="W10" s="15">
        <f t="shared" si="3"/>
        <v>0.51155275134069977</v>
      </c>
      <c r="Y10" s="15">
        <f t="shared" si="4"/>
        <v>0.46591886598242227</v>
      </c>
    </row>
    <row r="11" spans="1:25" s="27" customFormat="1" x14ac:dyDescent="0.3">
      <c r="A11" s="27">
        <v>35</v>
      </c>
      <c r="B11" s="27">
        <v>3500</v>
      </c>
      <c r="C11" s="27">
        <v>1101</v>
      </c>
      <c r="D11" s="27" t="s">
        <v>33</v>
      </c>
      <c r="E11" s="27" t="s">
        <v>34</v>
      </c>
      <c r="F11" s="28">
        <v>6</v>
      </c>
      <c r="G11" s="28" t="s">
        <v>40</v>
      </c>
      <c r="H11" s="28">
        <v>1843</v>
      </c>
      <c r="I11" s="28">
        <v>1304</v>
      </c>
      <c r="J11" s="28">
        <v>102</v>
      </c>
      <c r="K11" s="28">
        <v>386</v>
      </c>
      <c r="L11" s="28">
        <v>51</v>
      </c>
      <c r="M11" s="28">
        <f t="shared" si="0"/>
        <v>1843</v>
      </c>
      <c r="N11" s="29">
        <v>27.72</v>
      </c>
      <c r="O11" s="29">
        <v>12.03</v>
      </c>
      <c r="P11" s="29">
        <v>4.5999999999999996</v>
      </c>
      <c r="Q11" s="29">
        <v>8.18</v>
      </c>
      <c r="R11" s="29">
        <v>3.5</v>
      </c>
      <c r="S11" s="29">
        <v>5.64</v>
      </c>
      <c r="T11" s="29">
        <f t="shared" si="1"/>
        <v>61.67</v>
      </c>
      <c r="V11" s="30">
        <f t="shared" si="2"/>
        <v>0.6792925183093198</v>
      </c>
      <c r="W11" s="30">
        <f t="shared" si="3"/>
        <v>0.88440357091570521</v>
      </c>
      <c r="Y11" s="15">
        <f t="shared" si="4"/>
        <v>0.68006444162558033</v>
      </c>
    </row>
    <row r="12" spans="1:25" x14ac:dyDescent="0.3">
      <c r="A12" s="5">
        <v>35</v>
      </c>
      <c r="B12" s="5">
        <v>3500</v>
      </c>
      <c r="C12" s="5">
        <v>1102</v>
      </c>
      <c r="D12" s="5" t="s">
        <v>33</v>
      </c>
      <c r="E12" s="5" t="s">
        <v>34</v>
      </c>
      <c r="F12" s="13">
        <v>7</v>
      </c>
      <c r="G12" s="13" t="s">
        <v>41</v>
      </c>
      <c r="H12" s="13">
        <v>1613</v>
      </c>
      <c r="I12" s="13">
        <v>1136</v>
      </c>
      <c r="J12" s="13">
        <v>334</v>
      </c>
      <c r="K12" s="13"/>
      <c r="L12" s="13">
        <v>143</v>
      </c>
      <c r="M12" s="13">
        <f t="shared" si="0"/>
        <v>1613</v>
      </c>
      <c r="N12" s="14">
        <v>28.11</v>
      </c>
      <c r="O12" s="14">
        <v>10.272116734402893</v>
      </c>
      <c r="P12" s="14">
        <v>4</v>
      </c>
      <c r="Q12" s="14">
        <v>7.5</v>
      </c>
      <c r="R12" s="14">
        <v>2.5</v>
      </c>
      <c r="S12" s="14">
        <v>5</v>
      </c>
      <c r="T12" s="14">
        <f t="shared" si="1"/>
        <v>57.382116734402892</v>
      </c>
      <c r="V12" s="15">
        <f t="shared" si="2"/>
        <v>0.60288361814497471</v>
      </c>
      <c r="W12" s="15">
        <f t="shared" si="3"/>
        <v>0.66092752431636703</v>
      </c>
      <c r="Y12" s="15">
        <f t="shared" si="4"/>
        <v>0.55381117641922273</v>
      </c>
    </row>
    <row r="13" spans="1:25" s="27" customFormat="1" x14ac:dyDescent="0.3">
      <c r="A13" s="27">
        <v>35</v>
      </c>
      <c r="B13" s="27">
        <v>3500</v>
      </c>
      <c r="C13" s="27">
        <v>1103</v>
      </c>
      <c r="D13" s="27" t="s">
        <v>33</v>
      </c>
      <c r="E13" s="27" t="s">
        <v>34</v>
      </c>
      <c r="F13" s="28">
        <v>8</v>
      </c>
      <c r="G13" s="28" t="s">
        <v>42</v>
      </c>
      <c r="H13" s="28">
        <v>1057</v>
      </c>
      <c r="I13" s="28">
        <v>745</v>
      </c>
      <c r="J13" s="28"/>
      <c r="K13" s="28">
        <v>312</v>
      </c>
      <c r="L13" s="28"/>
      <c r="M13" s="28">
        <f t="shared" si="0"/>
        <v>1057</v>
      </c>
      <c r="N13" s="29">
        <v>31.79</v>
      </c>
      <c r="O13" s="29">
        <v>5.15</v>
      </c>
      <c r="P13" s="29">
        <v>5.36</v>
      </c>
      <c r="Q13" s="29">
        <v>8.5299999999999994</v>
      </c>
      <c r="R13" s="29">
        <v>3.35</v>
      </c>
      <c r="S13" s="29">
        <v>7.9</v>
      </c>
      <c r="T13" s="29">
        <f t="shared" si="1"/>
        <v>62.08</v>
      </c>
      <c r="V13" s="30">
        <f t="shared" si="2"/>
        <v>0.44679035097516739</v>
      </c>
      <c r="W13" s="30">
        <f t="shared" si="3"/>
        <v>0.21714095383977153</v>
      </c>
      <c r="Y13" s="15">
        <f t="shared" si="4"/>
        <v>0.39262457517591304</v>
      </c>
    </row>
    <row r="14" spans="1:25" x14ac:dyDescent="0.3">
      <c r="A14" s="5">
        <v>35</v>
      </c>
      <c r="B14" s="5">
        <v>3500</v>
      </c>
      <c r="C14" s="5">
        <v>1104</v>
      </c>
      <c r="D14" s="5" t="s">
        <v>33</v>
      </c>
      <c r="E14" s="5" t="s">
        <v>34</v>
      </c>
      <c r="F14" s="13">
        <v>9</v>
      </c>
      <c r="G14" s="13" t="s">
        <v>43</v>
      </c>
      <c r="H14" s="13">
        <v>1008</v>
      </c>
      <c r="I14" s="13">
        <v>654</v>
      </c>
      <c r="J14" s="13"/>
      <c r="K14" s="13">
        <v>348</v>
      </c>
      <c r="L14" s="13">
        <v>6</v>
      </c>
      <c r="M14" s="13">
        <f t="shared" si="0"/>
        <v>1008</v>
      </c>
      <c r="N14" s="14">
        <v>18.850000000000001</v>
      </c>
      <c r="O14" s="14">
        <v>12.09</v>
      </c>
      <c r="P14" s="14">
        <v>4.34</v>
      </c>
      <c r="Q14" s="14">
        <v>8.5</v>
      </c>
      <c r="R14" s="14">
        <v>3.5</v>
      </c>
      <c r="S14" s="14">
        <v>4.76</v>
      </c>
      <c r="T14" s="14">
        <f t="shared" si="1"/>
        <v>52.04</v>
      </c>
      <c r="V14" s="15">
        <f t="shared" si="2"/>
        <v>0.25264467952706909</v>
      </c>
      <c r="W14" s="15">
        <f t="shared" si="3"/>
        <v>0.48612321095208455</v>
      </c>
      <c r="Y14" s="15">
        <f t="shared" si="4"/>
        <v>0.31386913024747498</v>
      </c>
    </row>
    <row r="15" spans="1:25" x14ac:dyDescent="0.3">
      <c r="A15" s="5">
        <v>35</v>
      </c>
      <c r="B15" s="5">
        <v>3500</v>
      </c>
      <c r="C15" s="5">
        <v>1105</v>
      </c>
      <c r="D15" s="5" t="s">
        <v>33</v>
      </c>
      <c r="E15" s="5" t="s">
        <v>34</v>
      </c>
      <c r="F15" s="13">
        <v>10</v>
      </c>
      <c r="G15" s="13" t="s">
        <v>44</v>
      </c>
      <c r="H15" s="13">
        <v>1449</v>
      </c>
      <c r="I15" s="13">
        <v>816</v>
      </c>
      <c r="J15" s="13">
        <v>215</v>
      </c>
      <c r="K15" s="13">
        <v>401</v>
      </c>
      <c r="L15" s="13">
        <v>17</v>
      </c>
      <c r="M15" s="13">
        <f t="shared" si="0"/>
        <v>1449</v>
      </c>
      <c r="N15" s="14">
        <v>19.5</v>
      </c>
      <c r="O15" s="14">
        <v>12.75</v>
      </c>
      <c r="P15" s="14">
        <v>4.8</v>
      </c>
      <c r="Q15" s="14">
        <v>8.1</v>
      </c>
      <c r="R15" s="14">
        <v>3.5</v>
      </c>
      <c r="S15" s="14">
        <v>5.8</v>
      </c>
      <c r="T15" s="14">
        <f t="shared" si="1"/>
        <v>54.449999999999996</v>
      </c>
      <c r="V15" s="15">
        <f t="shared" si="2"/>
        <v>0.3757000622277536</v>
      </c>
      <c r="W15" s="15">
        <f t="shared" si="3"/>
        <v>0.73695012206213206</v>
      </c>
      <c r="Y15" s="16">
        <f t="shared" si="4"/>
        <v>0.47208157819156565</v>
      </c>
    </row>
    <row r="16" spans="1:25" x14ac:dyDescent="0.3">
      <c r="A16" s="5">
        <v>35</v>
      </c>
      <c r="B16" s="5">
        <v>3500</v>
      </c>
      <c r="C16" s="5">
        <v>1106</v>
      </c>
      <c r="D16" s="5" t="s">
        <v>33</v>
      </c>
      <c r="E16" s="5" t="s">
        <v>34</v>
      </c>
      <c r="F16" s="13">
        <v>11</v>
      </c>
      <c r="G16" s="13" t="s">
        <v>45</v>
      </c>
      <c r="H16" s="13">
        <v>1085</v>
      </c>
      <c r="I16" s="13">
        <v>606</v>
      </c>
      <c r="J16" s="13"/>
      <c r="K16" s="13">
        <v>305</v>
      </c>
      <c r="L16" s="13">
        <v>174</v>
      </c>
      <c r="M16" s="13">
        <f t="shared" si="0"/>
        <v>1085</v>
      </c>
      <c r="N16" s="14">
        <v>20.16</v>
      </c>
      <c r="O16" s="14">
        <v>11.873248246635988</v>
      </c>
      <c r="P16" s="14">
        <v>4</v>
      </c>
      <c r="Q16" s="14">
        <v>7.5</v>
      </c>
      <c r="R16" s="14">
        <v>2.5</v>
      </c>
      <c r="S16" s="14">
        <v>5</v>
      </c>
      <c r="T16" s="14">
        <f t="shared" si="1"/>
        <v>51.033248246635992</v>
      </c>
      <c r="V16" s="15">
        <f t="shared" si="2"/>
        <v>0.2908429467234695</v>
      </c>
      <c r="W16" s="15">
        <f t="shared" si="3"/>
        <v>0.51387656357602352</v>
      </c>
      <c r="Y16" s="15">
        <f t="shared" si="4"/>
        <v>0.33130938171700763</v>
      </c>
    </row>
    <row r="17" spans="1:25" x14ac:dyDescent="0.3">
      <c r="A17" s="5">
        <v>35</v>
      </c>
      <c r="B17" s="5">
        <v>3500</v>
      </c>
      <c r="C17" s="5">
        <v>1107</v>
      </c>
      <c r="D17" s="5" t="s">
        <v>33</v>
      </c>
      <c r="E17" s="5" t="s">
        <v>34</v>
      </c>
      <c r="F17" s="13">
        <v>12</v>
      </c>
      <c r="G17" s="13" t="s">
        <v>46</v>
      </c>
      <c r="H17" s="13">
        <v>1090</v>
      </c>
      <c r="I17" s="13">
        <v>548</v>
      </c>
      <c r="J17" s="13">
        <v>148</v>
      </c>
      <c r="K17" s="13">
        <v>336</v>
      </c>
      <c r="L17" s="13">
        <v>58</v>
      </c>
      <c r="M17" s="13">
        <f t="shared" si="0"/>
        <v>1090</v>
      </c>
      <c r="N17" s="14">
        <v>23.44</v>
      </c>
      <c r="O17" s="14">
        <v>9.0736883435741085</v>
      </c>
      <c r="P17" s="14">
        <v>4</v>
      </c>
      <c r="Q17" s="14">
        <v>7.5</v>
      </c>
      <c r="R17" s="14">
        <v>2.5</v>
      </c>
      <c r="S17" s="14">
        <v>5</v>
      </c>
      <c r="T17" s="14">
        <f t="shared" si="1"/>
        <v>51.51368834357411</v>
      </c>
      <c r="V17" s="15">
        <f t="shared" si="2"/>
        <v>0.33972098564506786</v>
      </c>
      <c r="W17" s="15">
        <f t="shared" si="3"/>
        <v>0.39452077826559201</v>
      </c>
      <c r="Y17" s="15">
        <f t="shared" si="4"/>
        <v>0.33596955803034667</v>
      </c>
    </row>
    <row r="18" spans="1:25" x14ac:dyDescent="0.3">
      <c r="A18" s="5">
        <v>35</v>
      </c>
      <c r="B18" s="5">
        <v>3500</v>
      </c>
      <c r="C18" s="5">
        <v>1108</v>
      </c>
      <c r="D18" s="5" t="s">
        <v>33</v>
      </c>
      <c r="E18" s="5" t="s">
        <v>34</v>
      </c>
      <c r="F18" s="13">
        <v>13</v>
      </c>
      <c r="G18" s="13" t="s">
        <v>47</v>
      </c>
      <c r="H18" s="13">
        <v>1132</v>
      </c>
      <c r="I18" s="13">
        <v>748</v>
      </c>
      <c r="J18" s="13">
        <v>366</v>
      </c>
      <c r="K18" s="13"/>
      <c r="L18" s="13">
        <v>18</v>
      </c>
      <c r="M18" s="13">
        <f t="shared" si="0"/>
        <v>1132</v>
      </c>
      <c r="N18" s="14">
        <v>24</v>
      </c>
      <c r="O18" s="14">
        <v>13.727806821305526</v>
      </c>
      <c r="P18" s="14">
        <v>4</v>
      </c>
      <c r="Q18" s="14">
        <v>7.5</v>
      </c>
      <c r="R18" s="14">
        <v>2.5</v>
      </c>
      <c r="S18" s="14">
        <v>5</v>
      </c>
      <c r="T18" s="14">
        <f t="shared" si="1"/>
        <v>56.727806821305528</v>
      </c>
      <c r="V18" s="15">
        <f t="shared" si="2"/>
        <v>0.3612400874379717</v>
      </c>
      <c r="W18" s="15">
        <f t="shared" si="3"/>
        <v>0.61987926705749896</v>
      </c>
      <c r="Y18" s="15">
        <f t="shared" si="4"/>
        <v>0.38423171055548955</v>
      </c>
    </row>
    <row r="19" spans="1:25" x14ac:dyDescent="0.3">
      <c r="A19" s="5">
        <v>35</v>
      </c>
      <c r="B19" s="5">
        <v>3500</v>
      </c>
      <c r="C19" s="5">
        <v>1236</v>
      </c>
      <c r="D19" s="5" t="s">
        <v>33</v>
      </c>
      <c r="E19" s="5" t="s">
        <v>34</v>
      </c>
      <c r="F19" s="13">
        <v>14</v>
      </c>
      <c r="G19" s="13" t="s">
        <v>48</v>
      </c>
      <c r="H19" s="13">
        <v>190</v>
      </c>
      <c r="I19" s="13">
        <v>162</v>
      </c>
      <c r="J19" s="13"/>
      <c r="K19" s="13">
        <v>28</v>
      </c>
      <c r="L19" s="13"/>
      <c r="M19" s="13">
        <f t="shared" si="0"/>
        <v>190</v>
      </c>
      <c r="N19" s="14">
        <v>26.75</v>
      </c>
      <c r="O19" s="14">
        <v>4.8378418913608821</v>
      </c>
      <c r="P19" s="14">
        <v>4</v>
      </c>
      <c r="Q19" s="14">
        <v>7.5</v>
      </c>
      <c r="R19" s="14">
        <v>2.5</v>
      </c>
      <c r="S19" s="14">
        <v>5</v>
      </c>
      <c r="T19" s="14">
        <f t="shared" si="1"/>
        <v>50.587841891360881</v>
      </c>
      <c r="V19" s="15">
        <f t="shared" si="2"/>
        <v>6.7579606316382906E-2</v>
      </c>
      <c r="W19" s="15">
        <f t="shared" si="3"/>
        <v>3.6666106591297994E-2</v>
      </c>
      <c r="Y19" s="15">
        <f t="shared" si="4"/>
        <v>5.7510949448079121E-2</v>
      </c>
    </row>
    <row r="20" spans="1:25" x14ac:dyDescent="0.3">
      <c r="A20" s="5">
        <v>35</v>
      </c>
      <c r="B20" s="5">
        <v>3500</v>
      </c>
      <c r="C20" s="5">
        <v>1237</v>
      </c>
      <c r="D20" s="5" t="s">
        <v>33</v>
      </c>
      <c r="E20" s="5" t="s">
        <v>34</v>
      </c>
      <c r="F20" s="13">
        <v>15</v>
      </c>
      <c r="G20" s="13" t="s">
        <v>49</v>
      </c>
      <c r="H20" s="13">
        <v>151</v>
      </c>
      <c r="I20" s="13">
        <v>81</v>
      </c>
      <c r="J20" s="13">
        <v>45</v>
      </c>
      <c r="K20" s="13"/>
      <c r="L20" s="13">
        <v>25</v>
      </c>
      <c r="M20" s="13">
        <f t="shared" si="0"/>
        <v>151</v>
      </c>
      <c r="N20" s="14">
        <v>12.05</v>
      </c>
      <c r="O20" s="14">
        <v>4.6041774861818796</v>
      </c>
      <c r="P20" s="14">
        <v>3.8</v>
      </c>
      <c r="Q20" s="14">
        <v>5.9</v>
      </c>
      <c r="R20" s="14">
        <v>2.5</v>
      </c>
      <c r="S20" s="14">
        <v>3.6</v>
      </c>
      <c r="T20" s="14">
        <f t="shared" si="1"/>
        <v>32.454177486181884</v>
      </c>
      <c r="V20" s="15">
        <f t="shared" si="2"/>
        <v>2.4193698509193218E-2</v>
      </c>
      <c r="W20" s="15">
        <f t="shared" si="3"/>
        <v>2.7732468543609844E-2</v>
      </c>
      <c r="Y20" s="15">
        <f t="shared" si="4"/>
        <v>2.9322320619007372E-2</v>
      </c>
    </row>
    <row r="21" spans="1:25" x14ac:dyDescent="0.3">
      <c r="A21" s="5">
        <v>35</v>
      </c>
      <c r="B21" s="5">
        <v>3500</v>
      </c>
      <c r="C21" s="5">
        <v>1238</v>
      </c>
      <c r="D21" s="5" t="s">
        <v>33</v>
      </c>
      <c r="E21" s="5" t="s">
        <v>34</v>
      </c>
      <c r="F21" s="13">
        <v>16</v>
      </c>
      <c r="G21" s="13" t="s">
        <v>50</v>
      </c>
      <c r="H21" s="13">
        <v>62</v>
      </c>
      <c r="I21" s="13">
        <v>48</v>
      </c>
      <c r="J21" s="13"/>
      <c r="K21" s="13"/>
      <c r="L21" s="13">
        <v>14</v>
      </c>
      <c r="M21" s="13">
        <f t="shared" si="0"/>
        <v>62</v>
      </c>
      <c r="N21" s="14">
        <v>15.95</v>
      </c>
      <c r="O21" s="14">
        <v>5.560874101263904</v>
      </c>
      <c r="P21" s="14">
        <v>4.0999999999999996</v>
      </c>
      <c r="Q21" s="14">
        <v>6.6</v>
      </c>
      <c r="R21" s="14">
        <v>2.8</v>
      </c>
      <c r="S21" s="14">
        <v>8.1999999999999993</v>
      </c>
      <c r="T21" s="14">
        <f t="shared" si="1"/>
        <v>43.210874101263897</v>
      </c>
      <c r="V21" s="15">
        <f t="shared" si="2"/>
        <v>1.3148937075508326E-2</v>
      </c>
      <c r="W21" s="15">
        <f t="shared" si="3"/>
        <v>1.3752899744641315E-2</v>
      </c>
      <c r="Y21" s="15">
        <f t="shared" si="4"/>
        <v>1.6030073921056685E-2</v>
      </c>
    </row>
    <row r="22" spans="1:25" x14ac:dyDescent="0.3">
      <c r="A22" s="5">
        <v>35</v>
      </c>
      <c r="B22" s="5">
        <v>3500</v>
      </c>
      <c r="C22" s="5">
        <v>1239</v>
      </c>
      <c r="D22" s="5" t="s">
        <v>33</v>
      </c>
      <c r="E22" s="5" t="s">
        <v>34</v>
      </c>
      <c r="F22" s="13">
        <v>17</v>
      </c>
      <c r="G22" s="13" t="s">
        <v>51</v>
      </c>
      <c r="H22" s="13">
        <v>696</v>
      </c>
      <c r="I22" s="13">
        <v>696</v>
      </c>
      <c r="J22" s="13"/>
      <c r="K22" s="13"/>
      <c r="L22" s="13"/>
      <c r="M22" s="13">
        <f t="shared" si="0"/>
        <v>696</v>
      </c>
      <c r="N22" s="14">
        <v>26</v>
      </c>
      <c r="O22" s="14">
        <v>3.5194051276250207</v>
      </c>
      <c r="P22" s="14">
        <v>4.0999999999999996</v>
      </c>
      <c r="Q22" s="14">
        <v>6.6</v>
      </c>
      <c r="R22" s="14">
        <v>2.8</v>
      </c>
      <c r="S22" s="14">
        <v>8.1999999999999993</v>
      </c>
      <c r="T22" s="14">
        <f t="shared" si="1"/>
        <v>51.219405127625024</v>
      </c>
      <c r="V22" s="15">
        <f t="shared" si="2"/>
        <v>0.24061398050197053</v>
      </c>
      <c r="W22" s="15">
        <f t="shared" si="3"/>
        <v>9.7709778087334831E-2</v>
      </c>
      <c r="Y22" s="15">
        <f t="shared" si="4"/>
        <v>0.21330181638520784</v>
      </c>
    </row>
    <row r="23" spans="1:25" x14ac:dyDescent="0.3">
      <c r="A23" s="5">
        <v>35</v>
      </c>
      <c r="B23" s="5">
        <v>3500</v>
      </c>
      <c r="C23" s="5">
        <v>1240</v>
      </c>
      <c r="D23" s="5" t="s">
        <v>33</v>
      </c>
      <c r="E23" s="5" t="s">
        <v>34</v>
      </c>
      <c r="F23" s="13">
        <v>18</v>
      </c>
      <c r="G23" s="13" t="s">
        <v>52</v>
      </c>
      <c r="H23" s="13">
        <v>598</v>
      </c>
      <c r="I23" s="13">
        <v>473</v>
      </c>
      <c r="J23" s="13"/>
      <c r="K23" s="13">
        <v>125</v>
      </c>
      <c r="L23" s="13"/>
      <c r="M23" s="13">
        <f t="shared" si="0"/>
        <v>598</v>
      </c>
      <c r="N23" s="14">
        <v>26</v>
      </c>
      <c r="O23" s="14">
        <v>4.6480346654613411</v>
      </c>
      <c r="P23" s="14">
        <v>4.0999999999999996</v>
      </c>
      <c r="Q23" s="14">
        <v>6.6</v>
      </c>
      <c r="R23" s="14">
        <v>2.8</v>
      </c>
      <c r="S23" s="14">
        <v>4.7</v>
      </c>
      <c r="T23" s="14">
        <f t="shared" si="1"/>
        <v>48.848034665461341</v>
      </c>
      <c r="V23" s="15">
        <f t="shared" si="2"/>
        <v>0.20673442577611836</v>
      </c>
      <c r="W23" s="15">
        <f t="shared" si="3"/>
        <v>0.11087408971749722</v>
      </c>
      <c r="Y23" s="15">
        <f t="shared" si="4"/>
        <v>0.17478294917635515</v>
      </c>
    </row>
    <row r="24" spans="1:25" x14ac:dyDescent="0.3">
      <c r="A24" s="5">
        <v>35</v>
      </c>
      <c r="B24" s="5">
        <v>3500</v>
      </c>
      <c r="C24" s="5">
        <v>1241</v>
      </c>
      <c r="D24" s="5" t="s">
        <v>33</v>
      </c>
      <c r="E24" s="5" t="s">
        <v>34</v>
      </c>
      <c r="F24" s="13">
        <v>19</v>
      </c>
      <c r="G24" s="13" t="s">
        <v>53</v>
      </c>
      <c r="H24" s="13">
        <v>445</v>
      </c>
      <c r="I24" s="13">
        <v>306</v>
      </c>
      <c r="J24" s="13"/>
      <c r="K24" s="13">
        <v>105</v>
      </c>
      <c r="L24" s="13">
        <v>34</v>
      </c>
      <c r="M24" s="13">
        <f t="shared" si="0"/>
        <v>445</v>
      </c>
      <c r="N24" s="14">
        <v>27</v>
      </c>
      <c r="O24" s="14">
        <v>4.4674874934588944</v>
      </c>
      <c r="P24" s="14">
        <v>4.1500000000000004</v>
      </c>
      <c r="Q24" s="14">
        <v>6.7</v>
      </c>
      <c r="R24" s="14">
        <v>3.8</v>
      </c>
      <c r="S24" s="14">
        <v>8.1999999999999993</v>
      </c>
      <c r="T24" s="14">
        <f t="shared" si="1"/>
        <v>54.317487493458898</v>
      </c>
      <c r="V24" s="15">
        <f t="shared" si="2"/>
        <v>0.15975779043607294</v>
      </c>
      <c r="W24" s="15">
        <f t="shared" si="3"/>
        <v>7.9301770083975862E-2</v>
      </c>
      <c r="Y24" s="15">
        <f t="shared" si="4"/>
        <v>0.14462736306656701</v>
      </c>
    </row>
    <row r="25" spans="1:25" x14ac:dyDescent="0.3">
      <c r="A25" s="5">
        <v>35</v>
      </c>
      <c r="B25" s="5">
        <v>3500</v>
      </c>
      <c r="C25" s="5">
        <v>1242</v>
      </c>
      <c r="D25" s="5" t="s">
        <v>33</v>
      </c>
      <c r="E25" s="5" t="s">
        <v>34</v>
      </c>
      <c r="F25" s="13">
        <v>20</v>
      </c>
      <c r="G25" s="13" t="s">
        <v>54</v>
      </c>
      <c r="H25" s="13">
        <v>64</v>
      </c>
      <c r="I25" s="13">
        <v>54</v>
      </c>
      <c r="J25" s="13"/>
      <c r="K25" s="13"/>
      <c r="L25" s="13">
        <v>10</v>
      </c>
      <c r="M25" s="13">
        <f t="shared" si="0"/>
        <v>64</v>
      </c>
      <c r="N25" s="14">
        <v>29</v>
      </c>
      <c r="O25" s="14">
        <v>4.3856109857800956</v>
      </c>
      <c r="P25" s="14">
        <v>4.0999999999999996</v>
      </c>
      <c r="Q25" s="14">
        <v>6.6</v>
      </c>
      <c r="R25" s="14">
        <v>2.8</v>
      </c>
      <c r="S25" s="14">
        <v>4.7</v>
      </c>
      <c r="T25" s="14">
        <f t="shared" si="1"/>
        <v>51.5856109857801</v>
      </c>
      <c r="V25" s="15">
        <f t="shared" si="2"/>
        <v>2.467835697456108E-2</v>
      </c>
      <c r="W25" s="15">
        <f t="shared" si="3"/>
        <v>1.1196173116410819E-2</v>
      </c>
      <c r="Y25" s="15">
        <f t="shared" si="4"/>
        <v>1.9754195006760844E-2</v>
      </c>
    </row>
    <row r="26" spans="1:25" x14ac:dyDescent="0.3">
      <c r="A26" s="5">
        <v>35</v>
      </c>
      <c r="B26" s="5">
        <v>3500</v>
      </c>
      <c r="C26" s="5">
        <v>1243</v>
      </c>
      <c r="D26" s="5" t="s">
        <v>33</v>
      </c>
      <c r="E26" s="5" t="s">
        <v>34</v>
      </c>
      <c r="F26" s="13">
        <v>21</v>
      </c>
      <c r="G26" s="13" t="s">
        <v>55</v>
      </c>
      <c r="H26" s="13">
        <v>695</v>
      </c>
      <c r="I26" s="13">
        <v>474</v>
      </c>
      <c r="J26" s="13"/>
      <c r="K26" s="13">
        <v>205</v>
      </c>
      <c r="L26" s="13">
        <v>16</v>
      </c>
      <c r="M26" s="13">
        <f t="shared" si="0"/>
        <v>695</v>
      </c>
      <c r="N26" s="14">
        <v>20.63</v>
      </c>
      <c r="O26" s="14">
        <v>14.96</v>
      </c>
      <c r="P26" s="14">
        <v>6.88</v>
      </c>
      <c r="Q26" s="14">
        <v>9.68</v>
      </c>
      <c r="R26" s="14">
        <v>2.9</v>
      </c>
      <c r="S26" s="14">
        <v>6.1</v>
      </c>
      <c r="T26" s="14">
        <f t="shared" si="1"/>
        <v>61.150000000000006</v>
      </c>
      <c r="V26" s="15">
        <f t="shared" si="2"/>
        <v>0.19064363176061994</v>
      </c>
      <c r="W26" s="15">
        <f t="shared" si="3"/>
        <v>0.41473999968088332</v>
      </c>
      <c r="Y26" s="15">
        <f t="shared" si="4"/>
        <v>0.25429162079364326</v>
      </c>
    </row>
    <row r="27" spans="1:25" x14ac:dyDescent="0.3">
      <c r="A27" s="5">
        <v>35</v>
      </c>
      <c r="B27" s="5">
        <v>3500</v>
      </c>
      <c r="C27" s="5">
        <v>1244</v>
      </c>
      <c r="D27" s="5" t="s">
        <v>33</v>
      </c>
      <c r="E27" s="5" t="s">
        <v>34</v>
      </c>
      <c r="F27" s="13">
        <v>22</v>
      </c>
      <c r="G27" s="13" t="s">
        <v>56</v>
      </c>
      <c r="H27" s="13">
        <v>463</v>
      </c>
      <c r="I27" s="13">
        <v>446</v>
      </c>
      <c r="J27" s="13"/>
      <c r="K27" s="13"/>
      <c r="L27" s="13">
        <v>17</v>
      </c>
      <c r="M27" s="13">
        <f t="shared" si="0"/>
        <v>463</v>
      </c>
      <c r="N27" s="14">
        <v>23.63</v>
      </c>
      <c r="O27" s="14">
        <v>5.15</v>
      </c>
      <c r="P27" s="14">
        <v>5.36</v>
      </c>
      <c r="Q27" s="14">
        <v>8.5299999999999994</v>
      </c>
      <c r="R27" s="14">
        <v>3.35</v>
      </c>
      <c r="S27" s="14">
        <v>7.9</v>
      </c>
      <c r="T27" s="14">
        <f t="shared" si="1"/>
        <v>53.92</v>
      </c>
      <c r="V27" s="15">
        <f t="shared" si="2"/>
        <v>0.14547319685776436</v>
      </c>
      <c r="W27" s="15">
        <f t="shared" si="3"/>
        <v>9.5114722448263217E-2</v>
      </c>
      <c r="Y27" s="15">
        <f t="shared" si="4"/>
        <v>0.14937628643913647</v>
      </c>
    </row>
    <row r="28" spans="1:25" x14ac:dyDescent="0.3">
      <c r="A28" s="5">
        <v>35</v>
      </c>
      <c r="B28" s="5">
        <v>3500</v>
      </c>
      <c r="C28" s="5">
        <v>1245</v>
      </c>
      <c r="D28" s="5" t="s">
        <v>33</v>
      </c>
      <c r="E28" s="5" t="s">
        <v>34</v>
      </c>
      <c r="F28" s="13">
        <v>23</v>
      </c>
      <c r="G28" s="13" t="s">
        <v>57</v>
      </c>
      <c r="H28" s="13">
        <v>296</v>
      </c>
      <c r="I28" s="13">
        <v>181</v>
      </c>
      <c r="J28" s="13">
        <v>115</v>
      </c>
      <c r="K28" s="13"/>
      <c r="L28" s="13"/>
      <c r="M28" s="13">
        <f t="shared" si="0"/>
        <v>296</v>
      </c>
      <c r="N28" s="14">
        <v>30.77</v>
      </c>
      <c r="O28" s="14">
        <v>7.71</v>
      </c>
      <c r="P28" s="14">
        <v>4.33</v>
      </c>
      <c r="Q28" s="14">
        <v>8.84</v>
      </c>
      <c r="R28" s="14">
        <v>3.93</v>
      </c>
      <c r="S28" s="14">
        <v>3.2</v>
      </c>
      <c r="T28" s="14">
        <f t="shared" si="1"/>
        <v>58.779999999999994</v>
      </c>
      <c r="V28" s="15">
        <f t="shared" si="2"/>
        <v>0.12110371824124157</v>
      </c>
      <c r="W28" s="15">
        <f t="shared" si="3"/>
        <v>9.1034416734478957E-2</v>
      </c>
      <c r="Y28" s="15">
        <f t="shared" si="4"/>
        <v>0.10410511703604422</v>
      </c>
    </row>
    <row r="29" spans="1:25" x14ac:dyDescent="0.3">
      <c r="A29" s="5">
        <v>35</v>
      </c>
      <c r="B29" s="5">
        <v>3500</v>
      </c>
      <c r="C29" s="5">
        <v>1246</v>
      </c>
      <c r="D29" s="5" t="s">
        <v>33</v>
      </c>
      <c r="E29" s="5" t="s">
        <v>34</v>
      </c>
      <c r="F29" s="13">
        <v>24</v>
      </c>
      <c r="G29" s="13" t="s">
        <v>58</v>
      </c>
      <c r="H29" s="13">
        <v>2581</v>
      </c>
      <c r="I29" s="13">
        <v>1149</v>
      </c>
      <c r="J29" s="13">
        <v>789</v>
      </c>
      <c r="K29" s="13">
        <v>568</v>
      </c>
      <c r="L29" s="13">
        <v>75</v>
      </c>
      <c r="M29" s="13">
        <f t="shared" si="0"/>
        <v>2581</v>
      </c>
      <c r="N29" s="14">
        <v>25.02</v>
      </c>
      <c r="O29" s="14">
        <v>12.04</v>
      </c>
      <c r="P29" s="14">
        <v>5.8</v>
      </c>
      <c r="Q29" s="14">
        <v>8.5</v>
      </c>
      <c r="R29" s="14">
        <v>3.5</v>
      </c>
      <c r="S29" s="14">
        <v>4.5599999999999996</v>
      </c>
      <c r="T29" s="14">
        <f t="shared" si="1"/>
        <v>59.42</v>
      </c>
      <c r="V29" s="15">
        <f t="shared" si="2"/>
        <v>0.85864487099707998</v>
      </c>
      <c r="W29" s="15">
        <f t="shared" si="3"/>
        <v>1.239578446859094</v>
      </c>
      <c r="Y29" s="16">
        <f t="shared" si="4"/>
        <v>0.9176380977454407</v>
      </c>
    </row>
    <row r="30" spans="1:25" x14ac:dyDescent="0.3">
      <c r="A30" s="5">
        <v>35</v>
      </c>
      <c r="B30" s="5">
        <v>3500</v>
      </c>
      <c r="C30" s="5">
        <v>1247</v>
      </c>
      <c r="D30" s="5" t="s">
        <v>33</v>
      </c>
      <c r="E30" s="5" t="s">
        <v>34</v>
      </c>
      <c r="F30" s="13">
        <v>25</v>
      </c>
      <c r="G30" s="13" t="s">
        <v>59</v>
      </c>
      <c r="H30" s="13">
        <v>876</v>
      </c>
      <c r="I30" s="13">
        <v>686</v>
      </c>
      <c r="J30" s="13"/>
      <c r="K30" s="13">
        <v>148</v>
      </c>
      <c r="L30" s="13">
        <v>42</v>
      </c>
      <c r="M30" s="13">
        <f t="shared" si="0"/>
        <v>876</v>
      </c>
      <c r="N30" s="14">
        <v>24</v>
      </c>
      <c r="O30" s="14">
        <v>9.4813883742758538</v>
      </c>
      <c r="P30" s="14">
        <v>4</v>
      </c>
      <c r="Q30" s="14">
        <v>7.5</v>
      </c>
      <c r="R30" s="14">
        <v>2.5</v>
      </c>
      <c r="S30" s="14"/>
      <c r="T30" s="14">
        <f t="shared" si="1"/>
        <v>47.481388374275852</v>
      </c>
      <c r="V30" s="15">
        <f t="shared" si="2"/>
        <v>0.27954621607390745</v>
      </c>
      <c r="W30" s="15">
        <f t="shared" si="3"/>
        <v>0.33131078039449402</v>
      </c>
      <c r="Y30" s="15">
        <f t="shared" si="4"/>
        <v>0.24887329601183311</v>
      </c>
    </row>
    <row r="31" spans="1:25" x14ac:dyDescent="0.3">
      <c r="F31" s="13"/>
      <c r="G31" s="17" t="s">
        <v>60</v>
      </c>
      <c r="H31" s="13"/>
      <c r="I31" s="13"/>
      <c r="J31" s="13"/>
      <c r="K31" s="13"/>
      <c r="L31" s="13"/>
      <c r="M31" s="13">
        <f t="shared" si="0"/>
        <v>0</v>
      </c>
      <c r="N31" s="13"/>
      <c r="O31" s="13"/>
      <c r="P31" s="13"/>
      <c r="Q31" s="13"/>
      <c r="R31" s="13"/>
      <c r="S31" s="13"/>
      <c r="T31" s="14">
        <f t="shared" si="1"/>
        <v>0</v>
      </c>
      <c r="V31" s="15">
        <f t="shared" si="2"/>
        <v>0</v>
      </c>
      <c r="W31" s="15">
        <f t="shared" si="3"/>
        <v>0</v>
      </c>
      <c r="Y31" s="15">
        <f t="shared" si="4"/>
        <v>0</v>
      </c>
    </row>
    <row r="32" spans="1:25" s="27" customFormat="1" x14ac:dyDescent="0.3">
      <c r="A32" s="27">
        <v>35</v>
      </c>
      <c r="B32" s="27">
        <v>3500</v>
      </c>
      <c r="C32" s="27">
        <v>1148</v>
      </c>
      <c r="D32" s="27" t="s">
        <v>33</v>
      </c>
      <c r="E32" s="27" t="s">
        <v>34</v>
      </c>
      <c r="F32" s="28">
        <v>26</v>
      </c>
      <c r="G32" s="28" t="s">
        <v>61</v>
      </c>
      <c r="H32" s="28">
        <v>1085</v>
      </c>
      <c r="I32" s="31">
        <v>530</v>
      </c>
      <c r="J32" s="31"/>
      <c r="K32" s="31">
        <v>440</v>
      </c>
      <c r="L32" s="31">
        <v>115</v>
      </c>
      <c r="M32" s="28">
        <f t="shared" si="0"/>
        <v>1085</v>
      </c>
      <c r="N32" s="29">
        <v>19.28</v>
      </c>
      <c r="O32" s="29">
        <v>12.21</v>
      </c>
      <c r="P32" s="29">
        <v>4.2</v>
      </c>
      <c r="Q32" s="29">
        <v>8.18</v>
      </c>
      <c r="R32" s="29">
        <v>2.93</v>
      </c>
      <c r="S32" s="29">
        <v>4.84</v>
      </c>
      <c r="T32" s="29">
        <f t="shared" si="1"/>
        <v>51.64</v>
      </c>
      <c r="V32" s="30">
        <f t="shared" si="2"/>
        <v>0.27814742127125452</v>
      </c>
      <c r="W32" s="30">
        <f t="shared" si="3"/>
        <v>0.5284512469484467</v>
      </c>
      <c r="Y32" s="15">
        <f t="shared" si="4"/>
        <v>0.33524843233928486</v>
      </c>
    </row>
    <row r="33" spans="1:25" x14ac:dyDescent="0.3">
      <c r="A33" s="5">
        <v>35</v>
      </c>
      <c r="B33" s="5">
        <v>3500</v>
      </c>
      <c r="C33" s="5">
        <v>1149</v>
      </c>
      <c r="D33" s="5" t="s">
        <v>33</v>
      </c>
      <c r="E33" s="5" t="s">
        <v>34</v>
      </c>
      <c r="F33" s="13">
        <v>27</v>
      </c>
      <c r="G33" s="13" t="s">
        <v>62</v>
      </c>
      <c r="H33" s="13">
        <v>1807</v>
      </c>
      <c r="I33" s="18">
        <v>1325</v>
      </c>
      <c r="J33" s="18"/>
      <c r="K33" s="18">
        <v>387</v>
      </c>
      <c r="L33" s="18">
        <v>95</v>
      </c>
      <c r="M33" s="13">
        <f t="shared" si="0"/>
        <v>1807</v>
      </c>
      <c r="N33" s="14">
        <v>17.05</v>
      </c>
      <c r="O33" s="14">
        <v>10.645501084862245</v>
      </c>
      <c r="P33" s="14">
        <v>3.6</v>
      </c>
      <c r="Q33" s="14">
        <v>5.15</v>
      </c>
      <c r="R33" s="14">
        <v>2.2000000000000002</v>
      </c>
      <c r="S33" s="14">
        <v>4.7</v>
      </c>
      <c r="T33" s="14">
        <f t="shared" si="1"/>
        <v>43.345501084862249</v>
      </c>
      <c r="V33" s="15">
        <f t="shared" si="2"/>
        <v>0.40965740164557835</v>
      </c>
      <c r="W33" s="15">
        <f t="shared" si="3"/>
        <v>0.76733284110965161</v>
      </c>
      <c r="Y33" s="15">
        <f t="shared" si="4"/>
        <v>0.46865468658959653</v>
      </c>
    </row>
    <row r="34" spans="1:25" x14ac:dyDescent="0.3">
      <c r="A34" s="5">
        <v>35</v>
      </c>
      <c r="B34" s="5">
        <v>3500</v>
      </c>
      <c r="C34" s="5">
        <v>1150</v>
      </c>
      <c r="D34" s="5" t="s">
        <v>33</v>
      </c>
      <c r="E34" s="5" t="s">
        <v>34</v>
      </c>
      <c r="F34" s="13">
        <v>28</v>
      </c>
      <c r="G34" s="13" t="s">
        <v>63</v>
      </c>
      <c r="H34" s="13">
        <v>1799</v>
      </c>
      <c r="I34" s="18">
        <v>1041</v>
      </c>
      <c r="J34" s="18"/>
      <c r="K34" s="18">
        <v>758</v>
      </c>
      <c r="L34" s="18"/>
      <c r="M34" s="13">
        <f t="shared" si="0"/>
        <v>1799</v>
      </c>
      <c r="N34" s="14">
        <v>18.600000000000001</v>
      </c>
      <c r="O34" s="14">
        <v>8.4850306112061755</v>
      </c>
      <c r="P34" s="14">
        <v>3.5</v>
      </c>
      <c r="Q34" s="14">
        <v>7.5</v>
      </c>
      <c r="R34" s="14">
        <v>1.5</v>
      </c>
      <c r="S34" s="14">
        <v>2</v>
      </c>
      <c r="T34" s="14">
        <f t="shared" si="1"/>
        <v>41.585030611206179</v>
      </c>
      <c r="V34" s="15">
        <f t="shared" si="2"/>
        <v>0.4449204601662598</v>
      </c>
      <c r="W34" s="15">
        <f t="shared" si="3"/>
        <v>0.6088973748488149</v>
      </c>
      <c r="Y34" s="15">
        <f t="shared" si="4"/>
        <v>0.44762978118304481</v>
      </c>
    </row>
    <row r="35" spans="1:25" x14ac:dyDescent="0.3">
      <c r="A35" s="5">
        <v>35</v>
      </c>
      <c r="B35" s="5">
        <v>3500</v>
      </c>
      <c r="C35" s="5">
        <v>1151</v>
      </c>
      <c r="D35" s="5" t="s">
        <v>33</v>
      </c>
      <c r="E35" s="5" t="s">
        <v>34</v>
      </c>
      <c r="F35" s="13">
        <v>29</v>
      </c>
      <c r="G35" s="13" t="s">
        <v>64</v>
      </c>
      <c r="H35" s="13">
        <v>2462</v>
      </c>
      <c r="I35" s="18">
        <v>1386</v>
      </c>
      <c r="J35" s="18">
        <v>512</v>
      </c>
      <c r="K35" s="18">
        <v>564</v>
      </c>
      <c r="L35" s="18"/>
      <c r="M35" s="13">
        <f t="shared" si="0"/>
        <v>2462</v>
      </c>
      <c r="N35" s="14">
        <v>17</v>
      </c>
      <c r="O35" s="14">
        <v>11.15</v>
      </c>
      <c r="P35" s="14">
        <v>3.3</v>
      </c>
      <c r="Q35" s="14">
        <v>7.06</v>
      </c>
      <c r="R35" s="14">
        <v>2.2999999999999998</v>
      </c>
      <c r="S35" s="14">
        <v>4.76</v>
      </c>
      <c r="T35" s="14">
        <f t="shared" si="1"/>
        <v>45.569999999999993</v>
      </c>
      <c r="V35" s="15">
        <f t="shared" si="2"/>
        <v>0.55651290561060318</v>
      </c>
      <c r="W35" s="15">
        <f t="shared" si="3"/>
        <v>1.09502098192204</v>
      </c>
      <c r="Y35" s="16">
        <f t="shared" si="4"/>
        <v>0.67130187640610783</v>
      </c>
    </row>
    <row r="36" spans="1:25" x14ac:dyDescent="0.3">
      <c r="A36" s="5">
        <v>35</v>
      </c>
      <c r="B36" s="5">
        <v>3500</v>
      </c>
      <c r="C36" s="5">
        <v>1152</v>
      </c>
      <c r="D36" s="5" t="s">
        <v>33</v>
      </c>
      <c r="E36" s="5" t="s">
        <v>34</v>
      </c>
      <c r="F36" s="13">
        <v>30</v>
      </c>
      <c r="G36" s="13" t="s">
        <v>65</v>
      </c>
      <c r="H36" s="13">
        <v>1424</v>
      </c>
      <c r="I36" s="13">
        <v>712</v>
      </c>
      <c r="J36" s="13">
        <v>400</v>
      </c>
      <c r="K36" s="13">
        <v>312</v>
      </c>
      <c r="L36" s="14"/>
      <c r="M36" s="13">
        <f t="shared" si="0"/>
        <v>1424</v>
      </c>
      <c r="N36" s="14"/>
      <c r="O36" s="14">
        <v>9.2348027056726281</v>
      </c>
      <c r="P36" s="14">
        <v>7.45</v>
      </c>
      <c r="Q36" s="14">
        <v>11.35</v>
      </c>
      <c r="R36" s="14">
        <v>3.8</v>
      </c>
      <c r="S36" s="14">
        <v>7.08</v>
      </c>
      <c r="T36" s="14">
        <f t="shared" si="1"/>
        <v>38.914802705672628</v>
      </c>
      <c r="V36" s="15">
        <f t="shared" si="2"/>
        <v>0</v>
      </c>
      <c r="W36" s="15">
        <f t="shared" si="3"/>
        <v>0.52456237346536083</v>
      </c>
      <c r="Y36" s="15">
        <f t="shared" si="4"/>
        <v>0.33157028776074521</v>
      </c>
    </row>
    <row r="37" spans="1:25" x14ac:dyDescent="0.3">
      <c r="F37" s="13"/>
      <c r="G37" s="17" t="s">
        <v>66</v>
      </c>
      <c r="H37" s="13"/>
      <c r="I37" s="13"/>
      <c r="J37" s="13"/>
      <c r="K37" s="13"/>
      <c r="L37" s="13"/>
      <c r="M37" s="13">
        <f t="shared" si="0"/>
        <v>0</v>
      </c>
      <c r="N37" s="13"/>
      <c r="O37" s="13"/>
      <c r="P37" s="13"/>
      <c r="Q37" s="13"/>
      <c r="R37" s="13"/>
      <c r="S37" s="13"/>
      <c r="T37" s="14">
        <f t="shared" si="1"/>
        <v>0</v>
      </c>
      <c r="V37" s="15">
        <f t="shared" si="2"/>
        <v>0</v>
      </c>
      <c r="W37" s="15">
        <f t="shared" si="3"/>
        <v>0</v>
      </c>
      <c r="Y37" s="15">
        <f t="shared" si="4"/>
        <v>0</v>
      </c>
    </row>
    <row r="38" spans="1:25" x14ac:dyDescent="0.3">
      <c r="A38" s="5">
        <v>35</v>
      </c>
      <c r="B38" s="5">
        <v>3500</v>
      </c>
      <c r="C38" s="5">
        <v>122203</v>
      </c>
      <c r="D38" s="5" t="s">
        <v>33</v>
      </c>
      <c r="E38" s="5" t="s">
        <v>34</v>
      </c>
      <c r="F38" s="13">
        <v>31</v>
      </c>
      <c r="G38" s="13" t="s">
        <v>67</v>
      </c>
      <c r="H38" s="13">
        <v>148</v>
      </c>
      <c r="I38" s="13">
        <v>35</v>
      </c>
      <c r="J38" s="13">
        <v>113</v>
      </c>
      <c r="K38" s="13"/>
      <c r="L38" s="13"/>
      <c r="M38" s="13">
        <f t="shared" si="0"/>
        <v>148</v>
      </c>
      <c r="N38" s="14">
        <v>29.82</v>
      </c>
      <c r="O38" s="14">
        <v>8.9285614298797551</v>
      </c>
      <c r="P38" s="14">
        <v>4</v>
      </c>
      <c r="Q38" s="14">
        <v>7.5</v>
      </c>
      <c r="R38" s="14">
        <v>2.5</v>
      </c>
      <c r="S38" s="14">
        <v>5</v>
      </c>
      <c r="T38" s="14">
        <f t="shared" si="1"/>
        <v>57.748561429879757</v>
      </c>
      <c r="V38" s="15">
        <f t="shared" si="2"/>
        <v>5.8682367207569454E-2</v>
      </c>
      <c r="W38" s="15">
        <f t="shared" si="3"/>
        <v>5.2711179121081003E-2</v>
      </c>
      <c r="Y38" s="15">
        <f t="shared" si="4"/>
        <v>5.1139169329030468E-2</v>
      </c>
    </row>
    <row r="39" spans="1:25" x14ac:dyDescent="0.3">
      <c r="A39" s="5">
        <v>35</v>
      </c>
      <c r="B39" s="5">
        <v>3500</v>
      </c>
      <c r="C39" s="5">
        <v>1153</v>
      </c>
      <c r="D39" s="5" t="s">
        <v>33</v>
      </c>
      <c r="E39" s="5" t="s">
        <v>34</v>
      </c>
      <c r="F39" s="13">
        <v>32</v>
      </c>
      <c r="G39" s="13" t="s">
        <v>68</v>
      </c>
      <c r="H39" s="13">
        <v>156</v>
      </c>
      <c r="I39" s="13">
        <v>60</v>
      </c>
      <c r="J39" s="13">
        <v>66</v>
      </c>
      <c r="K39" s="13">
        <v>30</v>
      </c>
      <c r="L39" s="13"/>
      <c r="M39" s="13">
        <f t="shared" si="0"/>
        <v>156</v>
      </c>
      <c r="N39" s="14">
        <v>28</v>
      </c>
      <c r="O39" s="14">
        <v>8.1082705364897745</v>
      </c>
      <c r="P39" s="14">
        <v>4</v>
      </c>
      <c r="Q39" s="14">
        <v>7.5</v>
      </c>
      <c r="R39" s="14">
        <v>2.5</v>
      </c>
      <c r="S39" s="14">
        <v>5</v>
      </c>
      <c r="T39" s="14">
        <f t="shared" si="1"/>
        <v>55.108270536489776</v>
      </c>
      <c r="V39" s="15">
        <f t="shared" si="2"/>
        <v>5.8079236672889438E-2</v>
      </c>
      <c r="W39" s="15">
        <f t="shared" si="3"/>
        <v>5.0455946088922066E-2</v>
      </c>
      <c r="Y39" s="15">
        <f t="shared" si="4"/>
        <v>5.1438958185895868E-2</v>
      </c>
    </row>
    <row r="40" spans="1:25" s="27" customFormat="1" x14ac:dyDescent="0.3">
      <c r="A40" s="27">
        <v>35</v>
      </c>
      <c r="B40" s="27">
        <v>3500</v>
      </c>
      <c r="C40" s="27">
        <v>1154</v>
      </c>
      <c r="D40" s="27" t="s">
        <v>33</v>
      </c>
      <c r="E40" s="27" t="s">
        <v>34</v>
      </c>
      <c r="F40" s="28">
        <v>33</v>
      </c>
      <c r="G40" s="28" t="s">
        <v>69</v>
      </c>
      <c r="H40" s="28">
        <v>1212</v>
      </c>
      <c r="I40" s="28">
        <v>562</v>
      </c>
      <c r="J40" s="28">
        <v>197</v>
      </c>
      <c r="K40" s="28">
        <v>102</v>
      </c>
      <c r="L40" s="28">
        <v>351</v>
      </c>
      <c r="M40" s="28">
        <f t="shared" si="0"/>
        <v>1212</v>
      </c>
      <c r="N40" s="29">
        <v>22</v>
      </c>
      <c r="O40" s="29">
        <v>10.97</v>
      </c>
      <c r="P40" s="29">
        <v>3.76</v>
      </c>
      <c r="Q40" s="29">
        <v>6.74</v>
      </c>
      <c r="R40" s="29">
        <v>2.7</v>
      </c>
      <c r="S40" s="29">
        <v>3.8</v>
      </c>
      <c r="T40" s="29">
        <f t="shared" si="1"/>
        <v>49.97</v>
      </c>
      <c r="V40" s="30">
        <f t="shared" si="2"/>
        <v>0.35453863705263827</v>
      </c>
      <c r="W40" s="30">
        <f t="shared" si="3"/>
        <v>0.53035757024556029</v>
      </c>
      <c r="Y40" s="15">
        <f t="shared" si="4"/>
        <v>0.36237877554927961</v>
      </c>
    </row>
    <row r="41" spans="1:25" x14ac:dyDescent="0.3">
      <c r="A41" s="5">
        <v>35</v>
      </c>
      <c r="B41" s="5">
        <v>3500</v>
      </c>
      <c r="C41" s="5">
        <v>1155</v>
      </c>
      <c r="D41" s="5" t="s">
        <v>33</v>
      </c>
      <c r="E41" s="5" t="s">
        <v>34</v>
      </c>
      <c r="F41" s="13">
        <v>34</v>
      </c>
      <c r="G41" s="13" t="s">
        <v>70</v>
      </c>
      <c r="H41" s="13">
        <v>20</v>
      </c>
      <c r="I41" s="13">
        <v>12</v>
      </c>
      <c r="J41" s="13">
        <v>8</v>
      </c>
      <c r="K41" s="13"/>
      <c r="L41" s="13"/>
      <c r="M41" s="13">
        <f t="shared" si="0"/>
        <v>20</v>
      </c>
      <c r="N41" s="14">
        <v>28.65</v>
      </c>
      <c r="O41" s="14">
        <v>9.1666666666666661</v>
      </c>
      <c r="P41" s="14">
        <v>4</v>
      </c>
      <c r="Q41" s="14">
        <v>7.5</v>
      </c>
      <c r="R41" s="14">
        <v>2.5</v>
      </c>
      <c r="S41" s="14">
        <v>5</v>
      </c>
      <c r="T41" s="14">
        <f t="shared" si="1"/>
        <v>56.816666666666663</v>
      </c>
      <c r="V41" s="15">
        <f t="shared" si="2"/>
        <v>7.6189108547540388E-3</v>
      </c>
      <c r="W41" s="15">
        <f t="shared" si="3"/>
        <v>7.3130906982804928E-3</v>
      </c>
      <c r="Y41" s="15">
        <f t="shared" si="4"/>
        <v>6.7991798701195084E-3</v>
      </c>
    </row>
    <row r="42" spans="1:25" x14ac:dyDescent="0.3">
      <c r="A42" s="5">
        <v>35</v>
      </c>
      <c r="B42" s="5">
        <v>3500</v>
      </c>
      <c r="C42" s="5">
        <v>1156</v>
      </c>
      <c r="D42" s="5" t="s">
        <v>33</v>
      </c>
      <c r="E42" s="5" t="s">
        <v>34</v>
      </c>
      <c r="F42" s="13">
        <v>35</v>
      </c>
      <c r="G42" s="13" t="s">
        <v>71</v>
      </c>
      <c r="H42" s="13">
        <v>527</v>
      </c>
      <c r="I42" s="13">
        <v>352</v>
      </c>
      <c r="J42" s="13">
        <v>163</v>
      </c>
      <c r="K42" s="13">
        <v>12</v>
      </c>
      <c r="L42" s="13"/>
      <c r="M42" s="13">
        <f t="shared" si="0"/>
        <v>527</v>
      </c>
      <c r="N42" s="14">
        <v>19.29</v>
      </c>
      <c r="O42" s="14">
        <v>9.781264786830393</v>
      </c>
      <c r="P42" s="14">
        <v>4</v>
      </c>
      <c r="Q42" s="14">
        <v>8</v>
      </c>
      <c r="R42" s="14">
        <v>3</v>
      </c>
      <c r="S42" s="14">
        <v>5</v>
      </c>
      <c r="T42" s="14">
        <f t="shared" si="1"/>
        <v>49.07126478683039</v>
      </c>
      <c r="V42" s="15">
        <f t="shared" si="2"/>
        <v>0.13517024875145597</v>
      </c>
      <c r="W42" s="15">
        <f t="shared" si="3"/>
        <v>0.20561990580711059</v>
      </c>
      <c r="Y42" s="15">
        <f t="shared" si="4"/>
        <v>0.15473503268548428</v>
      </c>
    </row>
    <row r="43" spans="1:25" x14ac:dyDescent="0.3">
      <c r="A43" s="5">
        <v>35</v>
      </c>
      <c r="B43" s="5">
        <v>3500</v>
      </c>
      <c r="C43" s="5">
        <v>1157</v>
      </c>
      <c r="D43" s="5" t="s">
        <v>33</v>
      </c>
      <c r="E43" s="5" t="s">
        <v>34</v>
      </c>
      <c r="F43" s="13">
        <v>36</v>
      </c>
      <c r="G43" s="13" t="s">
        <v>72</v>
      </c>
      <c r="H43" s="13">
        <v>457</v>
      </c>
      <c r="I43" s="13">
        <v>350</v>
      </c>
      <c r="J43" s="13">
        <v>107</v>
      </c>
      <c r="K43" s="13"/>
      <c r="L43" s="13"/>
      <c r="M43" s="13">
        <f t="shared" si="0"/>
        <v>457</v>
      </c>
      <c r="N43" s="14">
        <v>23.97</v>
      </c>
      <c r="O43" s="14">
        <v>9.7029945583165027</v>
      </c>
      <c r="P43" s="14">
        <v>4</v>
      </c>
      <c r="Q43" s="14">
        <v>7.5</v>
      </c>
      <c r="R43" s="14">
        <v>2.5</v>
      </c>
      <c r="S43" s="14">
        <v>5</v>
      </c>
      <c r="T43" s="14">
        <f t="shared" si="1"/>
        <v>52.672994558316503</v>
      </c>
      <c r="V43" s="15">
        <f t="shared" si="2"/>
        <v>0.14565402964594001</v>
      </c>
      <c r="W43" s="15">
        <f t="shared" si="3"/>
        <v>0.17688113354836379</v>
      </c>
      <c r="Y43" s="15">
        <f t="shared" si="4"/>
        <v>0.14403067417279355</v>
      </c>
    </row>
    <row r="44" spans="1:25" x14ac:dyDescent="0.3">
      <c r="A44" s="5">
        <v>35</v>
      </c>
      <c r="B44" s="5">
        <v>3500</v>
      </c>
      <c r="C44" s="5">
        <v>1158</v>
      </c>
      <c r="D44" s="5" t="s">
        <v>33</v>
      </c>
      <c r="E44" s="5" t="s">
        <v>34</v>
      </c>
      <c r="F44" s="13">
        <v>37</v>
      </c>
      <c r="G44" s="13" t="s">
        <v>73</v>
      </c>
      <c r="H44" s="13">
        <v>107</v>
      </c>
      <c r="I44" s="13">
        <v>75</v>
      </c>
      <c r="J44" s="13">
        <v>29</v>
      </c>
      <c r="K44" s="13">
        <v>3</v>
      </c>
      <c r="L44" s="13"/>
      <c r="M44" s="13">
        <f t="shared" si="0"/>
        <v>107</v>
      </c>
      <c r="N44" s="14">
        <v>29.45</v>
      </c>
      <c r="O44" s="14">
        <v>9.6360593251398825</v>
      </c>
      <c r="P44" s="14">
        <v>4</v>
      </c>
      <c r="Q44" s="14">
        <v>7.5</v>
      </c>
      <c r="R44" s="14">
        <v>2.5</v>
      </c>
      <c r="S44" s="14">
        <v>5</v>
      </c>
      <c r="T44" s="14">
        <f t="shared" si="1"/>
        <v>58.086059325139885</v>
      </c>
      <c r="V44" s="15">
        <f t="shared" si="2"/>
        <v>4.1899355916157413E-2</v>
      </c>
      <c r="W44" s="15">
        <f t="shared" si="3"/>
        <v>4.1128490250585077E-2</v>
      </c>
      <c r="Y44" s="15">
        <f t="shared" si="4"/>
        <v>3.718831283680752E-2</v>
      </c>
    </row>
    <row r="45" spans="1:25" x14ac:dyDescent="0.3">
      <c r="A45" s="5">
        <v>35</v>
      </c>
      <c r="B45" s="5">
        <v>3500</v>
      </c>
      <c r="C45" s="5">
        <v>1159</v>
      </c>
      <c r="D45" s="5" t="s">
        <v>33</v>
      </c>
      <c r="E45" s="5" t="s">
        <v>34</v>
      </c>
      <c r="F45" s="13">
        <v>38</v>
      </c>
      <c r="G45" s="13" t="s">
        <v>74</v>
      </c>
      <c r="H45" s="13">
        <v>39</v>
      </c>
      <c r="I45" s="13">
        <v>25</v>
      </c>
      <c r="J45" s="13">
        <v>14</v>
      </c>
      <c r="K45" s="13"/>
      <c r="L45" s="13"/>
      <c r="M45" s="13">
        <f t="shared" si="0"/>
        <v>39</v>
      </c>
      <c r="N45" s="14">
        <v>28</v>
      </c>
      <c r="O45" s="14">
        <v>8.9832916587864702</v>
      </c>
      <c r="P45" s="14">
        <v>4</v>
      </c>
      <c r="Q45" s="14">
        <v>7.5</v>
      </c>
      <c r="R45" s="14">
        <v>2.5</v>
      </c>
      <c r="S45" s="14">
        <v>5</v>
      </c>
      <c r="T45" s="14">
        <f t="shared" si="1"/>
        <v>55.98329165878647</v>
      </c>
      <c r="V45" s="15">
        <f t="shared" si="2"/>
        <v>1.4519809168222359E-2</v>
      </c>
      <c r="W45" s="15">
        <f t="shared" si="3"/>
        <v>1.3975251491578205E-2</v>
      </c>
      <c r="Y45" s="15">
        <f t="shared" si="4"/>
        <v>1.3063929291876121E-2</v>
      </c>
    </row>
    <row r="46" spans="1:25" x14ac:dyDescent="0.3">
      <c r="A46" s="5">
        <v>35</v>
      </c>
      <c r="B46" s="5">
        <v>3500</v>
      </c>
      <c r="C46" s="5">
        <v>1160</v>
      </c>
      <c r="D46" s="5" t="s">
        <v>33</v>
      </c>
      <c r="E46" s="5" t="s">
        <v>34</v>
      </c>
      <c r="F46" s="13">
        <v>39</v>
      </c>
      <c r="G46" s="13" t="s">
        <v>75</v>
      </c>
      <c r="H46" s="13">
        <v>282</v>
      </c>
      <c r="I46" s="13">
        <v>195</v>
      </c>
      <c r="J46" s="13">
        <v>87</v>
      </c>
      <c r="K46" s="13"/>
      <c r="L46" s="13"/>
      <c r="M46" s="13">
        <f t="shared" si="0"/>
        <v>282</v>
      </c>
      <c r="N46" s="14">
        <v>28.48</v>
      </c>
      <c r="O46" s="14">
        <v>9.3512379582902909</v>
      </c>
      <c r="P46" s="14">
        <v>4</v>
      </c>
      <c r="Q46" s="14">
        <v>7.5</v>
      </c>
      <c r="R46" s="14">
        <v>2.5</v>
      </c>
      <c r="S46" s="14">
        <v>5</v>
      </c>
      <c r="T46" s="14">
        <f t="shared" si="1"/>
        <v>56.831237958290288</v>
      </c>
      <c r="V46" s="15">
        <f t="shared" si="2"/>
        <v>0.10678920747371276</v>
      </c>
      <c r="W46" s="15">
        <f t="shared" si="3"/>
        <v>0.10519079604605901</v>
      </c>
      <c r="Y46" s="15">
        <f t="shared" si="4"/>
        <v>9.589302273848703E-2</v>
      </c>
    </row>
    <row r="47" spans="1:25" x14ac:dyDescent="0.3">
      <c r="A47" s="5">
        <v>35</v>
      </c>
      <c r="B47" s="5">
        <v>3500</v>
      </c>
      <c r="C47" s="5">
        <v>1161</v>
      </c>
      <c r="D47" s="5" t="s">
        <v>33</v>
      </c>
      <c r="E47" s="5" t="s">
        <v>34</v>
      </c>
      <c r="F47" s="13">
        <v>40</v>
      </c>
      <c r="G47" s="13" t="s">
        <v>76</v>
      </c>
      <c r="H47" s="13">
        <v>726</v>
      </c>
      <c r="I47" s="13">
        <v>452</v>
      </c>
      <c r="J47" s="13">
        <v>261</v>
      </c>
      <c r="K47" s="13">
        <v>13</v>
      </c>
      <c r="L47" s="13"/>
      <c r="M47" s="13">
        <f t="shared" si="0"/>
        <v>726</v>
      </c>
      <c r="N47" s="14">
        <v>31.96</v>
      </c>
      <c r="O47" s="14">
        <v>8.2706922680979158</v>
      </c>
      <c r="P47" s="14">
        <v>4</v>
      </c>
      <c r="Q47" s="14">
        <v>7.5</v>
      </c>
      <c r="R47" s="14">
        <v>2.5</v>
      </c>
      <c r="S47" s="14">
        <v>5</v>
      </c>
      <c r="T47" s="14">
        <f t="shared" si="1"/>
        <v>59.230692268097918</v>
      </c>
      <c r="V47" s="15">
        <f t="shared" si="2"/>
        <v>0.30851881990649882</v>
      </c>
      <c r="W47" s="15">
        <f t="shared" si="3"/>
        <v>0.23951791786890236</v>
      </c>
      <c r="Y47" s="15">
        <f t="shared" si="4"/>
        <v>0.25729669825905349</v>
      </c>
    </row>
    <row r="48" spans="1:25" x14ac:dyDescent="0.3">
      <c r="A48" s="5">
        <v>35</v>
      </c>
      <c r="B48" s="5">
        <v>3500</v>
      </c>
      <c r="C48" s="5">
        <v>1162</v>
      </c>
      <c r="D48" s="5" t="s">
        <v>33</v>
      </c>
      <c r="E48" s="5" t="s">
        <v>34</v>
      </c>
      <c r="F48" s="13">
        <v>41</v>
      </c>
      <c r="G48" s="13" t="s">
        <v>77</v>
      </c>
      <c r="H48" s="13">
        <v>63</v>
      </c>
      <c r="I48" s="13">
        <v>51</v>
      </c>
      <c r="J48" s="13">
        <v>12</v>
      </c>
      <c r="K48" s="13"/>
      <c r="L48" s="13"/>
      <c r="M48" s="13">
        <f t="shared" si="0"/>
        <v>63</v>
      </c>
      <c r="N48" s="14">
        <v>27.57</v>
      </c>
      <c r="O48" s="14">
        <v>8.8982734944481994</v>
      </c>
      <c r="P48" s="14">
        <v>4</v>
      </c>
      <c r="Q48" s="14">
        <v>8</v>
      </c>
      <c r="R48" s="14">
        <v>3</v>
      </c>
      <c r="S48" s="14">
        <v>5</v>
      </c>
      <c r="T48" s="14">
        <f t="shared" si="1"/>
        <v>56.468273494448198</v>
      </c>
      <c r="V48" s="15">
        <f t="shared" si="2"/>
        <v>2.3094873390455219E-2</v>
      </c>
      <c r="W48" s="15">
        <f t="shared" si="3"/>
        <v>2.236175187681444E-2</v>
      </c>
      <c r="Y48" s="15">
        <f t="shared" si="4"/>
        <v>2.1286087490727086E-2</v>
      </c>
    </row>
    <row r="49" spans="1:25" x14ac:dyDescent="0.3">
      <c r="A49" s="5">
        <v>35</v>
      </c>
      <c r="B49" s="5">
        <v>3500</v>
      </c>
      <c r="C49" s="5">
        <v>1163</v>
      </c>
      <c r="D49" s="5" t="s">
        <v>33</v>
      </c>
      <c r="E49" s="5" t="s">
        <v>34</v>
      </c>
      <c r="F49" s="13">
        <v>42</v>
      </c>
      <c r="G49" s="13" t="s">
        <v>78</v>
      </c>
      <c r="H49" s="13">
        <v>70</v>
      </c>
      <c r="I49" s="13">
        <v>50</v>
      </c>
      <c r="J49" s="13">
        <v>20</v>
      </c>
      <c r="K49" s="13"/>
      <c r="L49" s="13"/>
      <c r="M49" s="13">
        <f t="shared" si="0"/>
        <v>70</v>
      </c>
      <c r="N49" s="14">
        <v>28.39</v>
      </c>
      <c r="O49" s="14">
        <v>9.4094500817980613</v>
      </c>
      <c r="P49" s="14">
        <v>5</v>
      </c>
      <c r="Q49" s="14">
        <v>8</v>
      </c>
      <c r="R49" s="14">
        <v>3</v>
      </c>
      <c r="S49" s="14">
        <v>5</v>
      </c>
      <c r="T49" s="14">
        <f t="shared" si="1"/>
        <v>58.799450081798064</v>
      </c>
      <c r="V49" s="15">
        <f t="shared" si="2"/>
        <v>2.6424191172168772E-2</v>
      </c>
      <c r="W49" s="15">
        <f t="shared" si="3"/>
        <v>2.6273734531850411E-2</v>
      </c>
      <c r="Y49" s="15">
        <f t="shared" si="4"/>
        <v>2.462759983800359E-2</v>
      </c>
    </row>
    <row r="50" spans="1:25" x14ac:dyDescent="0.3">
      <c r="A50" s="5">
        <v>35</v>
      </c>
      <c r="B50" s="5">
        <v>3500</v>
      </c>
      <c r="C50" s="5">
        <v>1164</v>
      </c>
      <c r="D50" s="5" t="s">
        <v>33</v>
      </c>
      <c r="E50" s="5" t="s">
        <v>34</v>
      </c>
      <c r="F50" s="13">
        <v>43</v>
      </c>
      <c r="G50" s="13" t="s">
        <v>79</v>
      </c>
      <c r="H50" s="13">
        <v>53</v>
      </c>
      <c r="I50" s="13">
        <v>53</v>
      </c>
      <c r="J50" s="13"/>
      <c r="K50" s="13"/>
      <c r="L50" s="13"/>
      <c r="M50" s="13">
        <f t="shared" si="0"/>
        <v>53</v>
      </c>
      <c r="N50" s="14">
        <v>22.16</v>
      </c>
      <c r="O50" s="14">
        <v>14.18</v>
      </c>
      <c r="P50" s="14">
        <v>6.2</v>
      </c>
      <c r="Q50" s="14">
        <v>9.8800000000000008</v>
      </c>
      <c r="R50" s="14">
        <v>2.7</v>
      </c>
      <c r="S50" s="14">
        <v>4.16</v>
      </c>
      <c r="T50" s="14">
        <f t="shared" si="1"/>
        <v>59.280000000000015</v>
      </c>
      <c r="V50" s="15">
        <f t="shared" si="2"/>
        <v>1.5616506842393589E-2</v>
      </c>
      <c r="W50" s="15">
        <f t="shared" si="3"/>
        <v>2.9978619182103934E-2</v>
      </c>
      <c r="Y50" s="15">
        <f t="shared" si="4"/>
        <v>1.8799004355942756E-2</v>
      </c>
    </row>
    <row r="51" spans="1:25" x14ac:dyDescent="0.3">
      <c r="A51" s="5">
        <v>35</v>
      </c>
      <c r="B51" s="5">
        <v>3500</v>
      </c>
      <c r="C51" s="5">
        <v>1165</v>
      </c>
      <c r="D51" s="5" t="s">
        <v>33</v>
      </c>
      <c r="E51" s="5" t="s">
        <v>34</v>
      </c>
      <c r="F51" s="13">
        <v>44</v>
      </c>
      <c r="G51" s="13" t="s">
        <v>80</v>
      </c>
      <c r="H51" s="13">
        <v>193</v>
      </c>
      <c r="I51" s="13">
        <v>154</v>
      </c>
      <c r="J51" s="13">
        <v>39</v>
      </c>
      <c r="K51" s="13"/>
      <c r="L51" s="13"/>
      <c r="M51" s="13">
        <f t="shared" si="0"/>
        <v>193</v>
      </c>
      <c r="N51" s="14">
        <v>27.55</v>
      </c>
      <c r="O51" s="14">
        <v>9.755277181064935</v>
      </c>
      <c r="P51" s="14">
        <v>4</v>
      </c>
      <c r="Q51" s="14">
        <v>7.5</v>
      </c>
      <c r="R51" s="14">
        <v>2.5</v>
      </c>
      <c r="S51" s="14">
        <v>5</v>
      </c>
      <c r="T51" s="14">
        <f t="shared" si="1"/>
        <v>56.305277181064938</v>
      </c>
      <c r="V51" s="15">
        <f t="shared" si="2"/>
        <v>7.0699636738840221E-2</v>
      </c>
      <c r="W51" s="15">
        <f t="shared" si="3"/>
        <v>7.5102855134808147E-2</v>
      </c>
      <c r="Y51" s="15">
        <f t="shared" si="4"/>
        <v>6.502153137682215E-2</v>
      </c>
    </row>
    <row r="52" spans="1:25" x14ac:dyDescent="0.3">
      <c r="A52" s="5">
        <v>35</v>
      </c>
      <c r="B52" s="5">
        <v>3500</v>
      </c>
      <c r="C52" s="5">
        <v>1166</v>
      </c>
      <c r="D52" s="5" t="s">
        <v>33</v>
      </c>
      <c r="E52" s="5" t="s">
        <v>34</v>
      </c>
      <c r="F52" s="13">
        <v>45</v>
      </c>
      <c r="G52" s="13" t="s">
        <v>81</v>
      </c>
      <c r="H52" s="13">
        <v>455</v>
      </c>
      <c r="I52" s="13">
        <v>405</v>
      </c>
      <c r="J52" s="13">
        <v>50</v>
      </c>
      <c r="K52" s="13"/>
      <c r="L52" s="13"/>
      <c r="M52" s="13">
        <f t="shared" si="0"/>
        <v>455</v>
      </c>
      <c r="N52" s="14">
        <v>27</v>
      </c>
      <c r="O52" s="14">
        <v>9.7802197802197792</v>
      </c>
      <c r="P52" s="14">
        <v>4</v>
      </c>
      <c r="Q52" s="14">
        <v>7.5</v>
      </c>
      <c r="R52" s="14">
        <v>2.5</v>
      </c>
      <c r="S52" s="14">
        <v>5</v>
      </c>
      <c r="T52" s="14">
        <f t="shared" si="1"/>
        <v>55.780219780219781</v>
      </c>
      <c r="V52" s="15">
        <f t="shared" si="2"/>
        <v>0.16334785314250155</v>
      </c>
      <c r="W52" s="15">
        <f t="shared" si="3"/>
        <v>0.17750865604008104</v>
      </c>
      <c r="Y52" s="15">
        <f t="shared" si="4"/>
        <v>0.15185965248193001</v>
      </c>
    </row>
    <row r="53" spans="1:25" x14ac:dyDescent="0.3">
      <c r="A53" s="5">
        <v>35</v>
      </c>
      <c r="B53" s="5">
        <v>3500</v>
      </c>
      <c r="C53" s="5">
        <v>1167</v>
      </c>
      <c r="D53" s="5" t="s">
        <v>33</v>
      </c>
      <c r="E53" s="5" t="s">
        <v>34</v>
      </c>
      <c r="F53" s="13">
        <v>46</v>
      </c>
      <c r="G53" s="13" t="s">
        <v>82</v>
      </c>
      <c r="H53" s="13">
        <v>16</v>
      </c>
      <c r="I53" s="13">
        <v>12</v>
      </c>
      <c r="J53" s="13">
        <v>4</v>
      </c>
      <c r="K53" s="13"/>
      <c r="L53" s="13"/>
      <c r="M53" s="13">
        <f t="shared" si="0"/>
        <v>16</v>
      </c>
      <c r="N53" s="14">
        <v>27.18</v>
      </c>
      <c r="O53" s="14">
        <v>9.7895862827918787</v>
      </c>
      <c r="P53" s="14">
        <v>4</v>
      </c>
      <c r="Q53" s="14">
        <v>8</v>
      </c>
      <c r="R53" s="14">
        <v>3</v>
      </c>
      <c r="S53" s="14">
        <v>5</v>
      </c>
      <c r="T53" s="14">
        <f t="shared" si="1"/>
        <v>56.96958628279188</v>
      </c>
      <c r="V53" s="15">
        <f t="shared" si="2"/>
        <v>5.7823943324876743E-3</v>
      </c>
      <c r="W53" s="15">
        <f t="shared" si="3"/>
        <v>6.248040644482874E-3</v>
      </c>
      <c r="Y53" s="15">
        <f t="shared" si="4"/>
        <v>5.4539836563871407E-3</v>
      </c>
    </row>
    <row r="54" spans="1:25" x14ac:dyDescent="0.3">
      <c r="A54" s="5">
        <v>35</v>
      </c>
      <c r="B54" s="5">
        <v>3500</v>
      </c>
      <c r="C54" s="5">
        <v>1168</v>
      </c>
      <c r="D54" s="5" t="s">
        <v>33</v>
      </c>
      <c r="E54" s="5" t="s">
        <v>34</v>
      </c>
      <c r="F54" s="13">
        <v>47</v>
      </c>
      <c r="G54" s="13" t="s">
        <v>83</v>
      </c>
      <c r="H54" s="13">
        <v>32</v>
      </c>
      <c r="I54" s="13">
        <v>32</v>
      </c>
      <c r="J54" s="13"/>
      <c r="K54" s="13"/>
      <c r="L54" s="13"/>
      <c r="M54" s="13">
        <f t="shared" si="0"/>
        <v>32</v>
      </c>
      <c r="N54" s="14">
        <v>22.54</v>
      </c>
      <c r="O54" s="14">
        <v>9.375</v>
      </c>
      <c r="P54" s="14">
        <v>4</v>
      </c>
      <c r="Q54" s="14">
        <v>8</v>
      </c>
      <c r="R54" s="14">
        <v>3</v>
      </c>
      <c r="S54" s="14">
        <v>5</v>
      </c>
      <c r="T54" s="14">
        <f t="shared" si="1"/>
        <v>51.914999999999999</v>
      </c>
      <c r="V54" s="15">
        <f t="shared" si="2"/>
        <v>9.5905201070104595E-3</v>
      </c>
      <c r="W54" s="15">
        <f t="shared" si="3"/>
        <v>1.1966875688095352E-2</v>
      </c>
      <c r="Y54" s="15">
        <f t="shared" si="4"/>
        <v>9.9401656215595234E-3</v>
      </c>
    </row>
    <row r="55" spans="1:25" x14ac:dyDescent="0.3">
      <c r="A55" s="5">
        <v>35</v>
      </c>
      <c r="B55" s="5">
        <v>3500</v>
      </c>
      <c r="C55" s="5">
        <v>1169</v>
      </c>
      <c r="D55" s="5" t="s">
        <v>33</v>
      </c>
      <c r="E55" s="5" t="s">
        <v>34</v>
      </c>
      <c r="F55" s="13">
        <v>48</v>
      </c>
      <c r="G55" s="13" t="s">
        <v>84</v>
      </c>
      <c r="H55" s="13">
        <v>46</v>
      </c>
      <c r="I55" s="13">
        <v>27</v>
      </c>
      <c r="J55" s="13">
        <v>19</v>
      </c>
      <c r="K55" s="13"/>
      <c r="L55" s="13"/>
      <c r="M55" s="13">
        <f t="shared" si="0"/>
        <v>46</v>
      </c>
      <c r="N55" s="14">
        <v>27.43</v>
      </c>
      <c r="O55" s="14">
        <v>8.7005024838146809</v>
      </c>
      <c r="P55" s="14">
        <v>4</v>
      </c>
      <c r="Q55" s="14">
        <v>8</v>
      </c>
      <c r="R55" s="14">
        <v>3</v>
      </c>
      <c r="S55" s="14">
        <v>5</v>
      </c>
      <c r="T55" s="14">
        <f t="shared" si="1"/>
        <v>56.130502483814681</v>
      </c>
      <c r="V55" s="15">
        <f t="shared" si="2"/>
        <v>1.6777293784138836E-2</v>
      </c>
      <c r="W55" s="15">
        <f t="shared" si="3"/>
        <v>1.5964734185992188E-2</v>
      </c>
      <c r="Y55" s="15">
        <f t="shared" si="4"/>
        <v>1.5449255147285167E-2</v>
      </c>
    </row>
    <row r="56" spans="1:25" x14ac:dyDescent="0.3">
      <c r="A56" s="5">
        <v>35</v>
      </c>
      <c r="B56" s="5">
        <v>3500</v>
      </c>
      <c r="C56" s="5">
        <v>1170</v>
      </c>
      <c r="D56" s="5" t="s">
        <v>33</v>
      </c>
      <c r="E56" s="5" t="s">
        <v>34</v>
      </c>
      <c r="F56" s="13">
        <v>49</v>
      </c>
      <c r="G56" s="13" t="s">
        <v>220</v>
      </c>
      <c r="H56" s="13">
        <v>59</v>
      </c>
      <c r="I56" s="13">
        <v>35</v>
      </c>
      <c r="J56" s="13">
        <v>24</v>
      </c>
      <c r="K56" s="13"/>
      <c r="L56" s="13"/>
      <c r="M56" s="13">
        <f t="shared" si="0"/>
        <v>59</v>
      </c>
      <c r="N56" s="14">
        <v>21.83</v>
      </c>
      <c r="O56" s="14">
        <v>7.7617990125266818</v>
      </c>
      <c r="P56" s="14">
        <v>4</v>
      </c>
      <c r="Q56" s="14">
        <v>8</v>
      </c>
      <c r="R56" s="14">
        <v>3</v>
      </c>
      <c r="S56" s="14">
        <v>5</v>
      </c>
      <c r="T56" s="14">
        <f t="shared" si="1"/>
        <v>49.591799012526678</v>
      </c>
      <c r="V56" s="15">
        <f t="shared" si="2"/>
        <v>1.7125529866662409E-2</v>
      </c>
      <c r="W56" s="15">
        <f t="shared" si="3"/>
        <v>1.8267281833447984E-2</v>
      </c>
      <c r="Y56" s="15">
        <f t="shared" si="4"/>
        <v>1.7507037370991539E-2</v>
      </c>
    </row>
    <row r="57" spans="1:25" x14ac:dyDescent="0.3">
      <c r="A57" s="5">
        <v>35</v>
      </c>
      <c r="B57" s="5">
        <v>3500</v>
      </c>
      <c r="C57" s="5">
        <v>1171</v>
      </c>
      <c r="D57" s="5" t="s">
        <v>33</v>
      </c>
      <c r="E57" s="5" t="s">
        <v>34</v>
      </c>
      <c r="F57" s="13">
        <v>50</v>
      </c>
      <c r="G57" s="13" t="s">
        <v>86</v>
      </c>
      <c r="H57" s="13">
        <v>119</v>
      </c>
      <c r="I57" s="13">
        <v>85</v>
      </c>
      <c r="J57" s="13">
        <v>34</v>
      </c>
      <c r="K57" s="13"/>
      <c r="L57" s="13"/>
      <c r="M57" s="13">
        <f t="shared" si="0"/>
        <v>119</v>
      </c>
      <c r="N57" s="14">
        <v>28.83</v>
      </c>
      <c r="O57" s="14">
        <v>9.1239141591742854</v>
      </c>
      <c r="P57" s="14">
        <v>5</v>
      </c>
      <c r="Q57" s="14">
        <v>9</v>
      </c>
      <c r="R57" s="14">
        <v>2.5</v>
      </c>
      <c r="S57" s="14">
        <v>5</v>
      </c>
      <c r="T57" s="14">
        <f t="shared" si="1"/>
        <v>59.453914159174282</v>
      </c>
      <c r="V57" s="15">
        <f t="shared" si="2"/>
        <v>4.5617331227163209E-2</v>
      </c>
      <c r="W57" s="15">
        <f t="shared" si="3"/>
        <v>4.3309949457571044E-2</v>
      </c>
      <c r="Y57" s="15">
        <f t="shared" si="4"/>
        <v>4.2332917194855074E-2</v>
      </c>
    </row>
    <row r="58" spans="1:25" s="27" customFormat="1" x14ac:dyDescent="0.3">
      <c r="A58" s="27">
        <v>35</v>
      </c>
      <c r="B58" s="27">
        <v>3500</v>
      </c>
      <c r="C58" s="27">
        <v>1172</v>
      </c>
      <c r="D58" s="27" t="s">
        <v>33</v>
      </c>
      <c r="E58" s="27" t="s">
        <v>34</v>
      </c>
      <c r="F58" s="28">
        <v>51</v>
      </c>
      <c r="G58" s="28" t="s">
        <v>87</v>
      </c>
      <c r="H58" s="28">
        <v>1926</v>
      </c>
      <c r="I58" s="28">
        <v>854</v>
      </c>
      <c r="J58" s="28">
        <v>636</v>
      </c>
      <c r="K58" s="28">
        <v>420</v>
      </c>
      <c r="L58" s="28">
        <v>16</v>
      </c>
      <c r="M58" s="28">
        <f t="shared" si="0"/>
        <v>1926</v>
      </c>
      <c r="N58" s="29">
        <v>25.99</v>
      </c>
      <c r="O58" s="29">
        <v>11.26</v>
      </c>
      <c r="P58" s="29">
        <v>4.2</v>
      </c>
      <c r="Q58" s="29">
        <v>7.62</v>
      </c>
      <c r="R58" s="29">
        <v>3.5</v>
      </c>
      <c r="S58" s="29">
        <v>4.76</v>
      </c>
      <c r="T58" s="29">
        <f t="shared" si="1"/>
        <v>57.33</v>
      </c>
      <c r="V58" s="30">
        <f t="shared" si="2"/>
        <v>0.6655808721459</v>
      </c>
      <c r="W58" s="30">
        <f t="shared" si="3"/>
        <v>0.8650758699918627</v>
      </c>
      <c r="Y58" s="15">
        <f t="shared" si="4"/>
        <v>0.66067672682016176</v>
      </c>
    </row>
    <row r="59" spans="1:25" x14ac:dyDescent="0.3">
      <c r="A59" s="5">
        <v>35</v>
      </c>
      <c r="B59" s="5">
        <v>3500</v>
      </c>
      <c r="C59" s="5">
        <v>1173</v>
      </c>
      <c r="D59" s="5" t="s">
        <v>33</v>
      </c>
      <c r="E59" s="5" t="s">
        <v>34</v>
      </c>
      <c r="F59" s="13">
        <v>52</v>
      </c>
      <c r="G59" s="13" t="s">
        <v>88</v>
      </c>
      <c r="H59" s="13">
        <v>165</v>
      </c>
      <c r="I59" s="13">
        <v>45</v>
      </c>
      <c r="J59" s="13">
        <v>88</v>
      </c>
      <c r="K59" s="13">
        <v>25</v>
      </c>
      <c r="L59" s="13">
        <v>7</v>
      </c>
      <c r="M59" s="13">
        <f t="shared" si="0"/>
        <v>165</v>
      </c>
      <c r="N59" s="14">
        <v>21.53</v>
      </c>
      <c r="O59" s="14">
        <v>7.0083582917756821</v>
      </c>
      <c r="P59" s="14">
        <v>4</v>
      </c>
      <c r="Q59" s="14">
        <v>7.5</v>
      </c>
      <c r="R59" s="14">
        <v>2.5</v>
      </c>
      <c r="S59" s="14">
        <v>7</v>
      </c>
      <c r="T59" s="14">
        <f t="shared" si="1"/>
        <v>49.53835829177568</v>
      </c>
      <c r="V59" s="15">
        <f t="shared" si="2"/>
        <v>4.723525282019371E-2</v>
      </c>
      <c r="W59" s="15">
        <f t="shared" si="3"/>
        <v>4.6127483850421529E-2</v>
      </c>
      <c r="Y59" s="15">
        <f t="shared" si="4"/>
        <v>4.8907598476275592E-2</v>
      </c>
    </row>
    <row r="60" spans="1:25" x14ac:dyDescent="0.3">
      <c r="A60" s="5">
        <v>35</v>
      </c>
      <c r="B60" s="5">
        <v>3500</v>
      </c>
      <c r="C60" s="5">
        <v>1174</v>
      </c>
      <c r="D60" s="5" t="s">
        <v>33</v>
      </c>
      <c r="E60" s="5" t="s">
        <v>34</v>
      </c>
      <c r="F60" s="13">
        <v>53</v>
      </c>
      <c r="G60" s="13" t="s">
        <v>89</v>
      </c>
      <c r="H60" s="13">
        <v>551</v>
      </c>
      <c r="I60" s="13">
        <v>215</v>
      </c>
      <c r="J60" s="13">
        <v>179</v>
      </c>
      <c r="K60" s="13">
        <v>125</v>
      </c>
      <c r="L60" s="13">
        <v>32</v>
      </c>
      <c r="M60" s="13">
        <f t="shared" si="0"/>
        <v>551</v>
      </c>
      <c r="N60" s="14">
        <v>27</v>
      </c>
      <c r="O60" s="14">
        <v>9.2445069620926805</v>
      </c>
      <c r="P60" s="14">
        <v>5</v>
      </c>
      <c r="Q60" s="14">
        <v>8</v>
      </c>
      <c r="R60" s="14">
        <v>2.5</v>
      </c>
      <c r="S60" s="14">
        <v>5</v>
      </c>
      <c r="T60" s="14">
        <f t="shared" si="1"/>
        <v>56.744506962092679</v>
      </c>
      <c r="V60" s="15">
        <f t="shared" si="2"/>
        <v>0.19781245512421616</v>
      </c>
      <c r="W60" s="15">
        <f t="shared" si="3"/>
        <v>0.20318651317605135</v>
      </c>
      <c r="Y60" s="15">
        <f t="shared" si="4"/>
        <v>0.18707950394974551</v>
      </c>
    </row>
    <row r="61" spans="1:25" x14ac:dyDescent="0.3">
      <c r="A61" s="5">
        <v>35</v>
      </c>
      <c r="B61" s="5">
        <v>3500</v>
      </c>
      <c r="C61" s="5">
        <v>1175</v>
      </c>
      <c r="D61" s="5" t="s">
        <v>33</v>
      </c>
      <c r="E61" s="5" t="s">
        <v>34</v>
      </c>
      <c r="F61" s="13">
        <v>54</v>
      </c>
      <c r="G61" s="13" t="s">
        <v>90</v>
      </c>
      <c r="H61" s="13">
        <v>2946</v>
      </c>
      <c r="I61" s="13">
        <v>1521</v>
      </c>
      <c r="J61" s="13">
        <v>964</v>
      </c>
      <c r="K61" s="13">
        <v>458</v>
      </c>
      <c r="L61" s="13">
        <v>3</v>
      </c>
      <c r="M61" s="13">
        <f t="shared" si="0"/>
        <v>2946</v>
      </c>
      <c r="N61" s="14">
        <v>26.41</v>
      </c>
      <c r="O61" s="14">
        <v>12.09</v>
      </c>
      <c r="P61" s="14">
        <v>4.34</v>
      </c>
      <c r="Q61" s="14">
        <v>8.5</v>
      </c>
      <c r="R61" s="14">
        <v>3.5</v>
      </c>
      <c r="S61" s="14">
        <v>4.76</v>
      </c>
      <c r="T61" s="14">
        <f t="shared" si="1"/>
        <v>59.6</v>
      </c>
      <c r="V61" s="15">
        <f t="shared" si="2"/>
        <v>1.034521245193305</v>
      </c>
      <c r="W61" s="15">
        <f t="shared" si="3"/>
        <v>1.4207529558182947</v>
      </c>
      <c r="Y61" s="16">
        <f t="shared" si="4"/>
        <v>1.0505815901584414</v>
      </c>
    </row>
    <row r="62" spans="1:25" x14ac:dyDescent="0.3">
      <c r="A62" s="5">
        <v>35</v>
      </c>
      <c r="B62" s="5">
        <v>3500</v>
      </c>
      <c r="C62" s="5">
        <v>1176</v>
      </c>
      <c r="D62" s="5" t="s">
        <v>33</v>
      </c>
      <c r="E62" s="5" t="s">
        <v>34</v>
      </c>
      <c r="F62" s="13">
        <v>55</v>
      </c>
      <c r="G62" s="13" t="s">
        <v>91</v>
      </c>
      <c r="H62" s="13">
        <v>69</v>
      </c>
      <c r="I62" s="13">
        <v>52</v>
      </c>
      <c r="J62" s="13">
        <v>17</v>
      </c>
      <c r="K62" s="13"/>
      <c r="L62" s="13"/>
      <c r="M62" s="13">
        <f t="shared" si="0"/>
        <v>69</v>
      </c>
      <c r="N62" s="14">
        <v>24.75</v>
      </c>
      <c r="O62" s="14">
        <v>2.9238868397315287</v>
      </c>
      <c r="P62" s="14">
        <v>5.2</v>
      </c>
      <c r="Q62" s="14">
        <v>12.2</v>
      </c>
      <c r="R62" s="14">
        <v>3.2</v>
      </c>
      <c r="S62" s="14">
        <v>5</v>
      </c>
      <c r="T62" s="14">
        <f t="shared" si="1"/>
        <v>53.273886839731531</v>
      </c>
      <c r="V62" s="15">
        <f t="shared" si="2"/>
        <v>2.2707146618160933E-2</v>
      </c>
      <c r="W62" s="15">
        <f t="shared" si="3"/>
        <v>8.0476517775387932E-3</v>
      </c>
      <c r="Y62" s="15">
        <f t="shared" si="4"/>
        <v>2.1994508352529054E-2</v>
      </c>
    </row>
    <row r="63" spans="1:25" x14ac:dyDescent="0.3">
      <c r="A63" s="5">
        <v>35</v>
      </c>
      <c r="B63" s="5">
        <v>3500</v>
      </c>
      <c r="C63" s="5">
        <v>1177</v>
      </c>
      <c r="D63" s="5" t="s">
        <v>33</v>
      </c>
      <c r="E63" s="5" t="s">
        <v>34</v>
      </c>
      <c r="F63" s="13">
        <v>56</v>
      </c>
      <c r="G63" s="13" t="s">
        <v>92</v>
      </c>
      <c r="H63" s="13">
        <v>54</v>
      </c>
      <c r="I63" s="13">
        <v>54</v>
      </c>
      <c r="J63" s="13"/>
      <c r="K63" s="13"/>
      <c r="L63" s="13"/>
      <c r="M63" s="13">
        <f t="shared" si="0"/>
        <v>54</v>
      </c>
      <c r="N63" s="14">
        <v>29.82</v>
      </c>
      <c r="O63" s="14">
        <v>8.9123533705671658</v>
      </c>
      <c r="P63" s="14">
        <v>5</v>
      </c>
      <c r="Q63" s="14">
        <v>7.25</v>
      </c>
      <c r="R63" s="14">
        <v>2.7</v>
      </c>
      <c r="S63" s="14">
        <v>5</v>
      </c>
      <c r="T63" s="14">
        <f t="shared" si="1"/>
        <v>58.682353370567171</v>
      </c>
      <c r="V63" s="15">
        <f t="shared" si="2"/>
        <v>2.1411133981140206E-2</v>
      </c>
      <c r="W63" s="15">
        <f t="shared" si="3"/>
        <v>1.9197544477311878E-2</v>
      </c>
      <c r="Y63" s="15">
        <f t="shared" si="4"/>
        <v>1.8960599552502438E-2</v>
      </c>
    </row>
    <row r="64" spans="1:25" x14ac:dyDescent="0.3">
      <c r="A64" s="5">
        <v>35</v>
      </c>
      <c r="B64" s="5">
        <v>3500</v>
      </c>
      <c r="C64" s="5">
        <v>1178</v>
      </c>
      <c r="D64" s="5" t="s">
        <v>33</v>
      </c>
      <c r="E64" s="5" t="s">
        <v>34</v>
      </c>
      <c r="F64" s="13">
        <v>57</v>
      </c>
      <c r="G64" s="13" t="s">
        <v>93</v>
      </c>
      <c r="H64" s="13">
        <v>23</v>
      </c>
      <c r="I64" s="13">
        <v>23</v>
      </c>
      <c r="J64" s="13"/>
      <c r="K64" s="13"/>
      <c r="L64" s="13"/>
      <c r="M64" s="13">
        <f t="shared" si="0"/>
        <v>23</v>
      </c>
      <c r="N64" s="14">
        <v>29.66</v>
      </c>
      <c r="O64" s="14">
        <v>8.7451789398152293</v>
      </c>
      <c r="P64" s="14">
        <v>5</v>
      </c>
      <c r="Q64" s="14">
        <v>7.5</v>
      </c>
      <c r="R64" s="14">
        <v>3.2</v>
      </c>
      <c r="S64" s="14">
        <v>5</v>
      </c>
      <c r="T64" s="14">
        <f t="shared" si="1"/>
        <v>59.105178939815232</v>
      </c>
      <c r="V64" s="15">
        <f t="shared" si="2"/>
        <v>9.0706258410054308E-3</v>
      </c>
      <c r="W64" s="15">
        <f t="shared" si="3"/>
        <v>8.0233559752904068E-3</v>
      </c>
      <c r="Y64" s="15">
        <f t="shared" si="4"/>
        <v>8.1339997822971032E-3</v>
      </c>
    </row>
    <row r="65" spans="1:25" x14ac:dyDescent="0.3">
      <c r="A65" s="5">
        <v>35</v>
      </c>
      <c r="B65" s="5">
        <v>3500</v>
      </c>
      <c r="C65" s="5">
        <v>1179</v>
      </c>
      <c r="D65" s="5" t="s">
        <v>33</v>
      </c>
      <c r="E65" s="5" t="s">
        <v>34</v>
      </c>
      <c r="F65" s="13">
        <v>58</v>
      </c>
      <c r="G65" s="13" t="s">
        <v>94</v>
      </c>
      <c r="H65" s="13">
        <v>42</v>
      </c>
      <c r="I65" s="13">
        <v>42</v>
      </c>
      <c r="J65" s="13"/>
      <c r="K65" s="13"/>
      <c r="L65" s="13"/>
      <c r="M65" s="13">
        <f t="shared" si="0"/>
        <v>42</v>
      </c>
      <c r="N65" s="14">
        <v>28.87</v>
      </c>
      <c r="O65" s="14">
        <v>6.0771607504973666</v>
      </c>
      <c r="P65" s="14">
        <v>5</v>
      </c>
      <c r="Q65" s="14">
        <v>7.6</v>
      </c>
      <c r="R65" s="14">
        <v>3.2</v>
      </c>
      <c r="S65" s="14">
        <v>5</v>
      </c>
      <c r="T65" s="14">
        <f t="shared" si="1"/>
        <v>55.747160750497372</v>
      </c>
      <c r="V65" s="15">
        <f t="shared" si="2"/>
        <v>1.6122572718714596E-2</v>
      </c>
      <c r="W65" s="15">
        <f t="shared" si="3"/>
        <v>1.0181447813288395E-2</v>
      </c>
      <c r="Y65" s="15">
        <f t="shared" si="4"/>
        <v>1.4009506195974878E-2</v>
      </c>
    </row>
    <row r="66" spans="1:25" x14ac:dyDescent="0.3">
      <c r="A66" s="5">
        <v>35</v>
      </c>
      <c r="B66" s="5">
        <v>3500</v>
      </c>
      <c r="C66" s="5">
        <v>1180</v>
      </c>
      <c r="D66" s="5" t="s">
        <v>33</v>
      </c>
      <c r="E66" s="5" t="s">
        <v>34</v>
      </c>
      <c r="F66" s="13">
        <v>59</v>
      </c>
      <c r="G66" s="13" t="s">
        <v>95</v>
      </c>
      <c r="H66" s="13">
        <v>51</v>
      </c>
      <c r="I66" s="13">
        <v>40</v>
      </c>
      <c r="J66" s="13">
        <v>11</v>
      </c>
      <c r="K66" s="13"/>
      <c r="L66" s="13"/>
      <c r="M66" s="13">
        <f t="shared" si="0"/>
        <v>51</v>
      </c>
      <c r="N66" s="14">
        <v>12.66</v>
      </c>
      <c r="O66" s="14">
        <v>7</v>
      </c>
      <c r="P66" s="14">
        <v>5</v>
      </c>
      <c r="Q66" s="14">
        <v>10.6</v>
      </c>
      <c r="R66" s="14">
        <v>3.2</v>
      </c>
      <c r="S66" s="14">
        <v>5</v>
      </c>
      <c r="T66" s="14">
        <f t="shared" si="1"/>
        <v>43.46</v>
      </c>
      <c r="V66" s="15">
        <f t="shared" si="2"/>
        <v>8.5850366186396056E-3</v>
      </c>
      <c r="W66" s="15">
        <f t="shared" si="3"/>
        <v>1.4240582068833468E-2</v>
      </c>
      <c r="Y66" s="15">
        <f t="shared" si="4"/>
        <v>1.3262050643817913E-2</v>
      </c>
    </row>
    <row r="67" spans="1:25" x14ac:dyDescent="0.3">
      <c r="A67" s="5">
        <v>35</v>
      </c>
      <c r="B67" s="5">
        <v>3500</v>
      </c>
      <c r="C67" s="5">
        <v>1181</v>
      </c>
      <c r="D67" s="5" t="s">
        <v>33</v>
      </c>
      <c r="E67" s="5" t="s">
        <v>34</v>
      </c>
      <c r="F67" s="13">
        <v>60</v>
      </c>
      <c r="G67" s="13" t="s">
        <v>96</v>
      </c>
      <c r="H67" s="13">
        <v>82</v>
      </c>
      <c r="I67" s="13">
        <v>82</v>
      </c>
      <c r="J67" s="13"/>
      <c r="K67" s="13"/>
      <c r="L67" s="13"/>
      <c r="M67" s="13">
        <f t="shared" si="0"/>
        <v>82</v>
      </c>
      <c r="N67" s="14">
        <v>16.510000000000002</v>
      </c>
      <c r="O67" s="14">
        <v>8.0236961493757271</v>
      </c>
      <c r="P67" s="14">
        <v>5.2</v>
      </c>
      <c r="Q67" s="14">
        <v>12.2</v>
      </c>
      <c r="R67" s="14">
        <v>3.2</v>
      </c>
      <c r="S67" s="14">
        <v>5</v>
      </c>
      <c r="T67" s="14">
        <f t="shared" si="1"/>
        <v>50.13369614937573</v>
      </c>
      <c r="V67" s="15">
        <f t="shared" si="2"/>
        <v>1.8001106271174724E-2</v>
      </c>
      <c r="W67" s="15">
        <f t="shared" si="3"/>
        <v>2.6245076996825177E-2</v>
      </c>
      <c r="Y67" s="15">
        <f t="shared" si="4"/>
        <v>2.4597692093777282E-2</v>
      </c>
    </row>
    <row r="68" spans="1:25" x14ac:dyDescent="0.3">
      <c r="A68" s="5">
        <v>35</v>
      </c>
      <c r="B68" s="5">
        <v>3500</v>
      </c>
      <c r="C68" s="5">
        <v>1182</v>
      </c>
      <c r="D68" s="5" t="s">
        <v>33</v>
      </c>
      <c r="E68" s="5" t="s">
        <v>34</v>
      </c>
      <c r="F68" s="13">
        <v>61</v>
      </c>
      <c r="G68" s="13" t="s">
        <v>97</v>
      </c>
      <c r="H68" s="13">
        <v>62</v>
      </c>
      <c r="I68" s="13">
        <v>37</v>
      </c>
      <c r="J68" s="13">
        <v>25</v>
      </c>
      <c r="K68" s="13"/>
      <c r="L68" s="13"/>
      <c r="M68" s="13">
        <f t="shared" si="0"/>
        <v>62</v>
      </c>
      <c r="N68" s="14">
        <v>15.1</v>
      </c>
      <c r="O68" s="14">
        <v>6.5971000853616468</v>
      </c>
      <c r="P68" s="14">
        <v>5.2</v>
      </c>
      <c r="Q68" s="14">
        <v>12.2</v>
      </c>
      <c r="R68" s="14">
        <v>3.2</v>
      </c>
      <c r="S68" s="14">
        <v>5</v>
      </c>
      <c r="T68" s="14">
        <f t="shared" si="1"/>
        <v>47.297100085361649</v>
      </c>
      <c r="V68" s="15">
        <f t="shared" si="2"/>
        <v>1.2448210021327632E-2</v>
      </c>
      <c r="W68" s="15">
        <f t="shared" si="3"/>
        <v>1.6315646502178854E-2</v>
      </c>
      <c r="Y68" s="15">
        <f t="shared" si="4"/>
        <v>1.7545954030996732E-2</v>
      </c>
    </row>
    <row r="69" spans="1:25" x14ac:dyDescent="0.3">
      <c r="A69" s="5">
        <v>35</v>
      </c>
      <c r="B69" s="5">
        <v>3500</v>
      </c>
      <c r="C69" s="5">
        <v>1183</v>
      </c>
      <c r="D69" s="5" t="s">
        <v>33</v>
      </c>
      <c r="E69" s="5" t="s">
        <v>34</v>
      </c>
      <c r="F69" s="13">
        <v>62</v>
      </c>
      <c r="G69" s="13" t="s">
        <v>98</v>
      </c>
      <c r="H69" s="13">
        <v>56</v>
      </c>
      <c r="I69" s="13">
        <v>44</v>
      </c>
      <c r="J69" s="13">
        <v>12</v>
      </c>
      <c r="K69" s="13"/>
      <c r="L69" s="13"/>
      <c r="M69" s="13">
        <f t="shared" si="0"/>
        <v>56</v>
      </c>
      <c r="N69" s="14">
        <v>34</v>
      </c>
      <c r="O69" s="14">
        <v>7.0422234271181976</v>
      </c>
      <c r="P69" s="14">
        <v>5.2</v>
      </c>
      <c r="Q69" s="14">
        <v>12.45</v>
      </c>
      <c r="R69" s="14">
        <v>3.2</v>
      </c>
      <c r="S69" s="14">
        <v>5</v>
      </c>
      <c r="T69" s="14">
        <f t="shared" si="1"/>
        <v>66.892223427118196</v>
      </c>
      <c r="V69" s="15">
        <f t="shared" si="2"/>
        <v>2.5316590344592833E-2</v>
      </c>
      <c r="W69" s="15">
        <f t="shared" si="3"/>
        <v>1.573103696642171E-2</v>
      </c>
      <c r="Y69" s="15">
        <f t="shared" si="4"/>
        <v>2.2413745823073445E-2</v>
      </c>
    </row>
    <row r="70" spans="1:25" x14ac:dyDescent="0.3">
      <c r="A70" s="5">
        <v>35</v>
      </c>
      <c r="B70" s="5">
        <v>3500</v>
      </c>
      <c r="C70" s="5">
        <v>1184</v>
      </c>
      <c r="D70" s="5" t="s">
        <v>33</v>
      </c>
      <c r="E70" s="5" t="s">
        <v>34</v>
      </c>
      <c r="F70" s="13">
        <v>63</v>
      </c>
      <c r="G70" s="13" t="s">
        <v>99</v>
      </c>
      <c r="H70" s="13">
        <v>38</v>
      </c>
      <c r="I70" s="13">
        <v>30</v>
      </c>
      <c r="J70" s="13">
        <v>8</v>
      </c>
      <c r="K70" s="13"/>
      <c r="L70" s="13"/>
      <c r="M70" s="13">
        <f t="shared" si="0"/>
        <v>38</v>
      </c>
      <c r="N70" s="14">
        <v>17.25</v>
      </c>
      <c r="O70" s="14">
        <v>9.3786648821981675</v>
      </c>
      <c r="P70" s="14">
        <v>4</v>
      </c>
      <c r="Q70" s="14">
        <v>7.5</v>
      </c>
      <c r="R70" s="14">
        <v>2.5</v>
      </c>
      <c r="S70" s="14">
        <v>5</v>
      </c>
      <c r="T70" s="14">
        <f t="shared" si="1"/>
        <v>45.628664882198166</v>
      </c>
      <c r="V70" s="15">
        <f t="shared" si="2"/>
        <v>8.715874459496115E-3</v>
      </c>
      <c r="W70" s="15">
        <f t="shared" si="3"/>
        <v>1.4216220123638983E-2</v>
      </c>
      <c r="Y70" s="15">
        <f t="shared" si="4"/>
        <v>1.0374618648721521E-2</v>
      </c>
    </row>
    <row r="71" spans="1:25" x14ac:dyDescent="0.3">
      <c r="A71" s="5">
        <v>35</v>
      </c>
      <c r="B71" s="5">
        <v>3500</v>
      </c>
      <c r="C71" s="5">
        <v>1185</v>
      </c>
      <c r="D71" s="5" t="s">
        <v>33</v>
      </c>
      <c r="E71" s="5" t="s">
        <v>34</v>
      </c>
      <c r="F71" s="13">
        <v>64</v>
      </c>
      <c r="G71" s="13" t="s">
        <v>100</v>
      </c>
      <c r="H71" s="13">
        <v>45</v>
      </c>
      <c r="I71" s="13">
        <v>33</v>
      </c>
      <c r="J71" s="13">
        <v>12</v>
      </c>
      <c r="K71" s="13"/>
      <c r="L71" s="13"/>
      <c r="M71" s="13">
        <f t="shared" ref="M71:M134" si="5">SUM(I71:L71)</f>
        <v>45</v>
      </c>
      <c r="N71" s="14">
        <v>5.3</v>
      </c>
      <c r="O71" s="14">
        <v>9.8590413423124215</v>
      </c>
      <c r="P71" s="14">
        <v>4</v>
      </c>
      <c r="Q71" s="14">
        <v>7.5</v>
      </c>
      <c r="R71" s="14">
        <v>2.5</v>
      </c>
      <c r="S71" s="14">
        <v>5</v>
      </c>
      <c r="T71" s="14">
        <f t="shared" ref="T71:T134" si="6">SUM(N71:S71)</f>
        <v>34.15904134231242</v>
      </c>
      <c r="V71" s="15">
        <f t="shared" ref="V71:V134" si="7">(((N71/45)*100)*H71)/$H$190</f>
        <v>3.1712220573452683E-3</v>
      </c>
      <c r="W71" s="15">
        <f t="shared" ref="W71:W134" si="8">(((O71/15)*100)*H71)/$H$190</f>
        <v>1.7697288322086824E-2</v>
      </c>
      <c r="Y71" s="15">
        <f t="shared" ref="Y71:Y134" si="9">(T71*H71)/$H$190</f>
        <v>9.1974825307791566E-3</v>
      </c>
    </row>
    <row r="72" spans="1:25" x14ac:dyDescent="0.3">
      <c r="A72" s="5">
        <v>35</v>
      </c>
      <c r="B72" s="5">
        <v>3500</v>
      </c>
      <c r="C72" s="5">
        <v>1186</v>
      </c>
      <c r="D72" s="5" t="s">
        <v>33</v>
      </c>
      <c r="E72" s="5" t="s">
        <v>34</v>
      </c>
      <c r="F72" s="13">
        <v>65</v>
      </c>
      <c r="G72" s="13" t="s">
        <v>101</v>
      </c>
      <c r="H72" s="13">
        <v>461</v>
      </c>
      <c r="I72" s="13">
        <v>149</v>
      </c>
      <c r="J72" s="13">
        <v>100</v>
      </c>
      <c r="K72" s="13">
        <v>95</v>
      </c>
      <c r="L72" s="13">
        <v>117</v>
      </c>
      <c r="M72" s="13">
        <f t="shared" si="5"/>
        <v>461</v>
      </c>
      <c r="N72" s="14">
        <v>19.7</v>
      </c>
      <c r="O72" s="14">
        <v>10.83</v>
      </c>
      <c r="P72" s="14">
        <v>7.71</v>
      </c>
      <c r="Q72" s="14">
        <v>12.6</v>
      </c>
      <c r="R72" s="14">
        <v>4.25</v>
      </c>
      <c r="S72" s="14">
        <v>7.3</v>
      </c>
      <c r="T72" s="14">
        <f t="shared" si="6"/>
        <v>62.39</v>
      </c>
      <c r="V72" s="15">
        <f t="shared" si="7"/>
        <v>0.12075508326286173</v>
      </c>
      <c r="W72" s="15">
        <f t="shared" si="8"/>
        <v>0.19915394188885169</v>
      </c>
      <c r="Y72" s="15">
        <f t="shared" si="9"/>
        <v>0.17209438274855202</v>
      </c>
    </row>
    <row r="73" spans="1:25" x14ac:dyDescent="0.3">
      <c r="A73" s="5">
        <v>35</v>
      </c>
      <c r="B73" s="5">
        <v>3500</v>
      </c>
      <c r="C73" s="5">
        <v>1187</v>
      </c>
      <c r="D73" s="5" t="s">
        <v>33</v>
      </c>
      <c r="E73" s="5" t="s">
        <v>34</v>
      </c>
      <c r="F73" s="13">
        <v>66</v>
      </c>
      <c r="G73" s="13" t="s">
        <v>102</v>
      </c>
      <c r="H73" s="13">
        <v>369</v>
      </c>
      <c r="I73" s="13">
        <v>155</v>
      </c>
      <c r="J73" s="13">
        <v>30</v>
      </c>
      <c r="K73" s="13">
        <v>120</v>
      </c>
      <c r="L73" s="13">
        <v>64</v>
      </c>
      <c r="M73" s="13">
        <f t="shared" si="5"/>
        <v>369</v>
      </c>
      <c r="N73" s="14">
        <v>18.079999999999998</v>
      </c>
      <c r="O73" s="14">
        <v>12.08</v>
      </c>
      <c r="P73" s="14">
        <v>8.2799999999999994</v>
      </c>
      <c r="Q73" s="14">
        <v>12.48</v>
      </c>
      <c r="R73" s="14">
        <v>4.18</v>
      </c>
      <c r="S73" s="14">
        <v>7.3</v>
      </c>
      <c r="T73" s="14">
        <f t="shared" si="6"/>
        <v>62.4</v>
      </c>
      <c r="V73" s="15">
        <f t="shared" si="7"/>
        <v>8.8708056100713209E-2</v>
      </c>
      <c r="W73" s="15">
        <f t="shared" si="8"/>
        <v>0.17780862572399597</v>
      </c>
      <c r="Y73" s="15">
        <f t="shared" si="9"/>
        <v>0.13777224642190417</v>
      </c>
    </row>
    <row r="74" spans="1:25" x14ac:dyDescent="0.3">
      <c r="A74" s="5">
        <v>35</v>
      </c>
      <c r="B74" s="5">
        <v>3500</v>
      </c>
      <c r="C74" s="5">
        <v>1188</v>
      </c>
      <c r="D74" s="5" t="s">
        <v>33</v>
      </c>
      <c r="E74" s="5" t="s">
        <v>34</v>
      </c>
      <c r="F74" s="13">
        <v>67</v>
      </c>
      <c r="G74" s="13" t="s">
        <v>103</v>
      </c>
      <c r="H74" s="13">
        <v>281</v>
      </c>
      <c r="I74" s="13">
        <v>200</v>
      </c>
      <c r="J74" s="13"/>
      <c r="K74" s="13">
        <v>59</v>
      </c>
      <c r="L74" s="13">
        <v>22</v>
      </c>
      <c r="M74" s="13">
        <f t="shared" si="5"/>
        <v>281</v>
      </c>
      <c r="N74" s="14">
        <v>13.45</v>
      </c>
      <c r="O74" s="14">
        <v>11.48</v>
      </c>
      <c r="P74" s="14">
        <v>8.2799999999999994</v>
      </c>
      <c r="Q74" s="14">
        <v>12.51</v>
      </c>
      <c r="R74" s="14">
        <v>4.0999999999999996</v>
      </c>
      <c r="S74" s="14">
        <v>7.3</v>
      </c>
      <c r="T74" s="14">
        <f t="shared" si="6"/>
        <v>57.12</v>
      </c>
      <c r="V74" s="15">
        <f t="shared" si="7"/>
        <v>5.0253564799302194E-2</v>
      </c>
      <c r="W74" s="15">
        <f t="shared" si="8"/>
        <v>0.12867901648237678</v>
      </c>
      <c r="Y74" s="15">
        <f t="shared" si="9"/>
        <v>9.6038485472212914E-2</v>
      </c>
    </row>
    <row r="75" spans="1:25" x14ac:dyDescent="0.3">
      <c r="A75" s="5">
        <v>35</v>
      </c>
      <c r="B75" s="5">
        <v>3500</v>
      </c>
      <c r="C75" s="5">
        <v>1189</v>
      </c>
      <c r="D75" s="5" t="s">
        <v>33</v>
      </c>
      <c r="E75" s="5" t="s">
        <v>34</v>
      </c>
      <c r="F75" s="13">
        <v>68</v>
      </c>
      <c r="G75" s="13" t="s">
        <v>104</v>
      </c>
      <c r="H75" s="13">
        <v>332</v>
      </c>
      <c r="I75" s="13">
        <v>140</v>
      </c>
      <c r="J75" s="13">
        <v>95</v>
      </c>
      <c r="K75" s="13">
        <v>45</v>
      </c>
      <c r="L75" s="13">
        <v>52</v>
      </c>
      <c r="M75" s="13">
        <f t="shared" si="5"/>
        <v>332</v>
      </c>
      <c r="N75" s="14">
        <v>23.79</v>
      </c>
      <c r="O75" s="14">
        <v>11.57</v>
      </c>
      <c r="P75" s="14">
        <v>8.4600000000000009</v>
      </c>
      <c r="Q75" s="14">
        <v>12.72</v>
      </c>
      <c r="R75" s="14">
        <v>4.03</v>
      </c>
      <c r="S75" s="14">
        <v>7.9</v>
      </c>
      <c r="T75" s="14">
        <f t="shared" si="6"/>
        <v>68.47</v>
      </c>
      <c r="V75" s="15">
        <f t="shared" si="7"/>
        <v>0.10501970545529971</v>
      </c>
      <c r="W75" s="15">
        <f t="shared" si="8"/>
        <v>0.15322547189379795</v>
      </c>
      <c r="Y75" s="15">
        <f t="shared" si="9"/>
        <v>0.13601574840840555</v>
      </c>
    </row>
    <row r="76" spans="1:25" x14ac:dyDescent="0.3">
      <c r="A76" s="5">
        <v>35</v>
      </c>
      <c r="B76" s="5">
        <v>3500</v>
      </c>
      <c r="C76" s="5">
        <v>1190</v>
      </c>
      <c r="D76" s="5" t="s">
        <v>33</v>
      </c>
      <c r="E76" s="5" t="s">
        <v>34</v>
      </c>
      <c r="F76" s="13">
        <v>69</v>
      </c>
      <c r="G76" s="13" t="s">
        <v>105</v>
      </c>
      <c r="H76" s="13">
        <v>108</v>
      </c>
      <c r="I76" s="13">
        <v>45</v>
      </c>
      <c r="J76" s="13"/>
      <c r="K76" s="13">
        <v>20</v>
      </c>
      <c r="L76" s="13">
        <v>43</v>
      </c>
      <c r="M76" s="13">
        <f t="shared" si="5"/>
        <v>108</v>
      </c>
      <c r="N76" s="14">
        <v>25.27</v>
      </c>
      <c r="O76" s="14">
        <v>10.52</v>
      </c>
      <c r="P76" s="14">
        <v>8.5</v>
      </c>
      <c r="Q76" s="14">
        <v>12.24</v>
      </c>
      <c r="R76" s="14">
        <v>4.25</v>
      </c>
      <c r="S76" s="14">
        <v>7.45</v>
      </c>
      <c r="T76" s="14">
        <f t="shared" si="6"/>
        <v>68.23</v>
      </c>
      <c r="V76" s="15">
        <f t="shared" si="7"/>
        <v>3.6288353836580349E-2</v>
      </c>
      <c r="W76" s="15">
        <f t="shared" si="8"/>
        <v>4.5320951605954715E-2</v>
      </c>
      <c r="Y76" s="15">
        <f t="shared" si="9"/>
        <v>4.4090996122732276E-2</v>
      </c>
    </row>
    <row r="77" spans="1:25" x14ac:dyDescent="0.3">
      <c r="A77" s="5">
        <v>35</v>
      </c>
      <c r="B77" s="5">
        <v>3500</v>
      </c>
      <c r="C77" s="5">
        <v>1191</v>
      </c>
      <c r="D77" s="5" t="s">
        <v>33</v>
      </c>
      <c r="E77" s="5" t="s">
        <v>34</v>
      </c>
      <c r="F77" s="13">
        <v>70</v>
      </c>
      <c r="G77" s="13" t="s">
        <v>106</v>
      </c>
      <c r="H77" s="13">
        <v>98</v>
      </c>
      <c r="I77" s="13">
        <v>51</v>
      </c>
      <c r="J77" s="13">
        <v>22</v>
      </c>
      <c r="K77" s="13">
        <v>25</v>
      </c>
      <c r="L77" s="13"/>
      <c r="M77" s="13">
        <f t="shared" si="5"/>
        <v>98</v>
      </c>
      <c r="N77" s="14">
        <v>24.05</v>
      </c>
      <c r="O77" s="14">
        <v>13.96</v>
      </c>
      <c r="P77" s="14">
        <v>8.5</v>
      </c>
      <c r="Q77" s="14">
        <v>12.6</v>
      </c>
      <c r="R77" s="14">
        <v>4.25</v>
      </c>
      <c r="S77" s="14">
        <v>8.35</v>
      </c>
      <c r="T77" s="14">
        <f t="shared" si="6"/>
        <v>71.710000000000008</v>
      </c>
      <c r="V77" s="15">
        <f t="shared" si="7"/>
        <v>3.1338588121413262E-2</v>
      </c>
      <c r="W77" s="15">
        <f t="shared" si="8"/>
        <v>5.4572144304564973E-2</v>
      </c>
      <c r="Y77" s="15">
        <f t="shared" si="9"/>
        <v>4.204908812407257E-2</v>
      </c>
    </row>
    <row r="78" spans="1:25" x14ac:dyDescent="0.3">
      <c r="A78" s="5">
        <v>35</v>
      </c>
      <c r="B78" s="5">
        <v>3500</v>
      </c>
      <c r="C78" s="5">
        <v>1192</v>
      </c>
      <c r="D78" s="5" t="s">
        <v>33</v>
      </c>
      <c r="E78" s="5" t="s">
        <v>34</v>
      </c>
      <c r="F78" s="13">
        <v>71</v>
      </c>
      <c r="G78" s="13" t="s">
        <v>107</v>
      </c>
      <c r="H78" s="13">
        <v>245</v>
      </c>
      <c r="I78" s="13">
        <v>163</v>
      </c>
      <c r="J78" s="13"/>
      <c r="K78" s="13">
        <v>56</v>
      </c>
      <c r="L78" s="13">
        <v>26</v>
      </c>
      <c r="M78" s="13">
        <f t="shared" si="5"/>
        <v>245</v>
      </c>
      <c r="N78" s="14">
        <v>20.81</v>
      </c>
      <c r="O78" s="14">
        <v>11.33</v>
      </c>
      <c r="P78" s="14">
        <v>7.98</v>
      </c>
      <c r="Q78" s="14">
        <v>11.43</v>
      </c>
      <c r="R78" s="14">
        <v>4.25</v>
      </c>
      <c r="S78" s="14">
        <v>7</v>
      </c>
      <c r="T78" s="14">
        <f t="shared" si="6"/>
        <v>62.800000000000004</v>
      </c>
      <c r="V78" s="15">
        <f t="shared" si="7"/>
        <v>6.7791685946633054E-2</v>
      </c>
      <c r="W78" s="15">
        <f t="shared" si="8"/>
        <v>0.11072750626266495</v>
      </c>
      <c r="Y78" s="15">
        <f t="shared" si="9"/>
        <v>9.2061174668517556E-2</v>
      </c>
    </row>
    <row r="79" spans="1:25" x14ac:dyDescent="0.3">
      <c r="A79" s="5">
        <v>35</v>
      </c>
      <c r="B79" s="5">
        <v>3500</v>
      </c>
      <c r="C79" s="5">
        <v>1193</v>
      </c>
      <c r="D79" s="5" t="s">
        <v>33</v>
      </c>
      <c r="E79" s="5" t="s">
        <v>34</v>
      </c>
      <c r="F79" s="13">
        <v>72</v>
      </c>
      <c r="G79" s="13" t="s">
        <v>108</v>
      </c>
      <c r="H79" s="13">
        <v>113</v>
      </c>
      <c r="I79" s="13">
        <v>62</v>
      </c>
      <c r="J79" s="13">
        <v>25</v>
      </c>
      <c r="K79" s="13"/>
      <c r="L79" s="13">
        <v>26</v>
      </c>
      <c r="M79" s="13">
        <f t="shared" si="5"/>
        <v>113</v>
      </c>
      <c r="N79" s="14">
        <v>13.38</v>
      </c>
      <c r="O79" s="14">
        <v>11.31</v>
      </c>
      <c r="P79" s="14">
        <v>8.2799999999999994</v>
      </c>
      <c r="Q79" s="14">
        <v>12.69</v>
      </c>
      <c r="R79" s="14">
        <v>4.18</v>
      </c>
      <c r="S79" s="14">
        <v>7.06</v>
      </c>
      <c r="T79" s="14">
        <f t="shared" si="6"/>
        <v>56.9</v>
      </c>
      <c r="V79" s="15">
        <f t="shared" si="7"/>
        <v>2.0103553364287652E-2</v>
      </c>
      <c r="W79" s="15">
        <f t="shared" si="8"/>
        <v>5.0980087118855016E-2</v>
      </c>
      <c r="Y79" s="15">
        <f t="shared" si="9"/>
        <v>3.847171030587334E-2</v>
      </c>
    </row>
    <row r="80" spans="1:25" x14ac:dyDescent="0.3">
      <c r="A80" s="5">
        <v>35</v>
      </c>
      <c r="B80" s="5">
        <v>3500</v>
      </c>
      <c r="C80" s="5">
        <v>1194</v>
      </c>
      <c r="D80" s="5" t="s">
        <v>33</v>
      </c>
      <c r="E80" s="5" t="s">
        <v>34</v>
      </c>
      <c r="F80" s="13">
        <v>73</v>
      </c>
      <c r="G80" s="13" t="s">
        <v>109</v>
      </c>
      <c r="H80" s="13">
        <v>69</v>
      </c>
      <c r="I80" s="13">
        <v>48</v>
      </c>
      <c r="J80" s="13">
        <v>21</v>
      </c>
      <c r="K80" s="13"/>
      <c r="L80" s="13"/>
      <c r="M80" s="13">
        <f t="shared" si="5"/>
        <v>69</v>
      </c>
      <c r="N80" s="14">
        <v>23.57</v>
      </c>
      <c r="O80" s="14">
        <v>11.17</v>
      </c>
      <c r="P80" s="14">
        <v>8.5</v>
      </c>
      <c r="Q80" s="14">
        <v>12.6</v>
      </c>
      <c r="R80" s="14">
        <v>4.03</v>
      </c>
      <c r="S80" s="14">
        <v>7.75</v>
      </c>
      <c r="T80" s="14">
        <f t="shared" si="6"/>
        <v>67.62</v>
      </c>
      <c r="V80" s="15">
        <f t="shared" si="7"/>
        <v>2.162454326424457E-2</v>
      </c>
      <c r="W80" s="15">
        <f t="shared" si="8"/>
        <v>3.0744100330285767E-2</v>
      </c>
      <c r="Y80" s="15">
        <f t="shared" si="9"/>
        <v>2.7917404624000771E-2</v>
      </c>
    </row>
    <row r="81" spans="1:25" x14ac:dyDescent="0.3">
      <c r="A81" s="5">
        <v>35</v>
      </c>
      <c r="B81" s="5">
        <v>3500</v>
      </c>
      <c r="C81" s="5">
        <v>1195</v>
      </c>
      <c r="D81" s="5" t="s">
        <v>33</v>
      </c>
      <c r="E81" s="5" t="s">
        <v>34</v>
      </c>
      <c r="F81" s="13">
        <v>74</v>
      </c>
      <c r="G81" s="13" t="s">
        <v>110</v>
      </c>
      <c r="H81" s="13">
        <v>38</v>
      </c>
      <c r="I81" s="13">
        <v>20</v>
      </c>
      <c r="J81" s="13">
        <v>10</v>
      </c>
      <c r="K81" s="13"/>
      <c r="L81" s="13">
        <v>8</v>
      </c>
      <c r="M81" s="13">
        <f t="shared" si="5"/>
        <v>38</v>
      </c>
      <c r="N81" s="14">
        <v>24.02</v>
      </c>
      <c r="O81" s="14">
        <v>9.5</v>
      </c>
      <c r="P81" s="14">
        <v>8.1</v>
      </c>
      <c r="Q81" s="14">
        <v>12.63</v>
      </c>
      <c r="R81" s="14">
        <v>3.88</v>
      </c>
      <c r="S81" s="14">
        <v>7.36</v>
      </c>
      <c r="T81" s="14">
        <f t="shared" si="6"/>
        <v>65.490000000000009</v>
      </c>
      <c r="V81" s="15">
        <f t="shared" si="7"/>
        <v>1.213653939229546E-2</v>
      </c>
      <c r="W81" s="15">
        <f t="shared" si="8"/>
        <v>1.4400140411341406E-2</v>
      </c>
      <c r="Y81" s="15">
        <f t="shared" si="9"/>
        <v>1.4890503087453929E-2</v>
      </c>
    </row>
    <row r="82" spans="1:25" x14ac:dyDescent="0.3">
      <c r="A82" s="5">
        <v>35</v>
      </c>
      <c r="B82" s="5">
        <v>3500</v>
      </c>
      <c r="C82" s="5">
        <v>1196</v>
      </c>
      <c r="D82" s="5" t="s">
        <v>33</v>
      </c>
      <c r="E82" s="5" t="s">
        <v>34</v>
      </c>
      <c r="F82" s="13">
        <v>75</v>
      </c>
      <c r="G82" s="13" t="s">
        <v>111</v>
      </c>
      <c r="H82" s="13">
        <v>445</v>
      </c>
      <c r="I82" s="13">
        <v>445</v>
      </c>
      <c r="J82" s="13"/>
      <c r="K82" s="13"/>
      <c r="L82" s="13"/>
      <c r="M82" s="13">
        <f t="shared" si="5"/>
        <v>445</v>
      </c>
      <c r="N82" s="14">
        <v>25.55</v>
      </c>
      <c r="O82" s="14">
        <v>13.78</v>
      </c>
      <c r="P82" s="14">
        <v>8.5</v>
      </c>
      <c r="Q82" s="14">
        <v>12.63</v>
      </c>
      <c r="R82" s="14">
        <v>3.73</v>
      </c>
      <c r="S82" s="14">
        <v>7.74</v>
      </c>
      <c r="T82" s="14">
        <f t="shared" si="6"/>
        <v>71.929999999999993</v>
      </c>
      <c r="V82" s="15">
        <f t="shared" si="7"/>
        <v>0.15117820539413571</v>
      </c>
      <c r="W82" s="15">
        <f t="shared" si="8"/>
        <v>0.24460692802323167</v>
      </c>
      <c r="Y82" s="15">
        <f t="shared" si="9"/>
        <v>0.19152296443444541</v>
      </c>
    </row>
    <row r="83" spans="1:25" x14ac:dyDescent="0.3">
      <c r="A83" s="5">
        <v>35</v>
      </c>
      <c r="B83" s="5">
        <v>3500</v>
      </c>
      <c r="C83" s="5">
        <v>1197</v>
      </c>
      <c r="D83" s="5" t="s">
        <v>33</v>
      </c>
      <c r="E83" s="5" t="s">
        <v>34</v>
      </c>
      <c r="F83" s="13">
        <v>76</v>
      </c>
      <c r="G83" s="13" t="s">
        <v>112</v>
      </c>
      <c r="H83" s="13">
        <v>62</v>
      </c>
      <c r="I83" s="13">
        <v>39</v>
      </c>
      <c r="J83" s="13"/>
      <c r="K83" s="13">
        <v>15</v>
      </c>
      <c r="L83" s="13">
        <v>8</v>
      </c>
      <c r="M83" s="13">
        <f t="shared" si="5"/>
        <v>62</v>
      </c>
      <c r="N83" s="14">
        <v>19.82</v>
      </c>
      <c r="O83" s="14">
        <v>12.8</v>
      </c>
      <c r="P83" s="14">
        <v>6.8</v>
      </c>
      <c r="Q83" s="14">
        <v>12.48</v>
      </c>
      <c r="R83" s="14">
        <v>3.5</v>
      </c>
      <c r="S83" s="14">
        <v>5.27</v>
      </c>
      <c r="T83" s="14">
        <f t="shared" si="6"/>
        <v>60.67</v>
      </c>
      <c r="V83" s="15">
        <f t="shared" si="7"/>
        <v>1.6339306133954547E-2</v>
      </c>
      <c r="W83" s="15">
        <f t="shared" si="8"/>
        <v>3.1656375153574903E-2</v>
      </c>
      <c r="Y83" s="15">
        <f t="shared" si="9"/>
        <v>2.2506940787899096E-2</v>
      </c>
    </row>
    <row r="84" spans="1:25" x14ac:dyDescent="0.3">
      <c r="A84" s="5">
        <v>35</v>
      </c>
      <c r="B84" s="5">
        <v>3500</v>
      </c>
      <c r="C84" s="5">
        <v>1198</v>
      </c>
      <c r="D84" s="5" t="s">
        <v>33</v>
      </c>
      <c r="E84" s="5" t="s">
        <v>34</v>
      </c>
      <c r="F84" s="13">
        <v>77</v>
      </c>
      <c r="G84" s="13" t="s">
        <v>113</v>
      </c>
      <c r="H84" s="13">
        <v>288</v>
      </c>
      <c r="I84" s="13">
        <v>154</v>
      </c>
      <c r="J84" s="13"/>
      <c r="K84" s="13">
        <v>95</v>
      </c>
      <c r="L84" s="13">
        <v>39</v>
      </c>
      <c r="M84" s="13">
        <f t="shared" si="5"/>
        <v>288</v>
      </c>
      <c r="N84" s="14">
        <v>21.67</v>
      </c>
      <c r="O84" s="14">
        <v>11.75</v>
      </c>
      <c r="P84" s="14">
        <v>7</v>
      </c>
      <c r="Q84" s="14">
        <v>12.63</v>
      </c>
      <c r="R84" s="14">
        <v>3.5</v>
      </c>
      <c r="S84" s="14">
        <v>6.2</v>
      </c>
      <c r="T84" s="14">
        <f t="shared" si="6"/>
        <v>62.750000000000007</v>
      </c>
      <c r="V84" s="15">
        <f t="shared" si="7"/>
        <v>8.2983102771528414E-2</v>
      </c>
      <c r="W84" s="15">
        <f t="shared" si="8"/>
        <v>0.13498635776171558</v>
      </c>
      <c r="Y84" s="15">
        <f t="shared" si="9"/>
        <v>0.10813268871762963</v>
      </c>
    </row>
    <row r="85" spans="1:25" x14ac:dyDescent="0.3">
      <c r="A85" s="5">
        <v>35</v>
      </c>
      <c r="B85" s="5">
        <v>3500</v>
      </c>
      <c r="C85" s="5">
        <v>1199</v>
      </c>
      <c r="D85" s="5" t="s">
        <v>33</v>
      </c>
      <c r="E85" s="5" t="s">
        <v>34</v>
      </c>
      <c r="F85" s="13">
        <v>78</v>
      </c>
      <c r="G85" s="13" t="s">
        <v>114</v>
      </c>
      <c r="H85" s="13">
        <v>69</v>
      </c>
      <c r="I85" s="13">
        <v>55</v>
      </c>
      <c r="J85" s="13"/>
      <c r="K85" s="13">
        <v>10</v>
      </c>
      <c r="L85" s="13">
        <v>4</v>
      </c>
      <c r="M85" s="13">
        <f t="shared" si="5"/>
        <v>69</v>
      </c>
      <c r="N85" s="14">
        <v>21.16</v>
      </c>
      <c r="O85" s="14">
        <v>13.72</v>
      </c>
      <c r="P85" s="14">
        <v>7</v>
      </c>
      <c r="Q85" s="14">
        <v>12.48</v>
      </c>
      <c r="R85" s="14">
        <v>3.5</v>
      </c>
      <c r="S85" s="14">
        <v>7</v>
      </c>
      <c r="T85" s="14">
        <f t="shared" si="6"/>
        <v>64.86</v>
      </c>
      <c r="V85" s="15">
        <f t="shared" si="7"/>
        <v>1.9413463532940819E-2</v>
      </c>
      <c r="W85" s="15">
        <f t="shared" si="8"/>
        <v>3.7762672921353692E-2</v>
      </c>
      <c r="Y85" s="15">
        <f t="shared" si="9"/>
        <v>2.6777918720980329E-2</v>
      </c>
    </row>
    <row r="86" spans="1:25" s="27" customFormat="1" x14ac:dyDescent="0.3">
      <c r="A86" s="27">
        <v>35</v>
      </c>
      <c r="B86" s="27">
        <v>3500</v>
      </c>
      <c r="C86" s="27">
        <v>1200</v>
      </c>
      <c r="D86" s="27" t="s">
        <v>33</v>
      </c>
      <c r="E86" s="27" t="s">
        <v>34</v>
      </c>
      <c r="F86" s="28">
        <v>79</v>
      </c>
      <c r="G86" s="28" t="s">
        <v>115</v>
      </c>
      <c r="H86" s="28">
        <v>661</v>
      </c>
      <c r="I86" s="28">
        <v>281</v>
      </c>
      <c r="J86" s="28">
        <v>100</v>
      </c>
      <c r="K86" s="28"/>
      <c r="L86" s="28">
        <v>280</v>
      </c>
      <c r="M86" s="28">
        <f t="shared" si="5"/>
        <v>661</v>
      </c>
      <c r="N86" s="29">
        <v>26.4</v>
      </c>
      <c r="O86" s="29">
        <v>10.27</v>
      </c>
      <c r="P86" s="29">
        <v>7.3</v>
      </c>
      <c r="Q86" s="29">
        <v>10.73</v>
      </c>
      <c r="R86" s="29">
        <v>3.5</v>
      </c>
      <c r="S86" s="29">
        <v>7</v>
      </c>
      <c r="T86" s="29">
        <f t="shared" si="6"/>
        <v>65.2</v>
      </c>
      <c r="V86" s="30">
        <f t="shared" si="7"/>
        <v>0.23202974167504348</v>
      </c>
      <c r="W86" s="30">
        <f t="shared" si="8"/>
        <v>0.27078925534121551</v>
      </c>
      <c r="Y86" s="15">
        <f t="shared" si="9"/>
        <v>0.25786941745249153</v>
      </c>
    </row>
    <row r="87" spans="1:25" s="27" customFormat="1" x14ac:dyDescent="0.3">
      <c r="A87" s="27">
        <v>35</v>
      </c>
      <c r="B87" s="27">
        <v>3500</v>
      </c>
      <c r="C87" s="27">
        <v>1201</v>
      </c>
      <c r="D87" s="27" t="s">
        <v>33</v>
      </c>
      <c r="E87" s="27" t="s">
        <v>34</v>
      </c>
      <c r="F87" s="28">
        <v>80</v>
      </c>
      <c r="G87" s="28" t="s">
        <v>116</v>
      </c>
      <c r="H87" s="28">
        <v>515</v>
      </c>
      <c r="I87" s="28">
        <v>291</v>
      </c>
      <c r="J87" s="28"/>
      <c r="K87" s="28">
        <v>100</v>
      </c>
      <c r="L87" s="28">
        <v>124</v>
      </c>
      <c r="M87" s="28">
        <f t="shared" si="5"/>
        <v>515</v>
      </c>
      <c r="N87" s="29">
        <v>25.04</v>
      </c>
      <c r="O87" s="29">
        <v>11.81</v>
      </c>
      <c r="P87" s="29">
        <v>4.34</v>
      </c>
      <c r="Q87" s="29">
        <v>7.54</v>
      </c>
      <c r="R87" s="29">
        <v>2.9</v>
      </c>
      <c r="S87" s="29">
        <v>4.24</v>
      </c>
      <c r="T87" s="29">
        <f t="shared" si="6"/>
        <v>55.87</v>
      </c>
      <c r="V87" s="30">
        <f t="shared" si="7"/>
        <v>0.17146671347044712</v>
      </c>
      <c r="W87" s="30">
        <f t="shared" si="8"/>
        <v>0.24261444322116379</v>
      </c>
      <c r="Y87" s="15">
        <f t="shared" si="9"/>
        <v>0.17216175625867597</v>
      </c>
    </row>
    <row r="88" spans="1:25" x14ac:dyDescent="0.3">
      <c r="A88" s="5">
        <v>35</v>
      </c>
      <c r="B88" s="5">
        <v>3500</v>
      </c>
      <c r="C88" s="5">
        <v>1202</v>
      </c>
      <c r="D88" s="5" t="s">
        <v>33</v>
      </c>
      <c r="E88" s="5" t="s">
        <v>34</v>
      </c>
      <c r="F88" s="13">
        <v>81</v>
      </c>
      <c r="G88" s="13" t="s">
        <v>117</v>
      </c>
      <c r="H88" s="13">
        <v>293</v>
      </c>
      <c r="I88" s="13">
        <v>293</v>
      </c>
      <c r="J88" s="13"/>
      <c r="K88" s="13"/>
      <c r="L88" s="13"/>
      <c r="M88" s="13">
        <f t="shared" si="5"/>
        <v>293</v>
      </c>
      <c r="N88" s="14">
        <v>21.76</v>
      </c>
      <c r="O88" s="14">
        <v>12.19</v>
      </c>
      <c r="P88" s="14">
        <v>5.88</v>
      </c>
      <c r="Q88" s="14">
        <v>10.9</v>
      </c>
      <c r="R88" s="14">
        <v>3.73</v>
      </c>
      <c r="S88" s="14">
        <v>4.76</v>
      </c>
      <c r="T88" s="14">
        <f t="shared" si="6"/>
        <v>59.22</v>
      </c>
      <c r="V88" s="15">
        <f t="shared" si="7"/>
        <v>8.4774411096750851E-2</v>
      </c>
      <c r="W88" s="15">
        <f t="shared" si="8"/>
        <v>0.14247243629633174</v>
      </c>
      <c r="Y88" s="16">
        <f t="shared" si="9"/>
        <v>0.10382138241347949</v>
      </c>
    </row>
    <row r="89" spans="1:25" s="27" customFormat="1" x14ac:dyDescent="0.3">
      <c r="A89" s="27">
        <v>35</v>
      </c>
      <c r="B89" s="27">
        <v>3500</v>
      </c>
      <c r="C89" s="27">
        <v>1203</v>
      </c>
      <c r="D89" s="27" t="s">
        <v>33</v>
      </c>
      <c r="E89" s="27" t="s">
        <v>34</v>
      </c>
      <c r="F89" s="28">
        <v>82</v>
      </c>
      <c r="G89" s="28" t="s">
        <v>118</v>
      </c>
      <c r="H89" s="28">
        <v>971</v>
      </c>
      <c r="I89" s="28">
        <v>512</v>
      </c>
      <c r="J89" s="28"/>
      <c r="K89" s="28">
        <v>254</v>
      </c>
      <c r="L89" s="28">
        <v>205</v>
      </c>
      <c r="M89" s="28">
        <f t="shared" si="5"/>
        <v>971</v>
      </c>
      <c r="N89" s="29">
        <v>24.68</v>
      </c>
      <c r="O89" s="29">
        <v>11.79</v>
      </c>
      <c r="P89" s="29">
        <v>3.44</v>
      </c>
      <c r="Q89" s="29">
        <v>6.74</v>
      </c>
      <c r="R89" s="29">
        <v>2.7</v>
      </c>
      <c r="S89" s="29">
        <v>3.8</v>
      </c>
      <c r="T89" s="29">
        <f t="shared" si="6"/>
        <v>53.15</v>
      </c>
      <c r="V89" s="30">
        <f t="shared" si="7"/>
        <v>0.31864173301634408</v>
      </c>
      <c r="W89" s="30">
        <f t="shared" si="8"/>
        <v>0.45665956632042504</v>
      </c>
      <c r="Y89" s="15">
        <f t="shared" si="9"/>
        <v>0.30879714949021109</v>
      </c>
    </row>
    <row r="90" spans="1:25" x14ac:dyDescent="0.3">
      <c r="A90" s="5">
        <v>35</v>
      </c>
      <c r="B90" s="5">
        <v>3500</v>
      </c>
      <c r="C90" s="5">
        <v>1204</v>
      </c>
      <c r="D90" s="5" t="s">
        <v>33</v>
      </c>
      <c r="E90" s="5" t="s">
        <v>34</v>
      </c>
      <c r="F90" s="13">
        <v>83</v>
      </c>
      <c r="G90" s="13" t="s">
        <v>119</v>
      </c>
      <c r="H90" s="13">
        <v>638</v>
      </c>
      <c r="I90" s="13">
        <v>598</v>
      </c>
      <c r="J90" s="13"/>
      <c r="K90" s="13"/>
      <c r="L90" s="13">
        <v>40</v>
      </c>
      <c r="M90" s="13">
        <f t="shared" si="5"/>
        <v>638</v>
      </c>
      <c r="N90" s="14">
        <v>23.04</v>
      </c>
      <c r="O90" s="14">
        <v>8.9251021490420275</v>
      </c>
      <c r="P90" s="14">
        <v>6.95</v>
      </c>
      <c r="Q90" s="14">
        <v>10</v>
      </c>
      <c r="R90" s="14">
        <v>4</v>
      </c>
      <c r="S90" s="14">
        <v>6</v>
      </c>
      <c r="T90" s="14">
        <f t="shared" si="6"/>
        <v>58.915102149042028</v>
      </c>
      <c r="V90" s="15">
        <f t="shared" si="7"/>
        <v>0.19545258723852377</v>
      </c>
      <c r="W90" s="15">
        <f t="shared" si="8"/>
        <v>0.22713988364562146</v>
      </c>
      <c r="Y90" s="15">
        <f t="shared" si="9"/>
        <v>0.22490447543851907</v>
      </c>
    </row>
    <row r="91" spans="1:25" s="27" customFormat="1" x14ac:dyDescent="0.3">
      <c r="A91" s="27">
        <v>35</v>
      </c>
      <c r="B91" s="27">
        <v>3500</v>
      </c>
      <c r="C91" s="27">
        <v>1205</v>
      </c>
      <c r="D91" s="27" t="s">
        <v>33</v>
      </c>
      <c r="E91" s="27" t="s">
        <v>34</v>
      </c>
      <c r="F91" s="28">
        <v>84</v>
      </c>
      <c r="G91" s="28" t="s">
        <v>120</v>
      </c>
      <c r="H91" s="28">
        <v>1911</v>
      </c>
      <c r="I91" s="28">
        <v>920</v>
      </c>
      <c r="J91" s="28"/>
      <c r="K91" s="28">
        <v>512</v>
      </c>
      <c r="L91" s="28">
        <v>479</v>
      </c>
      <c r="M91" s="28">
        <f t="shared" si="5"/>
        <v>1911</v>
      </c>
      <c r="N91" s="29">
        <v>22.58</v>
      </c>
      <c r="O91" s="29">
        <v>11.29</v>
      </c>
      <c r="P91" s="29">
        <v>4.74</v>
      </c>
      <c r="Q91" s="29">
        <v>8.1</v>
      </c>
      <c r="R91" s="29">
        <v>3.5</v>
      </c>
      <c r="S91" s="29">
        <v>4.4400000000000004</v>
      </c>
      <c r="T91" s="29">
        <f t="shared" si="6"/>
        <v>54.65</v>
      </c>
      <c r="V91" s="30">
        <f t="shared" si="7"/>
        <v>0.57375025928230661</v>
      </c>
      <c r="W91" s="30">
        <f t="shared" si="8"/>
        <v>0.86062538892345986</v>
      </c>
      <c r="Y91" s="15">
        <f t="shared" si="9"/>
        <v>0.62488721219663967</v>
      </c>
    </row>
    <row r="92" spans="1:25" x14ac:dyDescent="0.3">
      <c r="A92" s="5">
        <v>35</v>
      </c>
      <c r="B92" s="5">
        <v>3500</v>
      </c>
      <c r="C92" s="5">
        <v>1073</v>
      </c>
      <c r="D92" s="5" t="s">
        <v>33</v>
      </c>
      <c r="E92" s="5" t="s">
        <v>34</v>
      </c>
      <c r="F92" s="13">
        <v>85</v>
      </c>
      <c r="G92" s="13" t="s">
        <v>121</v>
      </c>
      <c r="H92" s="13">
        <v>1378</v>
      </c>
      <c r="I92" s="13">
        <v>636</v>
      </c>
      <c r="J92" s="13">
        <v>328</v>
      </c>
      <c r="K92" s="13">
        <v>325</v>
      </c>
      <c r="L92" s="13">
        <v>89</v>
      </c>
      <c r="M92" s="13">
        <f t="shared" si="5"/>
        <v>1378</v>
      </c>
      <c r="N92" s="14">
        <v>23.96</v>
      </c>
      <c r="O92" s="14">
        <v>9.3133397531593758</v>
      </c>
      <c r="P92" s="14">
        <v>4</v>
      </c>
      <c r="Q92" s="14">
        <v>7.5</v>
      </c>
      <c r="R92" s="14">
        <v>2.5</v>
      </c>
      <c r="S92" s="14">
        <v>5</v>
      </c>
      <c r="T92" s="14">
        <f t="shared" si="6"/>
        <v>52.273339753159377</v>
      </c>
      <c r="V92" s="15">
        <f t="shared" si="7"/>
        <v>0.43900988729862411</v>
      </c>
      <c r="W92" s="15">
        <f t="shared" si="8"/>
        <v>0.51193425318133889</v>
      </c>
      <c r="Y92" s="15">
        <f t="shared" si="9"/>
        <v>0.43100295689443791</v>
      </c>
    </row>
    <row r="93" spans="1:25" x14ac:dyDescent="0.3">
      <c r="A93" s="5">
        <v>35</v>
      </c>
      <c r="B93" s="5">
        <v>3500</v>
      </c>
      <c r="C93" s="5">
        <v>1074</v>
      </c>
      <c r="D93" s="5" t="s">
        <v>33</v>
      </c>
      <c r="E93" s="5" t="s">
        <v>34</v>
      </c>
      <c r="F93" s="13">
        <v>86</v>
      </c>
      <c r="G93" s="13" t="s">
        <v>122</v>
      </c>
      <c r="H93" s="13">
        <v>1763</v>
      </c>
      <c r="I93" s="13">
        <v>908</v>
      </c>
      <c r="J93" s="13">
        <v>256</v>
      </c>
      <c r="K93" s="13">
        <v>564</v>
      </c>
      <c r="L93" s="13">
        <v>35</v>
      </c>
      <c r="M93" s="13">
        <f t="shared" si="5"/>
        <v>1763</v>
      </c>
      <c r="N93" s="14">
        <v>21.02</v>
      </c>
      <c r="O93" s="14">
        <v>14.47</v>
      </c>
      <c r="P93" s="14">
        <v>3</v>
      </c>
      <c r="Q93" s="14">
        <v>5.7</v>
      </c>
      <c r="R93" s="14">
        <v>3.3</v>
      </c>
      <c r="S93" s="14">
        <v>6.6</v>
      </c>
      <c r="T93" s="14">
        <f t="shared" si="6"/>
        <v>54.09</v>
      </c>
      <c r="V93" s="15">
        <f t="shared" si="7"/>
        <v>0.49274621181901823</v>
      </c>
      <c r="W93" s="15">
        <f t="shared" si="8"/>
        <v>1.0176076619916072</v>
      </c>
      <c r="Y93" s="16">
        <f t="shared" si="9"/>
        <v>0.57058464171174195</v>
      </c>
    </row>
    <row r="94" spans="1:25" x14ac:dyDescent="0.3">
      <c r="A94" s="5">
        <v>35</v>
      </c>
      <c r="B94" s="5">
        <v>3500</v>
      </c>
      <c r="C94" s="5">
        <v>1075</v>
      </c>
      <c r="D94" s="5" t="s">
        <v>33</v>
      </c>
      <c r="E94" s="5" t="s">
        <v>34</v>
      </c>
      <c r="F94" s="13">
        <v>87</v>
      </c>
      <c r="G94" s="13" t="s">
        <v>123</v>
      </c>
      <c r="H94" s="13">
        <v>1637</v>
      </c>
      <c r="I94" s="13">
        <v>1160</v>
      </c>
      <c r="J94" s="13">
        <v>356</v>
      </c>
      <c r="K94" s="13"/>
      <c r="L94" s="13">
        <v>121</v>
      </c>
      <c r="M94" s="13">
        <f t="shared" si="5"/>
        <v>1637</v>
      </c>
      <c r="N94" s="14">
        <v>32</v>
      </c>
      <c r="O94" s="14">
        <v>12.54</v>
      </c>
      <c r="P94" s="14">
        <v>8.49</v>
      </c>
      <c r="Q94" s="14">
        <v>11.97</v>
      </c>
      <c r="R94" s="14">
        <v>4.25</v>
      </c>
      <c r="S94" s="14">
        <v>7</v>
      </c>
      <c r="T94" s="14">
        <f t="shared" si="6"/>
        <v>76.25</v>
      </c>
      <c r="V94" s="15">
        <f t="shared" si="7"/>
        <v>0.69652535116131886</v>
      </c>
      <c r="W94" s="15">
        <f t="shared" si="8"/>
        <v>0.81885261595902537</v>
      </c>
      <c r="Y94" s="15">
        <f t="shared" si="9"/>
        <v>0.74686019099133594</v>
      </c>
    </row>
    <row r="95" spans="1:25" s="27" customFormat="1" x14ac:dyDescent="0.3">
      <c r="A95" s="27">
        <v>35</v>
      </c>
      <c r="B95" s="27">
        <v>3500</v>
      </c>
      <c r="C95" s="27">
        <v>1076</v>
      </c>
      <c r="D95" s="27" t="s">
        <v>33</v>
      </c>
      <c r="E95" s="27" t="s">
        <v>34</v>
      </c>
      <c r="F95" s="28">
        <v>88</v>
      </c>
      <c r="G95" s="28" t="s">
        <v>124</v>
      </c>
      <c r="H95" s="28">
        <v>1086</v>
      </c>
      <c r="I95" s="28">
        <v>833</v>
      </c>
      <c r="J95" s="28"/>
      <c r="K95" s="28">
        <v>217</v>
      </c>
      <c r="L95" s="28">
        <v>36</v>
      </c>
      <c r="M95" s="28">
        <f t="shared" si="5"/>
        <v>1086</v>
      </c>
      <c r="N95" s="29">
        <v>29.28</v>
      </c>
      <c r="O95" s="29">
        <v>13.42</v>
      </c>
      <c r="P95" s="29">
        <v>8.5</v>
      </c>
      <c r="Q95" s="29">
        <v>12.75</v>
      </c>
      <c r="R95" s="29">
        <v>4.18</v>
      </c>
      <c r="S95" s="29">
        <v>7.45</v>
      </c>
      <c r="T95" s="29">
        <f t="shared" si="6"/>
        <v>75.58</v>
      </c>
      <c r="V95" s="30">
        <f t="shared" si="7"/>
        <v>0.42280407831123457</v>
      </c>
      <c r="W95" s="30">
        <f t="shared" si="8"/>
        <v>0.58135560767794736</v>
      </c>
      <c r="Y95" s="15">
        <f t="shared" si="9"/>
        <v>0.49111986022689197</v>
      </c>
    </row>
    <row r="96" spans="1:25" x14ac:dyDescent="0.3">
      <c r="A96" s="5">
        <v>35</v>
      </c>
      <c r="B96" s="5">
        <v>3500</v>
      </c>
      <c r="C96" s="5">
        <v>1117</v>
      </c>
      <c r="D96" s="5" t="s">
        <v>33</v>
      </c>
      <c r="E96" s="5" t="s">
        <v>34</v>
      </c>
      <c r="F96" s="13">
        <v>89</v>
      </c>
      <c r="G96" s="13" t="s">
        <v>125</v>
      </c>
      <c r="H96" s="13">
        <v>1211</v>
      </c>
      <c r="I96" s="13">
        <v>712</v>
      </c>
      <c r="J96" s="13">
        <v>108</v>
      </c>
      <c r="K96" s="13">
        <v>376</v>
      </c>
      <c r="L96" s="13">
        <v>15</v>
      </c>
      <c r="M96" s="13">
        <f t="shared" si="5"/>
        <v>1211</v>
      </c>
      <c r="N96" s="14">
        <v>24</v>
      </c>
      <c r="O96" s="14">
        <v>5.7807146509290499</v>
      </c>
      <c r="P96" s="14">
        <v>4.78</v>
      </c>
      <c r="Q96" s="14">
        <v>9.6</v>
      </c>
      <c r="R96" s="14">
        <v>3.35</v>
      </c>
      <c r="S96" s="14">
        <v>4.8499999999999996</v>
      </c>
      <c r="T96" s="14">
        <f t="shared" si="6"/>
        <v>52.360714650929054</v>
      </c>
      <c r="V96" s="15">
        <f t="shared" si="7"/>
        <v>0.38645030555422594</v>
      </c>
      <c r="W96" s="15">
        <f t="shared" si="8"/>
        <v>0.27924486789666519</v>
      </c>
      <c r="Y96" s="15">
        <f t="shared" si="9"/>
        <v>0.37940276579792187</v>
      </c>
    </row>
    <row r="97" spans="1:25" s="27" customFormat="1" x14ac:dyDescent="0.3">
      <c r="A97" s="27">
        <v>35</v>
      </c>
      <c r="B97" s="27">
        <v>3500</v>
      </c>
      <c r="C97" s="27">
        <v>1118</v>
      </c>
      <c r="D97" s="27" t="s">
        <v>33</v>
      </c>
      <c r="E97" s="27" t="s">
        <v>34</v>
      </c>
      <c r="F97" s="28">
        <v>90</v>
      </c>
      <c r="G97" s="28" t="s">
        <v>126</v>
      </c>
      <c r="H97" s="28">
        <v>1470</v>
      </c>
      <c r="I97" s="28">
        <v>1287</v>
      </c>
      <c r="J97" s="28"/>
      <c r="K97" s="28"/>
      <c r="L97" s="28">
        <v>183</v>
      </c>
      <c r="M97" s="28">
        <f t="shared" si="5"/>
        <v>1470</v>
      </c>
      <c r="N97" s="29">
        <v>25.32</v>
      </c>
      <c r="O97" s="29">
        <v>11.24</v>
      </c>
      <c r="P97" s="29">
        <v>4.34</v>
      </c>
      <c r="Q97" s="29">
        <v>8.58</v>
      </c>
      <c r="R97" s="29">
        <v>2.9</v>
      </c>
      <c r="S97" s="29">
        <v>3.84</v>
      </c>
      <c r="T97" s="29">
        <f t="shared" si="6"/>
        <v>56.22</v>
      </c>
      <c r="V97" s="30">
        <f t="shared" si="7"/>
        <v>0.49490211095687137</v>
      </c>
      <c r="W97" s="30">
        <f t="shared" si="8"/>
        <v>0.6590876453975395</v>
      </c>
      <c r="Y97" s="15">
        <f t="shared" si="9"/>
        <v>0.49449164712076965</v>
      </c>
    </row>
    <row r="98" spans="1:25" x14ac:dyDescent="0.3">
      <c r="A98" s="5">
        <v>35</v>
      </c>
      <c r="B98" s="5">
        <v>3500</v>
      </c>
      <c r="C98" s="5">
        <v>1119</v>
      </c>
      <c r="D98" s="5" t="s">
        <v>33</v>
      </c>
      <c r="E98" s="5" t="s">
        <v>34</v>
      </c>
      <c r="F98" s="13">
        <v>91</v>
      </c>
      <c r="G98" s="13" t="s">
        <v>127</v>
      </c>
      <c r="H98" s="13">
        <v>1185</v>
      </c>
      <c r="I98" s="13">
        <v>1093</v>
      </c>
      <c r="J98" s="13"/>
      <c r="K98" s="13"/>
      <c r="L98" s="13">
        <v>92</v>
      </c>
      <c r="M98" s="13">
        <f t="shared" si="5"/>
        <v>1185</v>
      </c>
      <c r="N98" s="14">
        <v>31.3</v>
      </c>
      <c r="O98" s="14">
        <v>8.6264261124644257</v>
      </c>
      <c r="P98" s="14">
        <v>4.28</v>
      </c>
      <c r="Q98" s="14">
        <v>9.5500000000000007</v>
      </c>
      <c r="R98" s="14">
        <v>2.65</v>
      </c>
      <c r="S98" s="14">
        <v>4.8499999999999996</v>
      </c>
      <c r="T98" s="14">
        <f t="shared" si="6"/>
        <v>61.256426112464425</v>
      </c>
      <c r="V98" s="15">
        <f t="shared" si="7"/>
        <v>0.49317489189922292</v>
      </c>
      <c r="W98" s="15">
        <f t="shared" si="8"/>
        <v>0.4077639072355857</v>
      </c>
      <c r="Y98" s="15">
        <f t="shared" si="9"/>
        <v>0.43433096155802942</v>
      </c>
    </row>
    <row r="99" spans="1:25" x14ac:dyDescent="0.3">
      <c r="A99" s="5">
        <v>35</v>
      </c>
      <c r="B99" s="5">
        <v>3500</v>
      </c>
      <c r="C99" s="5">
        <v>1114</v>
      </c>
      <c r="D99" s="5" t="s">
        <v>33</v>
      </c>
      <c r="E99" s="5" t="s">
        <v>34</v>
      </c>
      <c r="F99" s="13">
        <v>92</v>
      </c>
      <c r="G99" s="13" t="s">
        <v>128</v>
      </c>
      <c r="H99" s="13">
        <v>1055</v>
      </c>
      <c r="I99" s="13">
        <v>536</v>
      </c>
      <c r="J99" s="13">
        <v>285</v>
      </c>
      <c r="K99" s="13">
        <v>225</v>
      </c>
      <c r="L99" s="13">
        <v>9</v>
      </c>
      <c r="M99" s="13">
        <f t="shared" si="5"/>
        <v>1055</v>
      </c>
      <c r="N99" s="14">
        <v>19.05</v>
      </c>
      <c r="O99" s="14">
        <v>9.6379713317456854</v>
      </c>
      <c r="P99" s="14">
        <v>6.95</v>
      </c>
      <c r="Q99" s="14">
        <v>8</v>
      </c>
      <c r="R99" s="14">
        <v>4</v>
      </c>
      <c r="S99" s="14">
        <v>6</v>
      </c>
      <c r="T99" s="14">
        <f t="shared" si="6"/>
        <v>53.637971331745689</v>
      </c>
      <c r="V99" s="15">
        <f t="shared" si="7"/>
        <v>0.26723030651157598</v>
      </c>
      <c r="W99" s="15">
        <f t="shared" si="8"/>
        <v>0.40559969025703646</v>
      </c>
      <c r="Y99" s="15">
        <f t="shared" si="9"/>
        <v>0.33859113825924858</v>
      </c>
    </row>
    <row r="100" spans="1:25" x14ac:dyDescent="0.3">
      <c r="A100" s="5">
        <v>35</v>
      </c>
      <c r="B100" s="5">
        <v>3500</v>
      </c>
      <c r="C100" s="5">
        <v>1115</v>
      </c>
      <c r="D100" s="5" t="s">
        <v>33</v>
      </c>
      <c r="E100" s="5" t="s">
        <v>34</v>
      </c>
      <c r="F100" s="13">
        <v>93</v>
      </c>
      <c r="G100" s="13" t="s">
        <v>129</v>
      </c>
      <c r="H100" s="13">
        <v>1812</v>
      </c>
      <c r="I100" s="13">
        <v>1093</v>
      </c>
      <c r="J100" s="13"/>
      <c r="K100" s="13">
        <v>415</v>
      </c>
      <c r="L100" s="13">
        <v>304</v>
      </c>
      <c r="M100" s="13">
        <f t="shared" si="5"/>
        <v>1812</v>
      </c>
      <c r="N100" s="14">
        <v>30.8</v>
      </c>
      <c r="O100" s="14">
        <v>8.25</v>
      </c>
      <c r="P100" s="14">
        <v>7.08</v>
      </c>
      <c r="Q100" s="14">
        <v>12.63</v>
      </c>
      <c r="R100" s="14">
        <v>3.5</v>
      </c>
      <c r="S100" s="14">
        <v>6.92</v>
      </c>
      <c r="T100" s="14">
        <f t="shared" si="6"/>
        <v>69.179999999999993</v>
      </c>
      <c r="V100" s="15">
        <f t="shared" si="7"/>
        <v>0.74207393933591814</v>
      </c>
      <c r="W100" s="15">
        <f t="shared" si="8"/>
        <v>0.59630941553779149</v>
      </c>
      <c r="Y100" s="15">
        <f t="shared" si="9"/>
        <v>0.75004882485280733</v>
      </c>
    </row>
    <row r="101" spans="1:25" x14ac:dyDescent="0.3">
      <c r="A101" s="5">
        <v>35</v>
      </c>
      <c r="B101" s="5">
        <v>3500</v>
      </c>
      <c r="C101" s="5">
        <v>1116</v>
      </c>
      <c r="D101" s="5" t="s">
        <v>33</v>
      </c>
      <c r="E101" s="5" t="s">
        <v>34</v>
      </c>
      <c r="F101" s="13">
        <v>94</v>
      </c>
      <c r="G101" s="13" t="s">
        <v>130</v>
      </c>
      <c r="H101" s="13">
        <v>1182</v>
      </c>
      <c r="I101" s="13">
        <v>718</v>
      </c>
      <c r="J101" s="13"/>
      <c r="K101" s="13"/>
      <c r="L101" s="13">
        <v>464</v>
      </c>
      <c r="M101" s="13">
        <f t="shared" si="5"/>
        <v>1182</v>
      </c>
      <c r="N101" s="14">
        <v>27.41</v>
      </c>
      <c r="O101" s="14">
        <v>10.73</v>
      </c>
      <c r="P101" s="14">
        <v>8.5</v>
      </c>
      <c r="Q101" s="14">
        <v>12.31</v>
      </c>
      <c r="R101" s="14">
        <v>4.25</v>
      </c>
      <c r="S101" s="14">
        <v>7.4</v>
      </c>
      <c r="T101" s="14">
        <f t="shared" si="6"/>
        <v>70.600000000000009</v>
      </c>
      <c r="V101" s="15">
        <f t="shared" si="7"/>
        <v>0.43078917556204438</v>
      </c>
      <c r="W101" s="15">
        <f t="shared" si="8"/>
        <v>0.50591402996505663</v>
      </c>
      <c r="Y101" s="15">
        <f t="shared" si="9"/>
        <v>0.49931310133550338</v>
      </c>
    </row>
    <row r="102" spans="1:25" x14ac:dyDescent="0.3">
      <c r="F102" s="13"/>
      <c r="G102" s="17" t="s">
        <v>131</v>
      </c>
      <c r="H102" s="13"/>
      <c r="I102" s="13"/>
      <c r="J102" s="13"/>
      <c r="K102" s="13"/>
      <c r="L102" s="13"/>
      <c r="M102" s="13">
        <f t="shared" si="5"/>
        <v>0</v>
      </c>
      <c r="N102" s="13"/>
      <c r="O102" s="13"/>
      <c r="P102" s="13"/>
      <c r="Q102" s="13"/>
      <c r="R102" s="13"/>
      <c r="S102" s="13"/>
      <c r="T102" s="14">
        <f t="shared" si="6"/>
        <v>0</v>
      </c>
      <c r="V102" s="15">
        <f t="shared" si="7"/>
        <v>0</v>
      </c>
      <c r="W102" s="15">
        <f t="shared" si="8"/>
        <v>0</v>
      </c>
      <c r="Y102" s="15">
        <f t="shared" si="9"/>
        <v>0</v>
      </c>
    </row>
    <row r="103" spans="1:25" x14ac:dyDescent="0.3">
      <c r="A103" s="5">
        <v>35</v>
      </c>
      <c r="B103" s="5">
        <v>3500</v>
      </c>
      <c r="C103" s="5">
        <v>1206</v>
      </c>
      <c r="D103" s="5" t="s">
        <v>33</v>
      </c>
      <c r="E103" s="5" t="s">
        <v>34</v>
      </c>
      <c r="F103" s="13">
        <v>95</v>
      </c>
      <c r="G103" s="13" t="s">
        <v>132</v>
      </c>
      <c r="H103" s="13">
        <v>1232</v>
      </c>
      <c r="I103" s="13">
        <v>647</v>
      </c>
      <c r="J103" s="13"/>
      <c r="K103" s="13">
        <v>312</v>
      </c>
      <c r="L103" s="13">
        <v>273</v>
      </c>
      <c r="M103" s="13">
        <f t="shared" si="5"/>
        <v>1232</v>
      </c>
      <c r="N103" s="14">
        <v>16.559999999999999</v>
      </c>
      <c r="O103" s="14">
        <v>11.6</v>
      </c>
      <c r="P103" s="14">
        <v>3</v>
      </c>
      <c r="Q103" s="14">
        <v>4.5</v>
      </c>
      <c r="R103" s="14">
        <v>1.9</v>
      </c>
      <c r="S103" s="14">
        <v>3</v>
      </c>
      <c r="T103" s="14">
        <f t="shared" si="6"/>
        <v>40.559999999999995</v>
      </c>
      <c r="V103" s="15">
        <f t="shared" si="7"/>
        <v>0.27127471159829591</v>
      </c>
      <c r="W103" s="15">
        <f t="shared" si="8"/>
        <v>0.5700700461123609</v>
      </c>
      <c r="Y103" s="15">
        <f t="shared" si="9"/>
        <v>0.29899191039203482</v>
      </c>
    </row>
    <row r="104" spans="1:25" x14ac:dyDescent="0.3">
      <c r="A104" s="5">
        <v>35</v>
      </c>
      <c r="B104" s="5">
        <v>3500</v>
      </c>
      <c r="C104" s="5">
        <v>1207</v>
      </c>
      <c r="D104" s="5" t="s">
        <v>33</v>
      </c>
      <c r="E104" s="5" t="s">
        <v>34</v>
      </c>
      <c r="F104" s="13">
        <v>96</v>
      </c>
      <c r="G104" s="13" t="s">
        <v>133</v>
      </c>
      <c r="H104" s="13">
        <v>50</v>
      </c>
      <c r="I104" s="13">
        <v>34</v>
      </c>
      <c r="J104" s="13">
        <v>12</v>
      </c>
      <c r="K104" s="13"/>
      <c r="L104" s="13">
        <v>4</v>
      </c>
      <c r="M104" s="13">
        <f t="shared" si="5"/>
        <v>50</v>
      </c>
      <c r="N104" s="14">
        <v>12.03</v>
      </c>
      <c r="O104" s="14">
        <v>9.94</v>
      </c>
      <c r="P104" s="14">
        <v>6.8</v>
      </c>
      <c r="Q104" s="14">
        <v>11.39</v>
      </c>
      <c r="R104" s="14">
        <v>3.4</v>
      </c>
      <c r="S104" s="14">
        <v>4.97</v>
      </c>
      <c r="T104" s="14">
        <f t="shared" si="6"/>
        <v>48.529999999999994</v>
      </c>
      <c r="V104" s="15">
        <f t="shared" si="7"/>
        <v>7.9978619182103933E-3</v>
      </c>
      <c r="W104" s="15">
        <f t="shared" si="8"/>
        <v>1.9825124056611302E-2</v>
      </c>
      <c r="Y104" s="15">
        <f t="shared" si="9"/>
        <v>1.4518811928581683E-2</v>
      </c>
    </row>
    <row r="105" spans="1:25" x14ac:dyDescent="0.3">
      <c r="A105" s="5">
        <v>35</v>
      </c>
      <c r="B105" s="5">
        <v>3500</v>
      </c>
      <c r="C105" s="5">
        <v>1208</v>
      </c>
      <c r="D105" s="5" t="s">
        <v>33</v>
      </c>
      <c r="E105" s="5" t="s">
        <v>34</v>
      </c>
      <c r="F105" s="13">
        <v>97</v>
      </c>
      <c r="G105" s="13" t="s">
        <v>134</v>
      </c>
      <c r="H105" s="13">
        <v>1155</v>
      </c>
      <c r="I105" s="13">
        <v>683</v>
      </c>
      <c r="J105" s="13"/>
      <c r="K105" s="13">
        <v>356</v>
      </c>
      <c r="L105" s="13">
        <v>116</v>
      </c>
      <c r="M105" s="13">
        <f t="shared" si="5"/>
        <v>1155</v>
      </c>
      <c r="N105" s="14">
        <v>20.7</v>
      </c>
      <c r="O105" s="14">
        <v>10.11</v>
      </c>
      <c r="P105" s="14">
        <v>7.39</v>
      </c>
      <c r="Q105" s="14">
        <v>9.84</v>
      </c>
      <c r="R105" s="14">
        <v>3.3</v>
      </c>
      <c r="S105" s="14">
        <v>8.0500000000000007</v>
      </c>
      <c r="T105" s="14">
        <f t="shared" si="6"/>
        <v>59.389999999999986</v>
      </c>
      <c r="V105" s="15">
        <f t="shared" si="7"/>
        <v>0.31790005265425303</v>
      </c>
      <c r="W105" s="15">
        <f t="shared" si="8"/>
        <v>0.46579268584557937</v>
      </c>
      <c r="Y105" s="15">
        <f t="shared" si="9"/>
        <v>0.41043661145948007</v>
      </c>
    </row>
    <row r="106" spans="1:25" x14ac:dyDescent="0.3">
      <c r="A106" s="5">
        <v>35</v>
      </c>
      <c r="B106" s="5">
        <v>3500</v>
      </c>
      <c r="C106" s="5">
        <v>1209</v>
      </c>
      <c r="D106" s="5" t="s">
        <v>33</v>
      </c>
      <c r="E106" s="5" t="s">
        <v>34</v>
      </c>
      <c r="F106" s="13">
        <v>98</v>
      </c>
      <c r="G106" s="13" t="s">
        <v>135</v>
      </c>
      <c r="H106" s="13">
        <v>422</v>
      </c>
      <c r="I106" s="13">
        <v>251</v>
      </c>
      <c r="J106" s="13"/>
      <c r="K106" s="13">
        <v>155</v>
      </c>
      <c r="L106" s="13">
        <v>16</v>
      </c>
      <c r="M106" s="13">
        <f t="shared" si="5"/>
        <v>422</v>
      </c>
      <c r="N106" s="14">
        <v>19.88</v>
      </c>
      <c r="O106" s="14">
        <v>12.15</v>
      </c>
      <c r="P106" s="14">
        <v>7.5</v>
      </c>
      <c r="Q106" s="14">
        <v>11.52</v>
      </c>
      <c r="R106" s="14">
        <v>3.8</v>
      </c>
      <c r="S106" s="14">
        <v>6.22</v>
      </c>
      <c r="T106" s="14">
        <f t="shared" si="6"/>
        <v>61.069999999999993</v>
      </c>
      <c r="V106" s="15">
        <f t="shared" si="7"/>
        <v>0.11154936469186624</v>
      </c>
      <c r="W106" s="15">
        <f t="shared" si="8"/>
        <v>0.20452587238523767</v>
      </c>
      <c r="Y106" s="15">
        <f t="shared" si="9"/>
        <v>0.15420240773538843</v>
      </c>
    </row>
    <row r="107" spans="1:25" x14ac:dyDescent="0.3">
      <c r="A107" s="5">
        <v>35</v>
      </c>
      <c r="B107" s="5">
        <v>3500</v>
      </c>
      <c r="C107" s="5">
        <v>1210</v>
      </c>
      <c r="D107" s="5" t="s">
        <v>33</v>
      </c>
      <c r="E107" s="5" t="s">
        <v>34</v>
      </c>
      <c r="F107" s="13">
        <v>99</v>
      </c>
      <c r="G107" s="13" t="s">
        <v>136</v>
      </c>
      <c r="H107" s="13">
        <v>194</v>
      </c>
      <c r="I107" s="13">
        <v>149</v>
      </c>
      <c r="J107" s="13"/>
      <c r="K107" s="13">
        <v>25</v>
      </c>
      <c r="L107" s="13">
        <v>20</v>
      </c>
      <c r="M107" s="13">
        <f t="shared" si="5"/>
        <v>194</v>
      </c>
      <c r="N107" s="14">
        <v>17.02</v>
      </c>
      <c r="O107" s="14">
        <v>10.26</v>
      </c>
      <c r="P107" s="14">
        <v>5.6</v>
      </c>
      <c r="Q107" s="14">
        <v>9.2200000000000006</v>
      </c>
      <c r="R107" s="14">
        <v>3.5</v>
      </c>
      <c r="S107" s="14">
        <v>5.8</v>
      </c>
      <c r="T107" s="14">
        <f t="shared" si="6"/>
        <v>51.4</v>
      </c>
      <c r="V107" s="15">
        <f t="shared" si="7"/>
        <v>4.3903541663342531E-2</v>
      </c>
      <c r="W107" s="15">
        <f t="shared" si="8"/>
        <v>7.9397826815375036E-2</v>
      </c>
      <c r="Y107" s="16">
        <f t="shared" si="9"/>
        <v>5.9664448805705809E-2</v>
      </c>
    </row>
    <row r="108" spans="1:25" x14ac:dyDescent="0.3">
      <c r="A108" s="5">
        <v>35</v>
      </c>
      <c r="B108" s="5">
        <v>3500</v>
      </c>
      <c r="C108" s="5">
        <v>1211</v>
      </c>
      <c r="D108" s="5" t="s">
        <v>33</v>
      </c>
      <c r="E108" s="5" t="s">
        <v>34</v>
      </c>
      <c r="F108" s="13">
        <v>100</v>
      </c>
      <c r="G108" s="13" t="s">
        <v>137</v>
      </c>
      <c r="H108" s="13">
        <v>684</v>
      </c>
      <c r="I108" s="13">
        <v>647</v>
      </c>
      <c r="J108" s="13"/>
      <c r="K108" s="13"/>
      <c r="L108" s="13">
        <v>37</v>
      </c>
      <c r="M108" s="13">
        <f t="shared" si="5"/>
        <v>684</v>
      </c>
      <c r="N108" s="14">
        <v>22.09</v>
      </c>
      <c r="O108" s="14">
        <v>11.63</v>
      </c>
      <c r="P108" s="14">
        <v>5.78</v>
      </c>
      <c r="Q108" s="14">
        <v>10.34</v>
      </c>
      <c r="R108" s="14">
        <v>3.5</v>
      </c>
      <c r="S108" s="14">
        <v>6.6</v>
      </c>
      <c r="T108" s="14">
        <f t="shared" si="6"/>
        <v>59.940000000000005</v>
      </c>
      <c r="V108" s="15">
        <f t="shared" si="7"/>
        <v>0.20090469580202003</v>
      </c>
      <c r="W108" s="15">
        <f t="shared" si="8"/>
        <v>0.31731846249581164</v>
      </c>
      <c r="Y108" s="15">
        <f t="shared" si="9"/>
        <v>0.24531472883059693</v>
      </c>
    </row>
    <row r="109" spans="1:25" x14ac:dyDescent="0.3">
      <c r="A109" s="5">
        <v>35</v>
      </c>
      <c r="B109" s="5">
        <v>3500</v>
      </c>
      <c r="C109" s="5">
        <v>1212</v>
      </c>
      <c r="D109" s="5" t="s">
        <v>33</v>
      </c>
      <c r="E109" s="5" t="s">
        <v>34</v>
      </c>
      <c r="F109" s="13">
        <v>101</v>
      </c>
      <c r="G109" s="13" t="s">
        <v>138</v>
      </c>
      <c r="H109" s="13">
        <v>461</v>
      </c>
      <c r="I109" s="13">
        <v>420</v>
      </c>
      <c r="J109" s="13"/>
      <c r="K109" s="13"/>
      <c r="L109" s="13">
        <v>41</v>
      </c>
      <c r="M109" s="13">
        <f t="shared" si="5"/>
        <v>461</v>
      </c>
      <c r="N109" s="14">
        <v>29.73</v>
      </c>
      <c r="O109" s="14">
        <v>10.18</v>
      </c>
      <c r="P109" s="14">
        <v>7.71</v>
      </c>
      <c r="Q109" s="14">
        <v>10.25</v>
      </c>
      <c r="R109" s="14">
        <v>3.5</v>
      </c>
      <c r="S109" s="14">
        <v>7.15</v>
      </c>
      <c r="T109" s="14">
        <f t="shared" si="6"/>
        <v>68.52</v>
      </c>
      <c r="V109" s="15">
        <f t="shared" si="7"/>
        <v>0.18223597083273496</v>
      </c>
      <c r="W109" s="15">
        <f t="shared" si="8"/>
        <v>0.18720102755572574</v>
      </c>
      <c r="Y109" s="15">
        <f t="shared" si="9"/>
        <v>0.18900315925518163</v>
      </c>
    </row>
    <row r="110" spans="1:25" x14ac:dyDescent="0.3">
      <c r="A110" s="5">
        <v>35</v>
      </c>
      <c r="B110" s="5">
        <v>3500</v>
      </c>
      <c r="C110" s="5">
        <v>1213</v>
      </c>
      <c r="D110" s="5" t="s">
        <v>33</v>
      </c>
      <c r="E110" s="5" t="s">
        <v>34</v>
      </c>
      <c r="F110" s="13">
        <v>102</v>
      </c>
      <c r="G110" s="13" t="s">
        <v>139</v>
      </c>
      <c r="H110" s="13">
        <v>1554</v>
      </c>
      <c r="I110" s="13">
        <v>961</v>
      </c>
      <c r="J110" s="13">
        <v>345</v>
      </c>
      <c r="K110" s="13"/>
      <c r="L110" s="13">
        <v>248</v>
      </c>
      <c r="M110" s="13">
        <f t="shared" si="5"/>
        <v>1554</v>
      </c>
      <c r="N110" s="14">
        <v>27.01</v>
      </c>
      <c r="O110" s="14">
        <v>10.130000000000001</v>
      </c>
      <c r="P110" s="14">
        <v>7.69</v>
      </c>
      <c r="Q110" s="14">
        <v>11.18</v>
      </c>
      <c r="R110" s="14">
        <v>3.5</v>
      </c>
      <c r="S110" s="14">
        <v>8.2799999999999994</v>
      </c>
      <c r="T110" s="14">
        <f t="shared" si="6"/>
        <v>67.789999999999992</v>
      </c>
      <c r="V110" s="15">
        <f t="shared" si="7"/>
        <v>0.55810237263255302</v>
      </c>
      <c r="W110" s="15">
        <f t="shared" si="8"/>
        <v>0.62794265473170263</v>
      </c>
      <c r="Y110" s="15">
        <f t="shared" si="9"/>
        <v>0.63032920875017939</v>
      </c>
    </row>
    <row r="111" spans="1:25" x14ac:dyDescent="0.3">
      <c r="A111" s="5">
        <v>35</v>
      </c>
      <c r="B111" s="5">
        <v>3500</v>
      </c>
      <c r="C111" s="5">
        <v>1214</v>
      </c>
      <c r="D111" s="5" t="s">
        <v>33</v>
      </c>
      <c r="E111" s="5" t="s">
        <v>34</v>
      </c>
      <c r="F111" s="13">
        <v>103</v>
      </c>
      <c r="G111" s="13" t="s">
        <v>140</v>
      </c>
      <c r="H111" s="13">
        <v>745</v>
      </c>
      <c r="I111" s="13">
        <v>670</v>
      </c>
      <c r="J111" s="13"/>
      <c r="K111" s="13"/>
      <c r="L111" s="13">
        <v>75</v>
      </c>
      <c r="M111" s="13">
        <f t="shared" si="5"/>
        <v>745</v>
      </c>
      <c r="N111" s="14">
        <v>27.1</v>
      </c>
      <c r="O111" s="14">
        <v>11.58</v>
      </c>
      <c r="P111" s="14">
        <v>7.58</v>
      </c>
      <c r="Q111" s="14">
        <v>11.13</v>
      </c>
      <c r="R111" s="14">
        <v>4.0999999999999996</v>
      </c>
      <c r="S111" s="14">
        <v>7.4539999999999997</v>
      </c>
      <c r="T111" s="14">
        <f t="shared" si="6"/>
        <v>68.944000000000003</v>
      </c>
      <c r="V111" s="15">
        <f t="shared" si="7"/>
        <v>0.26845026300533459</v>
      </c>
      <c r="W111" s="15">
        <f t="shared" si="8"/>
        <v>0.34413144416255803</v>
      </c>
      <c r="Y111" s="15">
        <f t="shared" si="9"/>
        <v>0.30732899334641711</v>
      </c>
    </row>
    <row r="112" spans="1:25" x14ac:dyDescent="0.3">
      <c r="A112" s="5">
        <v>35</v>
      </c>
      <c r="B112" s="5">
        <v>3500</v>
      </c>
      <c r="C112" s="5">
        <v>1215</v>
      </c>
      <c r="D112" s="5" t="s">
        <v>33</v>
      </c>
      <c r="E112" s="5" t="s">
        <v>34</v>
      </c>
      <c r="F112" s="13">
        <v>104</v>
      </c>
      <c r="G112" s="13" t="s">
        <v>141</v>
      </c>
      <c r="H112" s="13">
        <v>230</v>
      </c>
      <c r="I112" s="13">
        <v>209</v>
      </c>
      <c r="J112" s="13"/>
      <c r="K112" s="13"/>
      <c r="L112" s="13">
        <v>21</v>
      </c>
      <c r="M112" s="13">
        <f t="shared" si="5"/>
        <v>230</v>
      </c>
      <c r="N112" s="14">
        <v>25.17</v>
      </c>
      <c r="O112" s="14">
        <v>8.6983714158005228</v>
      </c>
      <c r="P112" s="14">
        <v>7.08</v>
      </c>
      <c r="Q112" s="14">
        <v>8</v>
      </c>
      <c r="R112" s="14">
        <v>3.5</v>
      </c>
      <c r="S112" s="14">
        <v>5</v>
      </c>
      <c r="T112" s="14">
        <f t="shared" si="6"/>
        <v>57.448371415800523</v>
      </c>
      <c r="V112" s="15">
        <f t="shared" si="7"/>
        <v>7.6974933384392014E-2</v>
      </c>
      <c r="W112" s="15">
        <f t="shared" si="8"/>
        <v>7.9804119223354578E-2</v>
      </c>
      <c r="Y112" s="15">
        <f t="shared" si="9"/>
        <v>7.9059914709887755E-2</v>
      </c>
    </row>
    <row r="113" spans="1:25" x14ac:dyDescent="0.3">
      <c r="A113" s="5">
        <v>35</v>
      </c>
      <c r="B113" s="5">
        <v>3500</v>
      </c>
      <c r="C113" s="5">
        <v>122205</v>
      </c>
      <c r="D113" s="5" t="s">
        <v>33</v>
      </c>
      <c r="E113" s="5" t="s">
        <v>34</v>
      </c>
      <c r="F113" s="13">
        <v>105</v>
      </c>
      <c r="G113" s="13" t="s">
        <v>142</v>
      </c>
      <c r="H113" s="13">
        <v>367</v>
      </c>
      <c r="I113" s="13">
        <v>235</v>
      </c>
      <c r="J113" s="13"/>
      <c r="K113" s="13">
        <v>95</v>
      </c>
      <c r="L113" s="13">
        <v>37</v>
      </c>
      <c r="M113" s="13">
        <f t="shared" si="5"/>
        <v>367</v>
      </c>
      <c r="N113" s="14">
        <v>20.94</v>
      </c>
      <c r="O113" s="14">
        <v>11.4</v>
      </c>
      <c r="P113" s="14">
        <v>7</v>
      </c>
      <c r="Q113" s="14">
        <v>12.63</v>
      </c>
      <c r="R113" s="14">
        <v>3.5</v>
      </c>
      <c r="S113" s="14">
        <v>3</v>
      </c>
      <c r="T113" s="14">
        <f t="shared" si="6"/>
        <v>58.470000000000006</v>
      </c>
      <c r="V113" s="15">
        <f t="shared" si="7"/>
        <v>0.10218355591722113</v>
      </c>
      <c r="W113" s="15">
        <f t="shared" si="8"/>
        <v>0.16689004834617777</v>
      </c>
      <c r="Y113" s="15">
        <f t="shared" si="9"/>
        <v>0.12839554114211862</v>
      </c>
    </row>
    <row r="114" spans="1:25" x14ac:dyDescent="0.3">
      <c r="A114" s="5">
        <v>35</v>
      </c>
      <c r="B114" s="5">
        <v>3500</v>
      </c>
      <c r="C114" s="5">
        <v>1217</v>
      </c>
      <c r="D114" s="5" t="s">
        <v>33</v>
      </c>
      <c r="E114" s="5" t="s">
        <v>34</v>
      </c>
      <c r="F114" s="13">
        <v>106</v>
      </c>
      <c r="G114" s="13" t="s">
        <v>143</v>
      </c>
      <c r="H114" s="13">
        <v>215</v>
      </c>
      <c r="I114" s="13">
        <v>128</v>
      </c>
      <c r="J114" s="13"/>
      <c r="K114" s="13">
        <v>65</v>
      </c>
      <c r="L114" s="13">
        <v>22</v>
      </c>
      <c r="M114" s="13">
        <f t="shared" si="5"/>
        <v>215</v>
      </c>
      <c r="N114" s="14">
        <v>25.35</v>
      </c>
      <c r="O114" s="14">
        <v>5.77</v>
      </c>
      <c r="P114" s="14">
        <v>7</v>
      </c>
      <c r="Q114" s="14">
        <v>12.27</v>
      </c>
      <c r="R114" s="14">
        <v>3.5</v>
      </c>
      <c r="S114" s="14">
        <v>7</v>
      </c>
      <c r="T114" s="14">
        <f t="shared" si="6"/>
        <v>60.89</v>
      </c>
      <c r="V114" s="15">
        <f t="shared" si="7"/>
        <v>7.2469404687824104E-2</v>
      </c>
      <c r="W114" s="15">
        <f t="shared" si="8"/>
        <v>4.9485025449555631E-2</v>
      </c>
      <c r="Y114" s="15">
        <f t="shared" si="9"/>
        <v>7.8331279019673544E-2</v>
      </c>
    </row>
    <row r="115" spans="1:25" x14ac:dyDescent="0.3">
      <c r="A115" s="5">
        <v>35</v>
      </c>
      <c r="B115" s="5">
        <v>3500</v>
      </c>
      <c r="C115" s="5">
        <v>1218</v>
      </c>
      <c r="D115" s="5" t="s">
        <v>33</v>
      </c>
      <c r="E115" s="5" t="s">
        <v>34</v>
      </c>
      <c r="F115" s="13">
        <v>107</v>
      </c>
      <c r="G115" s="13" t="s">
        <v>144</v>
      </c>
      <c r="H115" s="13">
        <v>165</v>
      </c>
      <c r="I115" s="13">
        <v>99</v>
      </c>
      <c r="J115" s="13"/>
      <c r="K115" s="13"/>
      <c r="L115" s="13">
        <v>66</v>
      </c>
      <c r="M115" s="13">
        <f t="shared" si="5"/>
        <v>165</v>
      </c>
      <c r="N115" s="14">
        <v>20.22</v>
      </c>
      <c r="O115" s="14">
        <v>11.76</v>
      </c>
      <c r="P115" s="14">
        <v>7</v>
      </c>
      <c r="Q115" s="14">
        <v>12.63</v>
      </c>
      <c r="R115" s="14">
        <v>3.5</v>
      </c>
      <c r="S115" s="14">
        <v>7</v>
      </c>
      <c r="T115" s="14">
        <f t="shared" si="6"/>
        <v>62.11</v>
      </c>
      <c r="V115" s="15">
        <f t="shared" si="7"/>
        <v>4.4361208175769468E-2</v>
      </c>
      <c r="W115" s="15">
        <f t="shared" si="8"/>
        <v>7.7401751950600742E-2</v>
      </c>
      <c r="Y115" s="15">
        <f t="shared" si="9"/>
        <v>6.131916854147719E-2</v>
      </c>
    </row>
    <row r="116" spans="1:25" x14ac:dyDescent="0.3">
      <c r="A116" s="5">
        <v>35</v>
      </c>
      <c r="B116" s="5">
        <v>3500</v>
      </c>
      <c r="C116" s="5">
        <v>1219</v>
      </c>
      <c r="D116" s="5" t="s">
        <v>33</v>
      </c>
      <c r="E116" s="5" t="s">
        <v>34</v>
      </c>
      <c r="F116" s="13">
        <v>108</v>
      </c>
      <c r="G116" s="13" t="s">
        <v>145</v>
      </c>
      <c r="H116" s="13">
        <v>629</v>
      </c>
      <c r="I116" s="13">
        <v>382</v>
      </c>
      <c r="J116" s="13"/>
      <c r="K116" s="13">
        <v>185</v>
      </c>
      <c r="L116" s="13">
        <v>62</v>
      </c>
      <c r="M116" s="13">
        <f t="shared" si="5"/>
        <v>629</v>
      </c>
      <c r="N116" s="14">
        <v>19.66</v>
      </c>
      <c r="O116" s="14">
        <v>11.04</v>
      </c>
      <c r="P116" s="14">
        <v>7</v>
      </c>
      <c r="Q116" s="14">
        <v>12.63</v>
      </c>
      <c r="R116" s="14">
        <v>4.0999999999999996</v>
      </c>
      <c r="S116" s="14">
        <v>3</v>
      </c>
      <c r="T116" s="14">
        <f t="shared" si="6"/>
        <v>57.430000000000007</v>
      </c>
      <c r="V116" s="15">
        <f t="shared" si="7"/>
        <v>0.16442673346842607</v>
      </c>
      <c r="W116" s="15">
        <f t="shared" si="8"/>
        <v>0.27699966492748068</v>
      </c>
      <c r="Y116" s="15">
        <f t="shared" si="9"/>
        <v>0.21614253745632092</v>
      </c>
    </row>
    <row r="117" spans="1:25" x14ac:dyDescent="0.3">
      <c r="A117" s="5">
        <v>35</v>
      </c>
      <c r="B117" s="5">
        <v>3500</v>
      </c>
      <c r="C117" s="5">
        <v>1220</v>
      </c>
      <c r="D117" s="5" t="s">
        <v>33</v>
      </c>
      <c r="E117" s="5" t="s">
        <v>34</v>
      </c>
      <c r="F117" s="13">
        <v>109</v>
      </c>
      <c r="G117" s="13" t="s">
        <v>146</v>
      </c>
      <c r="H117" s="13">
        <v>2340</v>
      </c>
      <c r="I117" s="13">
        <v>1453</v>
      </c>
      <c r="J117" s="13"/>
      <c r="K117" s="13">
        <v>654</v>
      </c>
      <c r="L117" s="13">
        <v>233</v>
      </c>
      <c r="M117" s="13">
        <f t="shared" si="5"/>
        <v>2340</v>
      </c>
      <c r="N117" s="14">
        <v>19.25</v>
      </c>
      <c r="O117" s="14">
        <v>9.1300000000000008</v>
      </c>
      <c r="P117" s="14">
        <v>7.36</v>
      </c>
      <c r="Q117" s="14">
        <v>12.6</v>
      </c>
      <c r="R117" s="14">
        <v>4.25</v>
      </c>
      <c r="S117" s="14">
        <v>7</v>
      </c>
      <c r="T117" s="14">
        <f t="shared" si="6"/>
        <v>59.59</v>
      </c>
      <c r="V117" s="15">
        <f t="shared" si="7"/>
        <v>0.59894212818917236</v>
      </c>
      <c r="W117" s="15">
        <f t="shared" si="8"/>
        <v>0.85220908525202244</v>
      </c>
      <c r="Y117" s="15">
        <f t="shared" si="9"/>
        <v>0.83433416303671437</v>
      </c>
    </row>
    <row r="118" spans="1:25" x14ac:dyDescent="0.3">
      <c r="A118" s="5">
        <v>35</v>
      </c>
      <c r="B118" s="5">
        <v>3500</v>
      </c>
      <c r="C118" s="5">
        <v>1221</v>
      </c>
      <c r="D118" s="5" t="s">
        <v>33</v>
      </c>
      <c r="E118" s="5" t="s">
        <v>34</v>
      </c>
      <c r="F118" s="13">
        <v>110</v>
      </c>
      <c r="G118" s="13" t="s">
        <v>147</v>
      </c>
      <c r="H118" s="13">
        <v>789</v>
      </c>
      <c r="I118" s="13">
        <v>599</v>
      </c>
      <c r="J118" s="13"/>
      <c r="K118" s="13">
        <v>156</v>
      </c>
      <c r="L118" s="13">
        <v>34</v>
      </c>
      <c r="M118" s="13">
        <f t="shared" si="5"/>
        <v>789</v>
      </c>
      <c r="N118" s="14">
        <v>23.87</v>
      </c>
      <c r="O118" s="14">
        <v>10.99</v>
      </c>
      <c r="P118" s="14">
        <v>6.82</v>
      </c>
      <c r="Q118" s="14">
        <v>12.51</v>
      </c>
      <c r="R118" s="14">
        <v>4.25</v>
      </c>
      <c r="S118" s="14">
        <v>7</v>
      </c>
      <c r="T118" s="14">
        <f t="shared" si="6"/>
        <v>65.44</v>
      </c>
      <c r="V118" s="15">
        <f t="shared" si="7"/>
        <v>0.25041923954493966</v>
      </c>
      <c r="W118" s="15">
        <f t="shared" si="8"/>
        <v>0.34588698482600161</v>
      </c>
      <c r="Y118" s="15">
        <f t="shared" si="9"/>
        <v>0.30893782011392462</v>
      </c>
    </row>
    <row r="119" spans="1:25" x14ac:dyDescent="0.3">
      <c r="A119" s="5">
        <v>35</v>
      </c>
      <c r="B119" s="5">
        <v>3500</v>
      </c>
      <c r="C119" s="5">
        <v>1222</v>
      </c>
      <c r="D119" s="5" t="s">
        <v>33</v>
      </c>
      <c r="E119" s="5" t="s">
        <v>34</v>
      </c>
      <c r="F119" s="13">
        <v>111</v>
      </c>
      <c r="G119" s="13" t="s">
        <v>148</v>
      </c>
      <c r="H119" s="13">
        <v>209</v>
      </c>
      <c r="I119" s="13">
        <v>190</v>
      </c>
      <c r="J119" s="13"/>
      <c r="K119" s="13"/>
      <c r="L119" s="13">
        <v>19</v>
      </c>
      <c r="M119" s="13">
        <f t="shared" si="5"/>
        <v>209</v>
      </c>
      <c r="N119" s="14">
        <v>15.05</v>
      </c>
      <c r="O119" s="14">
        <v>11</v>
      </c>
      <c r="P119" s="14">
        <v>7</v>
      </c>
      <c r="Q119" s="14">
        <v>12.63</v>
      </c>
      <c r="R119" s="14">
        <v>3.5</v>
      </c>
      <c r="S119" s="14">
        <v>3</v>
      </c>
      <c r="T119" s="14">
        <f t="shared" si="6"/>
        <v>52.18</v>
      </c>
      <c r="V119" s="15">
        <f t="shared" si="7"/>
        <v>4.182356570346614E-2</v>
      </c>
      <c r="W119" s="15">
        <f t="shared" si="8"/>
        <v>9.1706157356437376E-2</v>
      </c>
      <c r="Y119" s="15">
        <f t="shared" si="9"/>
        <v>6.5253099420803221E-2</v>
      </c>
    </row>
    <row r="120" spans="1:25" x14ac:dyDescent="0.3">
      <c r="A120" s="5">
        <v>35</v>
      </c>
      <c r="B120" s="5">
        <v>3500</v>
      </c>
      <c r="C120" s="5">
        <v>1223</v>
      </c>
      <c r="D120" s="5" t="s">
        <v>33</v>
      </c>
      <c r="E120" s="5" t="s">
        <v>34</v>
      </c>
      <c r="F120" s="13">
        <v>112</v>
      </c>
      <c r="G120" s="13" t="s">
        <v>149</v>
      </c>
      <c r="H120" s="13">
        <v>13</v>
      </c>
      <c r="I120" s="13"/>
      <c r="J120" s="13">
        <v>13</v>
      </c>
      <c r="K120" s="13"/>
      <c r="L120" s="13"/>
      <c r="M120" s="13">
        <f t="shared" si="5"/>
        <v>13</v>
      </c>
      <c r="N120" s="14">
        <v>13.9</v>
      </c>
      <c r="O120" s="14">
        <v>14.25</v>
      </c>
      <c r="P120" s="14">
        <v>7.08</v>
      </c>
      <c r="Q120" s="14">
        <v>12.63</v>
      </c>
      <c r="R120" s="14">
        <v>3.5</v>
      </c>
      <c r="S120" s="14">
        <v>7</v>
      </c>
      <c r="T120" s="14">
        <f t="shared" si="6"/>
        <v>58.36</v>
      </c>
      <c r="V120" s="15">
        <f t="shared" si="7"/>
        <v>2.4026827075986999E-3</v>
      </c>
      <c r="W120" s="15">
        <f t="shared" si="8"/>
        <v>7.3895457373988798E-3</v>
      </c>
      <c r="Y120" s="15">
        <f t="shared" si="9"/>
        <v>4.5395146235220904E-3</v>
      </c>
    </row>
    <row r="121" spans="1:25" x14ac:dyDescent="0.3">
      <c r="A121" s="5">
        <v>35</v>
      </c>
      <c r="B121" s="5">
        <v>3500</v>
      </c>
      <c r="C121" s="5">
        <v>1224</v>
      </c>
      <c r="D121" s="5" t="s">
        <v>33</v>
      </c>
      <c r="E121" s="5" t="s">
        <v>34</v>
      </c>
      <c r="F121" s="13">
        <v>113</v>
      </c>
      <c r="G121" s="13" t="s">
        <v>150</v>
      </c>
      <c r="H121" s="13">
        <v>20</v>
      </c>
      <c r="I121" s="13">
        <v>20</v>
      </c>
      <c r="J121" s="13"/>
      <c r="K121" s="13"/>
      <c r="L121" s="13"/>
      <c r="M121" s="13">
        <f t="shared" si="5"/>
        <v>20</v>
      </c>
      <c r="N121" s="14">
        <v>28</v>
      </c>
      <c r="O121" s="14">
        <v>10</v>
      </c>
      <c r="P121" s="14">
        <v>4</v>
      </c>
      <c r="Q121" s="14">
        <v>7.5</v>
      </c>
      <c r="R121" s="14">
        <v>2.5</v>
      </c>
      <c r="S121" s="14">
        <v>5</v>
      </c>
      <c r="T121" s="14">
        <f t="shared" si="6"/>
        <v>57</v>
      </c>
      <c r="V121" s="15">
        <f t="shared" si="7"/>
        <v>7.4460559837037739E-3</v>
      </c>
      <c r="W121" s="15">
        <f t="shared" si="8"/>
        <v>7.9779171253968988E-3</v>
      </c>
      <c r="Y121" s="15">
        <f t="shared" si="9"/>
        <v>6.821119142214351E-3</v>
      </c>
    </row>
    <row r="122" spans="1:25" x14ac:dyDescent="0.3">
      <c r="A122" s="5">
        <v>35</v>
      </c>
      <c r="B122" s="5">
        <v>3500</v>
      </c>
      <c r="C122" s="5">
        <v>1225</v>
      </c>
      <c r="D122" s="5" t="s">
        <v>33</v>
      </c>
      <c r="E122" s="5" t="s">
        <v>34</v>
      </c>
      <c r="F122" s="13">
        <v>114</v>
      </c>
      <c r="G122" s="13" t="s">
        <v>151</v>
      </c>
      <c r="H122" s="13">
        <v>54</v>
      </c>
      <c r="I122" s="13">
        <v>48</v>
      </c>
      <c r="J122" s="13"/>
      <c r="K122" s="13"/>
      <c r="L122" s="13">
        <v>6</v>
      </c>
      <c r="M122" s="13">
        <f t="shared" si="5"/>
        <v>54</v>
      </c>
      <c r="N122" s="14">
        <v>24.26</v>
      </c>
      <c r="O122" s="14">
        <v>8.5956674869517773</v>
      </c>
      <c r="P122" s="14">
        <v>4</v>
      </c>
      <c r="Q122" s="14">
        <v>7.5</v>
      </c>
      <c r="R122" s="14">
        <v>2.5</v>
      </c>
      <c r="S122" s="14"/>
      <c r="T122" s="14">
        <f t="shared" si="6"/>
        <v>46.855667486951781</v>
      </c>
      <c r="V122" s="15">
        <f t="shared" si="7"/>
        <v>1.7418984251591593E-2</v>
      </c>
      <c r="W122" s="15">
        <f t="shared" si="8"/>
        <v>1.851539116905988E-2</v>
      </c>
      <c r="Y122" s="15">
        <f t="shared" si="9"/>
        <v>1.5139330598675244E-2</v>
      </c>
    </row>
    <row r="123" spans="1:25" x14ac:dyDescent="0.3">
      <c r="A123" s="5">
        <v>35</v>
      </c>
      <c r="B123" s="5">
        <v>3500</v>
      </c>
      <c r="C123" s="5">
        <v>1226</v>
      </c>
      <c r="D123" s="5" t="s">
        <v>33</v>
      </c>
      <c r="E123" s="5" t="s">
        <v>34</v>
      </c>
      <c r="F123" s="13">
        <v>115</v>
      </c>
      <c r="G123" s="13" t="s">
        <v>152</v>
      </c>
      <c r="H123" s="13">
        <v>2143</v>
      </c>
      <c r="I123" s="13">
        <v>1293</v>
      </c>
      <c r="J123" s="13"/>
      <c r="K123" s="13">
        <v>658</v>
      </c>
      <c r="L123" s="13">
        <v>192</v>
      </c>
      <c r="M123" s="13">
        <f t="shared" si="5"/>
        <v>2143</v>
      </c>
      <c r="N123" s="14">
        <v>20.46</v>
      </c>
      <c r="O123" s="14">
        <v>7.39</v>
      </c>
      <c r="P123" s="14">
        <v>7</v>
      </c>
      <c r="Q123" s="14">
        <v>11.27</v>
      </c>
      <c r="R123" s="14">
        <v>3.5</v>
      </c>
      <c r="S123" s="14">
        <v>7.54</v>
      </c>
      <c r="T123" s="14">
        <f t="shared" si="6"/>
        <v>57.160000000000004</v>
      </c>
      <c r="V123" s="15">
        <f t="shared" si="7"/>
        <v>0.58299666523064153</v>
      </c>
      <c r="W123" s="15">
        <f t="shared" si="8"/>
        <v>0.63172219296985943</v>
      </c>
      <c r="Y123" s="15">
        <f t="shared" si="9"/>
        <v>0.73293451725623482</v>
      </c>
    </row>
    <row r="124" spans="1:25" s="27" customFormat="1" x14ac:dyDescent="0.3">
      <c r="A124" s="27">
        <v>35</v>
      </c>
      <c r="B124" s="27">
        <v>3500</v>
      </c>
      <c r="C124" s="27">
        <v>1227</v>
      </c>
      <c r="D124" s="27" t="s">
        <v>33</v>
      </c>
      <c r="E124" s="27" t="s">
        <v>34</v>
      </c>
      <c r="F124" s="28">
        <v>116</v>
      </c>
      <c r="G124" s="28" t="s">
        <v>153</v>
      </c>
      <c r="H124" s="28">
        <v>2721</v>
      </c>
      <c r="I124" s="28">
        <v>1571</v>
      </c>
      <c r="J124" s="28"/>
      <c r="K124" s="28"/>
      <c r="L124" s="28">
        <v>1150</v>
      </c>
      <c r="M124" s="28">
        <f t="shared" si="5"/>
        <v>2721</v>
      </c>
      <c r="N124" s="29">
        <v>23.24</v>
      </c>
      <c r="O124" s="29">
        <v>13.42</v>
      </c>
      <c r="P124" s="29">
        <v>7.6</v>
      </c>
      <c r="Q124" s="29">
        <v>11.57</v>
      </c>
      <c r="R124" s="29">
        <v>3.95</v>
      </c>
      <c r="S124" s="29">
        <v>6.8</v>
      </c>
      <c r="T124" s="29">
        <f t="shared" si="6"/>
        <v>66.58</v>
      </c>
      <c r="V124" s="30">
        <f t="shared" si="7"/>
        <v>0.84081981076380574</v>
      </c>
      <c r="W124" s="30">
        <f t="shared" si="8"/>
        <v>1.4566009286295531</v>
      </c>
      <c r="Y124" s="15">
        <f t="shared" si="9"/>
        <v>1.083984610597865</v>
      </c>
    </row>
    <row r="125" spans="1:25" x14ac:dyDescent="0.3">
      <c r="A125" s="5">
        <v>35</v>
      </c>
      <c r="B125" s="5">
        <v>3500</v>
      </c>
      <c r="C125" s="5">
        <v>1228</v>
      </c>
      <c r="D125" s="5" t="s">
        <v>33</v>
      </c>
      <c r="E125" s="5" t="s">
        <v>34</v>
      </c>
      <c r="F125" s="13">
        <v>117</v>
      </c>
      <c r="G125" s="13" t="s">
        <v>154</v>
      </c>
      <c r="H125" s="13">
        <v>1146</v>
      </c>
      <c r="I125" s="13">
        <v>654</v>
      </c>
      <c r="J125" s="13"/>
      <c r="K125" s="13">
        <v>345</v>
      </c>
      <c r="L125" s="13">
        <v>147</v>
      </c>
      <c r="M125" s="13">
        <f t="shared" si="5"/>
        <v>1146</v>
      </c>
      <c r="N125" s="14">
        <v>23.24</v>
      </c>
      <c r="O125" s="14">
        <v>13.67</v>
      </c>
      <c r="P125" s="14">
        <v>7</v>
      </c>
      <c r="Q125" s="14">
        <v>10.5</v>
      </c>
      <c r="R125" s="14">
        <v>3.5</v>
      </c>
      <c r="S125" s="14">
        <v>7</v>
      </c>
      <c r="T125" s="14">
        <f t="shared" si="6"/>
        <v>64.91</v>
      </c>
      <c r="V125" s="15">
        <f t="shared" si="7"/>
        <v>0.3541269765289678</v>
      </c>
      <c r="W125" s="15">
        <f t="shared" si="8"/>
        <v>0.62490306830692632</v>
      </c>
      <c r="Y125" s="15">
        <f t="shared" si="9"/>
        <v>0.44508915322387632</v>
      </c>
    </row>
    <row r="126" spans="1:25" x14ac:dyDescent="0.3">
      <c r="A126" s="5">
        <v>35</v>
      </c>
      <c r="B126" s="5">
        <v>3500</v>
      </c>
      <c r="C126" s="5">
        <v>1120</v>
      </c>
      <c r="D126" s="5" t="s">
        <v>33</v>
      </c>
      <c r="E126" s="5" t="s">
        <v>34</v>
      </c>
      <c r="F126" s="13">
        <v>118</v>
      </c>
      <c r="G126" s="13" t="s">
        <v>155</v>
      </c>
      <c r="H126" s="13">
        <v>1058</v>
      </c>
      <c r="I126" s="13">
        <v>853</v>
      </c>
      <c r="J126" s="13"/>
      <c r="K126" s="13"/>
      <c r="L126" s="13">
        <v>205</v>
      </c>
      <c r="M126" s="13">
        <f t="shared" si="5"/>
        <v>1058</v>
      </c>
      <c r="N126" s="14">
        <v>23.41</v>
      </c>
      <c r="O126" s="14">
        <v>12.55</v>
      </c>
      <c r="P126" s="14">
        <v>4.4000000000000004</v>
      </c>
      <c r="Q126" s="14">
        <v>4.5</v>
      </c>
      <c r="R126" s="14">
        <v>1.5</v>
      </c>
      <c r="S126" s="14">
        <v>3</v>
      </c>
      <c r="T126" s="14">
        <f t="shared" si="6"/>
        <v>49.36</v>
      </c>
      <c r="V126" s="15">
        <f t="shared" si="7"/>
        <v>0.32932549370010483</v>
      </c>
      <c r="W126" s="15">
        <f t="shared" si="8"/>
        <v>0.52964992899653762</v>
      </c>
      <c r="Y126" s="15">
        <f t="shared" si="9"/>
        <v>0.31247235651716049</v>
      </c>
    </row>
    <row r="127" spans="1:25" x14ac:dyDescent="0.3">
      <c r="A127" s="5">
        <v>35</v>
      </c>
      <c r="B127" s="5">
        <v>3500</v>
      </c>
      <c r="C127" s="5">
        <v>1121</v>
      </c>
      <c r="D127" s="5" t="s">
        <v>33</v>
      </c>
      <c r="E127" s="5" t="s">
        <v>34</v>
      </c>
      <c r="F127" s="13">
        <v>119</v>
      </c>
      <c r="G127" s="13" t="s">
        <v>156</v>
      </c>
      <c r="H127" s="13">
        <v>2433</v>
      </c>
      <c r="I127" s="13">
        <v>1483</v>
      </c>
      <c r="J127" s="13">
        <v>205</v>
      </c>
      <c r="K127" s="13">
        <v>502</v>
      </c>
      <c r="L127" s="13">
        <v>243</v>
      </c>
      <c r="M127" s="13">
        <f t="shared" si="5"/>
        <v>2433</v>
      </c>
      <c r="N127" s="14">
        <v>21.97</v>
      </c>
      <c r="O127" s="14">
        <v>10.89</v>
      </c>
      <c r="P127" s="14">
        <v>5.0999999999999996</v>
      </c>
      <c r="Q127" s="14">
        <v>4.5</v>
      </c>
      <c r="R127" s="14">
        <v>2.2999999999999998</v>
      </c>
      <c r="S127" s="14">
        <v>3</v>
      </c>
      <c r="T127" s="14">
        <f t="shared" si="6"/>
        <v>47.76</v>
      </c>
      <c r="V127" s="15">
        <f t="shared" si="7"/>
        <v>0.71073947313835306</v>
      </c>
      <c r="W127" s="15">
        <f t="shared" si="8"/>
        <v>1.0568893303336366</v>
      </c>
      <c r="Y127" s="15">
        <f t="shared" si="9"/>
        <v>0.69527595615336746</v>
      </c>
    </row>
    <row r="128" spans="1:25" x14ac:dyDescent="0.3">
      <c r="A128" s="5">
        <v>35</v>
      </c>
      <c r="B128" s="5">
        <v>3500</v>
      </c>
      <c r="C128" s="5">
        <v>1122</v>
      </c>
      <c r="D128" s="5" t="s">
        <v>33</v>
      </c>
      <c r="E128" s="5" t="s">
        <v>34</v>
      </c>
      <c r="F128" s="13">
        <v>120</v>
      </c>
      <c r="G128" s="13" t="s">
        <v>157</v>
      </c>
      <c r="H128" s="13">
        <v>1273</v>
      </c>
      <c r="I128" s="13">
        <v>604</v>
      </c>
      <c r="J128" s="13">
        <v>198</v>
      </c>
      <c r="K128" s="13">
        <v>354</v>
      </c>
      <c r="L128" s="13">
        <v>117</v>
      </c>
      <c r="M128" s="13">
        <f t="shared" si="5"/>
        <v>1273</v>
      </c>
      <c r="N128" s="14">
        <v>23.58</v>
      </c>
      <c r="O128" s="14">
        <v>11.2</v>
      </c>
      <c r="P128" s="14">
        <v>7.71</v>
      </c>
      <c r="Q128" s="14">
        <v>11.75</v>
      </c>
      <c r="R128" s="14">
        <v>3.8</v>
      </c>
      <c r="S128" s="14">
        <v>7.24</v>
      </c>
      <c r="T128" s="14">
        <f t="shared" si="6"/>
        <v>65.28</v>
      </c>
      <c r="V128" s="15">
        <f t="shared" si="7"/>
        <v>0.39912641807476895</v>
      </c>
      <c r="W128" s="15">
        <f t="shared" si="8"/>
        <v>0.5687297560352943</v>
      </c>
      <c r="Y128" s="15">
        <f t="shared" si="9"/>
        <v>0.4972323009908573</v>
      </c>
    </row>
    <row r="129" spans="1:25" x14ac:dyDescent="0.3">
      <c r="A129" s="5">
        <v>35</v>
      </c>
      <c r="B129" s="5">
        <v>3500</v>
      </c>
      <c r="C129" s="5">
        <v>1123</v>
      </c>
      <c r="D129" s="5" t="s">
        <v>33</v>
      </c>
      <c r="E129" s="5" t="s">
        <v>34</v>
      </c>
      <c r="F129" s="13">
        <v>121</v>
      </c>
      <c r="G129" s="13" t="s">
        <v>158</v>
      </c>
      <c r="H129" s="13">
        <v>1332</v>
      </c>
      <c r="I129" s="13">
        <v>706</v>
      </c>
      <c r="J129" s="13">
        <v>315</v>
      </c>
      <c r="K129" s="13"/>
      <c r="L129" s="13">
        <v>311</v>
      </c>
      <c r="M129" s="13">
        <f t="shared" si="5"/>
        <v>1332</v>
      </c>
      <c r="N129" s="14">
        <v>23.17</v>
      </c>
      <c r="O129" s="14">
        <v>13.94</v>
      </c>
      <c r="P129" s="14">
        <v>5.7</v>
      </c>
      <c r="Q129" s="14">
        <v>8.8800000000000008</v>
      </c>
      <c r="R129" s="14">
        <v>1.5</v>
      </c>
      <c r="S129" s="14">
        <v>5.08</v>
      </c>
      <c r="T129" s="14">
        <f t="shared" si="6"/>
        <v>58.27</v>
      </c>
      <c r="V129" s="15">
        <f t="shared" si="7"/>
        <v>0.41036331434589063</v>
      </c>
      <c r="W129" s="15">
        <f t="shared" si="8"/>
        <v>0.74067301708869859</v>
      </c>
      <c r="Y129" s="15">
        <f t="shared" si="9"/>
        <v>0.46440835766598054</v>
      </c>
    </row>
    <row r="130" spans="1:25" x14ac:dyDescent="0.3">
      <c r="A130" s="5">
        <v>35</v>
      </c>
      <c r="B130" s="5">
        <v>3500</v>
      </c>
      <c r="C130" s="5">
        <v>1124</v>
      </c>
      <c r="D130" s="5" t="s">
        <v>33</v>
      </c>
      <c r="E130" s="5" t="s">
        <v>34</v>
      </c>
      <c r="F130" s="13">
        <v>122</v>
      </c>
      <c r="G130" s="13" t="s">
        <v>159</v>
      </c>
      <c r="H130" s="13">
        <v>1045</v>
      </c>
      <c r="I130" s="13">
        <v>620</v>
      </c>
      <c r="J130" s="13">
        <v>320</v>
      </c>
      <c r="K130" s="13"/>
      <c r="L130" s="13">
        <v>105</v>
      </c>
      <c r="M130" s="13">
        <f t="shared" si="5"/>
        <v>1045</v>
      </c>
      <c r="N130" s="14">
        <v>26.28</v>
      </c>
      <c r="O130" s="14">
        <v>11.17</v>
      </c>
      <c r="P130" s="14">
        <v>7.44</v>
      </c>
      <c r="Q130" s="14">
        <v>11.52</v>
      </c>
      <c r="R130" s="14">
        <v>3.88</v>
      </c>
      <c r="S130" s="14">
        <v>8.2799999999999994</v>
      </c>
      <c r="T130" s="14">
        <f t="shared" si="6"/>
        <v>68.569999999999993</v>
      </c>
      <c r="V130" s="15">
        <f t="shared" si="7"/>
        <v>0.3651572447465416</v>
      </c>
      <c r="W130" s="15">
        <f t="shared" si="8"/>
        <v>0.46561717166882072</v>
      </c>
      <c r="Y130" s="15">
        <f t="shared" si="9"/>
        <v>0.42874712794983483</v>
      </c>
    </row>
    <row r="131" spans="1:25" s="27" customFormat="1" x14ac:dyDescent="0.3">
      <c r="A131" s="27">
        <v>35</v>
      </c>
      <c r="B131" s="27">
        <v>3500</v>
      </c>
      <c r="C131" s="27">
        <v>1067</v>
      </c>
      <c r="D131" s="27" t="s">
        <v>33</v>
      </c>
      <c r="E131" s="27" t="s">
        <v>34</v>
      </c>
      <c r="F131" s="28">
        <v>123</v>
      </c>
      <c r="G131" s="28" t="s">
        <v>160</v>
      </c>
      <c r="H131" s="28">
        <v>1000</v>
      </c>
      <c r="I131" s="28">
        <v>565</v>
      </c>
      <c r="J131" s="28">
        <v>315</v>
      </c>
      <c r="K131" s="28">
        <v>110</v>
      </c>
      <c r="L131" s="28">
        <v>10</v>
      </c>
      <c r="M131" s="28">
        <f t="shared" si="5"/>
        <v>1000</v>
      </c>
      <c r="N131" s="29">
        <v>27.13</v>
      </c>
      <c r="O131" s="29">
        <v>12.78</v>
      </c>
      <c r="P131" s="29">
        <v>4.1399999999999997</v>
      </c>
      <c r="Q131" s="29">
        <v>7.22</v>
      </c>
      <c r="R131" s="29">
        <v>2.9</v>
      </c>
      <c r="S131" s="29">
        <v>4.96</v>
      </c>
      <c r="T131" s="29">
        <f t="shared" si="6"/>
        <v>59.129999999999995</v>
      </c>
      <c r="V131" s="30">
        <f t="shared" si="7"/>
        <v>0.36073481935336321</v>
      </c>
      <c r="W131" s="30">
        <f t="shared" si="8"/>
        <v>0.50978890431286195</v>
      </c>
      <c r="Y131" s="15">
        <f t="shared" si="9"/>
        <v>0.35380067971853901</v>
      </c>
    </row>
    <row r="132" spans="1:25" x14ac:dyDescent="0.3">
      <c r="A132" s="5">
        <v>35</v>
      </c>
      <c r="B132" s="5">
        <v>3500</v>
      </c>
      <c r="C132" s="5">
        <v>1068</v>
      </c>
      <c r="D132" s="5" t="s">
        <v>33</v>
      </c>
      <c r="E132" s="5" t="s">
        <v>34</v>
      </c>
      <c r="F132" s="13">
        <v>124</v>
      </c>
      <c r="G132" s="13" t="s">
        <v>161</v>
      </c>
      <c r="H132" s="13">
        <v>1403</v>
      </c>
      <c r="I132" s="13">
        <v>809</v>
      </c>
      <c r="J132" s="13"/>
      <c r="K132" s="13">
        <v>468</v>
      </c>
      <c r="L132" s="13">
        <v>126</v>
      </c>
      <c r="M132" s="13">
        <f t="shared" si="5"/>
        <v>1403</v>
      </c>
      <c r="N132" s="14">
        <v>18.739999999999998</v>
      </c>
      <c r="O132" s="14">
        <v>8.4660677439348024</v>
      </c>
      <c r="P132" s="14">
        <v>7</v>
      </c>
      <c r="Q132" s="14">
        <v>12.63</v>
      </c>
      <c r="R132" s="14">
        <v>3.5</v>
      </c>
      <c r="S132" s="14">
        <v>5</v>
      </c>
      <c r="T132" s="14">
        <f t="shared" si="6"/>
        <v>55.336067743934805</v>
      </c>
      <c r="V132" s="15">
        <f t="shared" si="7"/>
        <v>0.34959525367117145</v>
      </c>
      <c r="W132" s="15">
        <f t="shared" si="8"/>
        <v>0.47380423167634095</v>
      </c>
      <c r="Y132" s="15">
        <f t="shared" si="9"/>
        <v>0.46453319039742313</v>
      </c>
    </row>
    <row r="133" spans="1:25" x14ac:dyDescent="0.3">
      <c r="A133" s="5">
        <v>35</v>
      </c>
      <c r="B133" s="5">
        <v>3500</v>
      </c>
      <c r="C133" s="5">
        <v>1069</v>
      </c>
      <c r="D133" s="5" t="s">
        <v>33</v>
      </c>
      <c r="E133" s="5" t="s">
        <v>34</v>
      </c>
      <c r="F133" s="13">
        <v>125</v>
      </c>
      <c r="G133" s="13" t="s">
        <v>162</v>
      </c>
      <c r="H133" s="13">
        <v>1370</v>
      </c>
      <c r="I133" s="13">
        <v>885</v>
      </c>
      <c r="J133" s="13"/>
      <c r="K133" s="13">
        <v>398</v>
      </c>
      <c r="L133" s="13">
        <v>87</v>
      </c>
      <c r="M133" s="13">
        <f t="shared" si="5"/>
        <v>1370</v>
      </c>
      <c r="N133" s="14">
        <v>30.94</v>
      </c>
      <c r="O133" s="14">
        <v>9.0554903336482848</v>
      </c>
      <c r="P133" s="14">
        <v>7</v>
      </c>
      <c r="Q133" s="14">
        <v>12.63</v>
      </c>
      <c r="R133" s="14">
        <v>3.5</v>
      </c>
      <c r="S133" s="14">
        <v>5</v>
      </c>
      <c r="T133" s="14">
        <f t="shared" si="6"/>
        <v>68.125490333648287</v>
      </c>
      <c r="V133" s="15">
        <f t="shared" si="7"/>
        <v>0.56361059254649803</v>
      </c>
      <c r="W133" s="15">
        <f t="shared" si="8"/>
        <v>0.49487106716999946</v>
      </c>
      <c r="Y133" s="15">
        <f t="shared" si="9"/>
        <v>0.55844575269911778</v>
      </c>
    </row>
    <row r="134" spans="1:25" x14ac:dyDescent="0.3">
      <c r="A134" s="5">
        <v>35</v>
      </c>
      <c r="B134" s="5">
        <v>3500</v>
      </c>
      <c r="C134" s="5">
        <v>1070</v>
      </c>
      <c r="D134" s="5" t="s">
        <v>33</v>
      </c>
      <c r="E134" s="5" t="s">
        <v>34</v>
      </c>
      <c r="F134" s="13">
        <v>126</v>
      </c>
      <c r="G134" s="13" t="s">
        <v>163</v>
      </c>
      <c r="H134" s="13">
        <v>1787</v>
      </c>
      <c r="I134" s="13">
        <v>1050</v>
      </c>
      <c r="J134" s="13">
        <v>302</v>
      </c>
      <c r="K134" s="13">
        <v>416</v>
      </c>
      <c r="L134" s="13">
        <v>19</v>
      </c>
      <c r="M134" s="13">
        <f t="shared" si="5"/>
        <v>1787</v>
      </c>
      <c r="N134" s="14">
        <v>27.97</v>
      </c>
      <c r="O134" s="14">
        <v>12.78</v>
      </c>
      <c r="P134" s="14">
        <v>4.1399999999999997</v>
      </c>
      <c r="Q134" s="14">
        <v>7.22</v>
      </c>
      <c r="R134" s="14">
        <v>2.9</v>
      </c>
      <c r="S134" s="14">
        <v>4.96</v>
      </c>
      <c r="T134" s="14">
        <f t="shared" si="6"/>
        <v>59.97</v>
      </c>
      <c r="V134" s="15">
        <f t="shared" si="7"/>
        <v>0.66459227524877795</v>
      </c>
      <c r="W134" s="15">
        <f t="shared" si="8"/>
        <v>0.91099277200708439</v>
      </c>
      <c r="Y134" s="15">
        <f t="shared" si="9"/>
        <v>0.64122343353597244</v>
      </c>
    </row>
    <row r="135" spans="1:25" x14ac:dyDescent="0.3">
      <c r="A135" s="5">
        <v>35</v>
      </c>
      <c r="B135" s="5">
        <v>3500</v>
      </c>
      <c r="C135" s="5">
        <v>1071</v>
      </c>
      <c r="D135" s="5" t="s">
        <v>33</v>
      </c>
      <c r="E135" s="5" t="s">
        <v>34</v>
      </c>
      <c r="F135" s="13">
        <v>127</v>
      </c>
      <c r="G135" s="13" t="s">
        <v>164</v>
      </c>
      <c r="H135" s="13">
        <v>1096</v>
      </c>
      <c r="I135" s="13">
        <v>612</v>
      </c>
      <c r="J135" s="13">
        <v>245</v>
      </c>
      <c r="K135" s="13">
        <v>199</v>
      </c>
      <c r="L135" s="13">
        <v>40</v>
      </c>
      <c r="M135" s="13">
        <f t="shared" ref="M135:M188" si="10">SUM(I135:L135)</f>
        <v>1096</v>
      </c>
      <c r="N135" s="14">
        <v>20.059999999999999</v>
      </c>
      <c r="O135" s="14">
        <v>12.78</v>
      </c>
      <c r="P135" s="14">
        <v>4.1399999999999997</v>
      </c>
      <c r="Q135" s="14">
        <v>7.22</v>
      </c>
      <c r="R135" s="14">
        <v>4.0999999999999996</v>
      </c>
      <c r="S135" s="14">
        <v>4.96</v>
      </c>
      <c r="T135" s="14">
        <f t="shared" ref="T135:T188" si="11">SUM(N135:S135)</f>
        <v>53.26</v>
      </c>
      <c r="V135" s="15">
        <f t="shared" ref="V135:V188" si="12">(((N135/45)*100)*H135)/$H$190</f>
        <v>0.29233428536477696</v>
      </c>
      <c r="W135" s="15">
        <f t="shared" ref="W135:W188" si="13">(((O135/15)*100)*H135)/$H$190</f>
        <v>0.55872863912689674</v>
      </c>
      <c r="Y135" s="15">
        <f t="shared" ref="Y135:Y188" si="14">(T135*H135)/$H$190</f>
        <v>0.34927097793308121</v>
      </c>
    </row>
    <row r="136" spans="1:25" x14ac:dyDescent="0.3">
      <c r="A136" s="5">
        <v>35</v>
      </c>
      <c r="B136" s="5">
        <v>3500</v>
      </c>
      <c r="C136" s="5">
        <v>1072</v>
      </c>
      <c r="D136" s="5" t="s">
        <v>33</v>
      </c>
      <c r="E136" s="5" t="s">
        <v>34</v>
      </c>
      <c r="F136" s="13">
        <v>128</v>
      </c>
      <c r="G136" s="13" t="s">
        <v>165</v>
      </c>
      <c r="H136" s="13">
        <v>1727</v>
      </c>
      <c r="I136" s="13">
        <v>980</v>
      </c>
      <c r="J136" s="13">
        <v>195</v>
      </c>
      <c r="K136" s="13">
        <v>505</v>
      </c>
      <c r="L136" s="13">
        <v>47</v>
      </c>
      <c r="M136" s="13">
        <f t="shared" si="10"/>
        <v>1727</v>
      </c>
      <c r="N136" s="14">
        <v>20</v>
      </c>
      <c r="O136" s="14">
        <v>9.3138390272148239</v>
      </c>
      <c r="P136" s="14">
        <v>7</v>
      </c>
      <c r="Q136" s="14">
        <v>12.33</v>
      </c>
      <c r="R136" s="14">
        <v>3.5</v>
      </c>
      <c r="S136" s="14">
        <v>5</v>
      </c>
      <c r="T136" s="14">
        <f t="shared" si="11"/>
        <v>57.143839027214824</v>
      </c>
      <c r="V136" s="15">
        <f t="shared" si="12"/>
        <v>0.45926209585201488</v>
      </c>
      <c r="W136" s="15">
        <f t="shared" si="13"/>
        <v>0.6416239848100459</v>
      </c>
      <c r="Y136" s="15">
        <f t="shared" si="14"/>
        <v>0.59048998372504913</v>
      </c>
    </row>
    <row r="137" spans="1:25" x14ac:dyDescent="0.3">
      <c r="A137" s="5">
        <v>35</v>
      </c>
      <c r="B137" s="5">
        <v>3500</v>
      </c>
      <c r="C137" s="5">
        <v>1128</v>
      </c>
      <c r="D137" s="5" t="s">
        <v>33</v>
      </c>
      <c r="E137" s="5" t="s">
        <v>34</v>
      </c>
      <c r="F137" s="13">
        <v>129</v>
      </c>
      <c r="G137" s="13" t="s">
        <v>166</v>
      </c>
      <c r="H137" s="13">
        <v>1341</v>
      </c>
      <c r="I137" s="13">
        <v>1060</v>
      </c>
      <c r="J137" s="13"/>
      <c r="K137" s="13">
        <v>256</v>
      </c>
      <c r="L137" s="13">
        <v>25</v>
      </c>
      <c r="M137" s="13">
        <f t="shared" si="10"/>
        <v>1341</v>
      </c>
      <c r="N137" s="14">
        <v>20.32</v>
      </c>
      <c r="O137" s="14">
        <v>11.61</v>
      </c>
      <c r="P137" s="14">
        <v>7</v>
      </c>
      <c r="Q137" s="14">
        <v>12.63</v>
      </c>
      <c r="R137" s="14">
        <v>3.5</v>
      </c>
      <c r="S137" s="14">
        <v>7.17</v>
      </c>
      <c r="T137" s="14">
        <f t="shared" si="11"/>
        <v>62.230000000000004</v>
      </c>
      <c r="V137" s="15">
        <f t="shared" si="12"/>
        <v>0.36231870183332532</v>
      </c>
      <c r="W137" s="15">
        <f t="shared" si="13"/>
        <v>0.62104135752237799</v>
      </c>
      <c r="Y137" s="15">
        <f t="shared" si="14"/>
        <v>0.49932046096405153</v>
      </c>
    </row>
    <row r="138" spans="1:25" s="27" customFormat="1" x14ac:dyDescent="0.3">
      <c r="A138" s="27">
        <v>35</v>
      </c>
      <c r="B138" s="27">
        <v>3500</v>
      </c>
      <c r="C138" s="27">
        <v>122204</v>
      </c>
      <c r="D138" s="27" t="s">
        <v>33</v>
      </c>
      <c r="E138" s="27" t="s">
        <v>34</v>
      </c>
      <c r="F138" s="28">
        <v>130</v>
      </c>
      <c r="G138" s="28" t="s">
        <v>167</v>
      </c>
      <c r="H138" s="28">
        <v>1046</v>
      </c>
      <c r="I138" s="28">
        <v>756</v>
      </c>
      <c r="J138" s="28"/>
      <c r="K138" s="28">
        <v>269</v>
      </c>
      <c r="L138" s="28">
        <v>21</v>
      </c>
      <c r="M138" s="28">
        <f t="shared" si="10"/>
        <v>1046</v>
      </c>
      <c r="N138" s="29">
        <v>23.73</v>
      </c>
      <c r="O138" s="29">
        <v>9.64</v>
      </c>
      <c r="P138" s="29">
        <v>7</v>
      </c>
      <c r="Q138" s="29">
        <v>12.63</v>
      </c>
      <c r="R138" s="29">
        <v>3.5</v>
      </c>
      <c r="S138" s="29">
        <v>7</v>
      </c>
      <c r="T138" s="29">
        <f t="shared" si="11"/>
        <v>63.500000000000007</v>
      </c>
      <c r="V138" s="30">
        <f t="shared" si="12"/>
        <v>0.33004084693568203</v>
      </c>
      <c r="W138" s="30">
        <f t="shared" si="13"/>
        <v>0.40222424329456063</v>
      </c>
      <c r="Y138" s="15">
        <f t="shared" si="14"/>
        <v>0.39742592503949076</v>
      </c>
    </row>
    <row r="139" spans="1:25" x14ac:dyDescent="0.3">
      <c r="A139" s="5">
        <v>35</v>
      </c>
      <c r="B139" s="5">
        <v>3500</v>
      </c>
      <c r="C139" s="5">
        <v>1125</v>
      </c>
      <c r="D139" s="5" t="s">
        <v>33</v>
      </c>
      <c r="E139" s="5" t="s">
        <v>34</v>
      </c>
      <c r="F139" s="13">
        <v>131</v>
      </c>
      <c r="G139" s="13" t="s">
        <v>168</v>
      </c>
      <c r="H139" s="13">
        <v>1921</v>
      </c>
      <c r="I139" s="13">
        <v>1402</v>
      </c>
      <c r="J139" s="13">
        <v>264</v>
      </c>
      <c r="K139" s="13">
        <v>246</v>
      </c>
      <c r="L139" s="13">
        <v>9</v>
      </c>
      <c r="M139" s="13">
        <f t="shared" si="10"/>
        <v>1921</v>
      </c>
      <c r="N139" s="14">
        <v>22.88</v>
      </c>
      <c r="O139" s="14">
        <v>13.76</v>
      </c>
      <c r="P139" s="14">
        <v>7</v>
      </c>
      <c r="Q139" s="14">
        <v>12.63</v>
      </c>
      <c r="R139" s="14">
        <v>3.5</v>
      </c>
      <c r="S139" s="14">
        <v>7</v>
      </c>
      <c r="T139" s="14">
        <f t="shared" si="11"/>
        <v>66.77000000000001</v>
      </c>
      <c r="V139" s="15">
        <f t="shared" si="12"/>
        <v>0.5844154048261081</v>
      </c>
      <c r="W139" s="15">
        <f t="shared" si="13"/>
        <v>1.0543998212946564</v>
      </c>
      <c r="Y139" s="15">
        <f t="shared" si="14"/>
        <v>0.76746667225120868</v>
      </c>
    </row>
    <row r="140" spans="1:25" x14ac:dyDescent="0.3">
      <c r="A140" s="5">
        <v>35</v>
      </c>
      <c r="B140" s="5">
        <v>3500</v>
      </c>
      <c r="C140" s="5">
        <v>1126</v>
      </c>
      <c r="D140" s="5" t="s">
        <v>33</v>
      </c>
      <c r="E140" s="5" t="s">
        <v>34</v>
      </c>
      <c r="F140" s="13">
        <v>132</v>
      </c>
      <c r="G140" s="13" t="s">
        <v>169</v>
      </c>
      <c r="H140" s="13">
        <v>1593</v>
      </c>
      <c r="I140" s="13">
        <v>1019</v>
      </c>
      <c r="J140" s="13">
        <v>126</v>
      </c>
      <c r="K140" s="13">
        <v>332</v>
      </c>
      <c r="L140" s="13">
        <v>116</v>
      </c>
      <c r="M140" s="13">
        <f t="shared" si="10"/>
        <v>1593</v>
      </c>
      <c r="N140" s="14">
        <v>19.649999999999999</v>
      </c>
      <c r="O140" s="14">
        <v>9.86</v>
      </c>
      <c r="P140" s="14">
        <v>6.8</v>
      </c>
      <c r="Q140" s="14">
        <v>12.63</v>
      </c>
      <c r="R140" s="14">
        <v>3.5</v>
      </c>
      <c r="S140" s="14">
        <v>6.16</v>
      </c>
      <c r="T140" s="14">
        <f t="shared" si="11"/>
        <v>58.599999999999994</v>
      </c>
      <c r="V140" s="15">
        <f t="shared" si="12"/>
        <v>0.41621391986980039</v>
      </c>
      <c r="W140" s="15">
        <f t="shared" si="13"/>
        <v>0.62654492365133307</v>
      </c>
      <c r="Y140" s="15">
        <f t="shared" si="14"/>
        <v>0.55855272605428163</v>
      </c>
    </row>
    <row r="141" spans="1:25" x14ac:dyDescent="0.3">
      <c r="A141" s="5">
        <v>35</v>
      </c>
      <c r="B141" s="5">
        <v>3500</v>
      </c>
      <c r="C141" s="5">
        <v>1127</v>
      </c>
      <c r="D141" s="5" t="s">
        <v>33</v>
      </c>
      <c r="E141" s="5" t="s">
        <v>34</v>
      </c>
      <c r="F141" s="13">
        <v>133</v>
      </c>
      <c r="G141" s="13" t="s">
        <v>170</v>
      </c>
      <c r="H141" s="13">
        <v>1246</v>
      </c>
      <c r="I141" s="13">
        <v>673</v>
      </c>
      <c r="J141" s="13">
        <v>235</v>
      </c>
      <c r="K141" s="13">
        <v>301</v>
      </c>
      <c r="L141" s="13">
        <v>37</v>
      </c>
      <c r="M141" s="13">
        <f t="shared" si="10"/>
        <v>1246</v>
      </c>
      <c r="N141" s="14">
        <v>20.18</v>
      </c>
      <c r="O141" s="14">
        <v>14.63</v>
      </c>
      <c r="P141" s="14">
        <v>7</v>
      </c>
      <c r="Q141" s="14">
        <v>12.48</v>
      </c>
      <c r="R141" s="14">
        <v>3.5</v>
      </c>
      <c r="S141" s="14">
        <v>7</v>
      </c>
      <c r="T141" s="14">
        <f t="shared" si="11"/>
        <v>64.790000000000006</v>
      </c>
      <c r="V141" s="15">
        <f t="shared" si="12"/>
        <v>0.33433163669629129</v>
      </c>
      <c r="W141" s="15">
        <f t="shared" si="13"/>
        <v>0.72714645860258798</v>
      </c>
      <c r="Y141" s="15">
        <f t="shared" si="14"/>
        <v>0.48303300464314786</v>
      </c>
    </row>
    <row r="142" spans="1:25" x14ac:dyDescent="0.3">
      <c r="A142" s="5">
        <v>35</v>
      </c>
      <c r="B142" s="5">
        <v>3500</v>
      </c>
      <c r="C142" s="5">
        <v>1129</v>
      </c>
      <c r="D142" s="5" t="s">
        <v>33</v>
      </c>
      <c r="E142" s="5" t="s">
        <v>34</v>
      </c>
      <c r="F142" s="13">
        <v>134</v>
      </c>
      <c r="G142" s="13" t="s">
        <v>171</v>
      </c>
      <c r="H142" s="13">
        <v>1884</v>
      </c>
      <c r="I142" s="13">
        <v>1000</v>
      </c>
      <c r="J142" s="13">
        <v>449</v>
      </c>
      <c r="K142" s="13">
        <v>300</v>
      </c>
      <c r="L142" s="13">
        <v>135</v>
      </c>
      <c r="M142" s="13">
        <f t="shared" si="10"/>
        <v>1884</v>
      </c>
      <c r="N142" s="14">
        <v>26.42</v>
      </c>
      <c r="O142" s="14">
        <v>11.41</v>
      </c>
      <c r="P142" s="14">
        <v>7</v>
      </c>
      <c r="Q142" s="14">
        <v>12.63</v>
      </c>
      <c r="R142" s="14">
        <v>3.5</v>
      </c>
      <c r="S142" s="14">
        <v>7</v>
      </c>
      <c r="T142" s="14">
        <f t="shared" si="11"/>
        <v>67.960000000000008</v>
      </c>
      <c r="V142" s="15">
        <f t="shared" si="12"/>
        <v>0.66183843122237651</v>
      </c>
      <c r="W142" s="15">
        <f t="shared" si="13"/>
        <v>0.85748408405533483</v>
      </c>
      <c r="Y142" s="15">
        <f t="shared" si="14"/>
        <v>0.76609927720070847</v>
      </c>
    </row>
    <row r="143" spans="1:25" x14ac:dyDescent="0.3">
      <c r="A143" s="5">
        <v>35</v>
      </c>
      <c r="B143" s="5">
        <v>3500</v>
      </c>
      <c r="C143" s="5">
        <v>1131</v>
      </c>
      <c r="D143" s="5" t="s">
        <v>33</v>
      </c>
      <c r="E143" s="5" t="s">
        <v>34</v>
      </c>
      <c r="F143" s="13">
        <v>135</v>
      </c>
      <c r="G143" s="13" t="s">
        <v>172</v>
      </c>
      <c r="H143" s="13">
        <v>1337</v>
      </c>
      <c r="I143" s="13">
        <v>772</v>
      </c>
      <c r="J143" s="13">
        <v>142</v>
      </c>
      <c r="K143" s="13">
        <v>423</v>
      </c>
      <c r="L143" s="13"/>
      <c r="M143" s="13">
        <f t="shared" si="10"/>
        <v>1337</v>
      </c>
      <c r="N143" s="14">
        <v>25.68</v>
      </c>
      <c r="O143" s="14">
        <v>13.68</v>
      </c>
      <c r="P143" s="14">
        <v>7</v>
      </c>
      <c r="Q143" s="14">
        <v>12.33</v>
      </c>
      <c r="R143" s="14">
        <v>3.5</v>
      </c>
      <c r="S143" s="14">
        <v>7</v>
      </c>
      <c r="T143" s="14">
        <f t="shared" si="11"/>
        <v>69.19</v>
      </c>
      <c r="V143" s="15">
        <f t="shared" si="12"/>
        <v>0.4565251384168621</v>
      </c>
      <c r="W143" s="15">
        <f t="shared" si="13"/>
        <v>0.72958690345124699</v>
      </c>
      <c r="Y143" s="15">
        <f t="shared" si="14"/>
        <v>0.55351006414245363</v>
      </c>
    </row>
    <row r="144" spans="1:25" x14ac:dyDescent="0.3">
      <c r="A144" s="5">
        <v>35</v>
      </c>
      <c r="B144" s="5">
        <v>3500</v>
      </c>
      <c r="C144" s="5">
        <v>122206</v>
      </c>
      <c r="D144" s="5" t="s">
        <v>33</v>
      </c>
      <c r="E144" s="5" t="s">
        <v>34</v>
      </c>
      <c r="F144" s="13">
        <v>136</v>
      </c>
      <c r="G144" s="13" t="s">
        <v>173</v>
      </c>
      <c r="H144" s="13">
        <v>1372</v>
      </c>
      <c r="I144" s="13">
        <v>1015</v>
      </c>
      <c r="J144" s="13"/>
      <c r="K144" s="13">
        <v>274</v>
      </c>
      <c r="L144" s="13">
        <v>83</v>
      </c>
      <c r="M144" s="13">
        <f t="shared" si="10"/>
        <v>1372</v>
      </c>
      <c r="N144" s="14">
        <v>21.51</v>
      </c>
      <c r="O144" s="14">
        <v>8.18</v>
      </c>
      <c r="P144" s="14">
        <v>7</v>
      </c>
      <c r="Q144" s="14">
        <v>12.63</v>
      </c>
      <c r="R144" s="14">
        <v>3.5</v>
      </c>
      <c r="S144" s="14">
        <v>7</v>
      </c>
      <c r="T144" s="14">
        <f t="shared" si="11"/>
        <v>59.82</v>
      </c>
      <c r="V144" s="15">
        <f t="shared" si="12"/>
        <v>0.39240342731319711</v>
      </c>
      <c r="W144" s="15">
        <f t="shared" si="13"/>
        <v>0.44767922390822207</v>
      </c>
      <c r="Y144" s="15">
        <f t="shared" si="14"/>
        <v>0.49107893351203863</v>
      </c>
    </row>
    <row r="145" spans="1:25" x14ac:dyDescent="0.3">
      <c r="A145" s="5">
        <v>35</v>
      </c>
      <c r="B145" s="5">
        <v>3500</v>
      </c>
      <c r="C145" s="5">
        <v>1132</v>
      </c>
      <c r="D145" s="5" t="s">
        <v>33</v>
      </c>
      <c r="E145" s="5" t="s">
        <v>34</v>
      </c>
      <c r="F145" s="13">
        <v>137</v>
      </c>
      <c r="G145" s="13" t="s">
        <v>174</v>
      </c>
      <c r="H145" s="13">
        <v>1733</v>
      </c>
      <c r="I145" s="13">
        <v>1055</v>
      </c>
      <c r="J145" s="13">
        <v>678</v>
      </c>
      <c r="K145" s="13"/>
      <c r="L145" s="13"/>
      <c r="M145" s="13">
        <f t="shared" si="10"/>
        <v>1733</v>
      </c>
      <c r="N145" s="14">
        <v>22.83</v>
      </c>
      <c r="O145" s="14">
        <v>13.37</v>
      </c>
      <c r="P145" s="14">
        <v>7.21</v>
      </c>
      <c r="Q145" s="14">
        <v>12.51</v>
      </c>
      <c r="R145" s="14">
        <v>3.5</v>
      </c>
      <c r="S145" s="14">
        <v>7</v>
      </c>
      <c r="T145" s="14">
        <f t="shared" si="11"/>
        <v>66.419999999999987</v>
      </c>
      <c r="V145" s="15">
        <f t="shared" si="12"/>
        <v>0.52606904089480311</v>
      </c>
      <c r="W145" s="15">
        <f t="shared" si="13"/>
        <v>0.92425007579021257</v>
      </c>
      <c r="Y145" s="15">
        <f t="shared" si="14"/>
        <v>0.68872875879565343</v>
      </c>
    </row>
    <row r="146" spans="1:25" x14ac:dyDescent="0.3">
      <c r="A146" s="5">
        <v>35</v>
      </c>
      <c r="B146" s="5">
        <v>3500</v>
      </c>
      <c r="C146" s="5">
        <v>1133</v>
      </c>
      <c r="D146" s="5" t="s">
        <v>33</v>
      </c>
      <c r="E146" s="5" t="s">
        <v>34</v>
      </c>
      <c r="F146" s="13">
        <v>138</v>
      </c>
      <c r="G146" s="13" t="s">
        <v>175</v>
      </c>
      <c r="H146" s="13">
        <v>1347</v>
      </c>
      <c r="I146" s="13">
        <v>862</v>
      </c>
      <c r="J146" s="13"/>
      <c r="K146" s="13">
        <v>485</v>
      </c>
      <c r="L146" s="13"/>
      <c r="M146" s="13">
        <f t="shared" si="10"/>
        <v>1347</v>
      </c>
      <c r="N146" s="14">
        <v>26.6</v>
      </c>
      <c r="O146" s="14">
        <v>11.74</v>
      </c>
      <c r="P146" s="14">
        <v>7.21</v>
      </c>
      <c r="Q146" s="14">
        <v>12.63</v>
      </c>
      <c r="R146" s="14">
        <v>3.5</v>
      </c>
      <c r="S146" s="14">
        <v>7</v>
      </c>
      <c r="T146" s="14">
        <f t="shared" si="11"/>
        <v>68.680000000000007</v>
      </c>
      <c r="V146" s="15">
        <f t="shared" si="12"/>
        <v>0.47641727697732678</v>
      </c>
      <c r="W146" s="15">
        <f t="shared" si="13"/>
        <v>0.63080513139629513</v>
      </c>
      <c r="Y146" s="15">
        <f t="shared" si="14"/>
        <v>0.55353956249102487</v>
      </c>
    </row>
    <row r="147" spans="1:25" x14ac:dyDescent="0.3">
      <c r="A147" s="5">
        <v>35</v>
      </c>
      <c r="B147" s="5">
        <v>3500</v>
      </c>
      <c r="C147" s="5">
        <v>1134</v>
      </c>
      <c r="D147" s="5" t="s">
        <v>33</v>
      </c>
      <c r="E147" s="5" t="s">
        <v>34</v>
      </c>
      <c r="F147" s="13">
        <v>139</v>
      </c>
      <c r="G147" s="13" t="s">
        <v>176</v>
      </c>
      <c r="H147" s="13">
        <v>1144</v>
      </c>
      <c r="I147" s="13">
        <v>779</v>
      </c>
      <c r="J147" s="13"/>
      <c r="K147" s="13">
        <v>365</v>
      </c>
      <c r="L147" s="13"/>
      <c r="M147" s="13">
        <f t="shared" si="10"/>
        <v>1144</v>
      </c>
      <c r="N147" s="14">
        <v>20.57</v>
      </c>
      <c r="O147" s="14">
        <v>11.16</v>
      </c>
      <c r="P147" s="14">
        <v>7</v>
      </c>
      <c r="Q147" s="14">
        <v>12.66</v>
      </c>
      <c r="R147" s="14">
        <v>3.8</v>
      </c>
      <c r="S147" s="14">
        <v>7</v>
      </c>
      <c r="T147" s="14">
        <f t="shared" si="11"/>
        <v>62.19</v>
      </c>
      <c r="V147" s="15">
        <f t="shared" si="12"/>
        <v>0.31289497338034988</v>
      </c>
      <c r="W147" s="15">
        <f t="shared" si="13"/>
        <v>0.5092719352831363</v>
      </c>
      <c r="Y147" s="15">
        <f t="shared" si="14"/>
        <v>0.42569383945239575</v>
      </c>
    </row>
    <row r="148" spans="1:25" x14ac:dyDescent="0.3">
      <c r="A148" s="5">
        <v>35</v>
      </c>
      <c r="B148" s="5">
        <v>3500</v>
      </c>
      <c r="C148" s="5">
        <v>1135</v>
      </c>
      <c r="D148" s="5" t="s">
        <v>33</v>
      </c>
      <c r="E148" s="5" t="s">
        <v>34</v>
      </c>
      <c r="F148" s="13">
        <v>140</v>
      </c>
      <c r="G148" s="13" t="s">
        <v>177</v>
      </c>
      <c r="H148" s="13">
        <v>2522</v>
      </c>
      <c r="I148" s="13">
        <v>1515</v>
      </c>
      <c r="J148" s="13">
        <v>851</v>
      </c>
      <c r="K148" s="13">
        <v>156</v>
      </c>
      <c r="L148" s="13"/>
      <c r="M148" s="13">
        <f t="shared" si="10"/>
        <v>2522</v>
      </c>
      <c r="N148" s="14">
        <v>15.43</v>
      </c>
      <c r="O148" s="14">
        <v>14.44</v>
      </c>
      <c r="P148" s="14">
        <v>7.21</v>
      </c>
      <c r="Q148" s="14">
        <v>11.78</v>
      </c>
      <c r="R148" s="14">
        <v>3.5</v>
      </c>
      <c r="S148" s="14">
        <v>7</v>
      </c>
      <c r="T148" s="14">
        <f t="shared" si="11"/>
        <v>59.36</v>
      </c>
      <c r="V148" s="15">
        <f t="shared" si="12"/>
        <v>0.51742722809928787</v>
      </c>
      <c r="W148" s="15">
        <f t="shared" si="13"/>
        <v>1.4526861646961211</v>
      </c>
      <c r="Y148" s="16">
        <f t="shared" si="14"/>
        <v>0.89575606720597389</v>
      </c>
    </row>
    <row r="149" spans="1:25" s="27" customFormat="1" x14ac:dyDescent="0.3">
      <c r="A149" s="27">
        <v>35</v>
      </c>
      <c r="B149" s="27">
        <v>3500</v>
      </c>
      <c r="C149" s="27">
        <v>1136</v>
      </c>
      <c r="D149" s="27" t="s">
        <v>33</v>
      </c>
      <c r="E149" s="27" t="s">
        <v>34</v>
      </c>
      <c r="F149" s="28">
        <v>141</v>
      </c>
      <c r="G149" s="28" t="s">
        <v>178</v>
      </c>
      <c r="H149" s="28">
        <v>1229</v>
      </c>
      <c r="I149" s="28">
        <v>1024</v>
      </c>
      <c r="J149" s="28">
        <v>205</v>
      </c>
      <c r="K149" s="28"/>
      <c r="L149" s="28"/>
      <c r="M149" s="28">
        <f t="shared" si="10"/>
        <v>1229</v>
      </c>
      <c r="N149" s="29">
        <v>24.5</v>
      </c>
      <c r="O149" s="29">
        <v>8.98</v>
      </c>
      <c r="P149" s="29">
        <v>7.21</v>
      </c>
      <c r="Q149" s="29">
        <v>12.63</v>
      </c>
      <c r="R149" s="29">
        <v>3.5</v>
      </c>
      <c r="S149" s="29">
        <v>4.43</v>
      </c>
      <c r="T149" s="29">
        <f t="shared" si="11"/>
        <v>61.250000000000007</v>
      </c>
      <c r="V149" s="30">
        <f t="shared" si="12"/>
        <v>0.40036512267377233</v>
      </c>
      <c r="W149" s="30">
        <f t="shared" si="13"/>
        <v>0.44023822060536433</v>
      </c>
      <c r="Y149" s="15">
        <f t="shared" si="14"/>
        <v>0.45041076300799399</v>
      </c>
    </row>
    <row r="150" spans="1:25" x14ac:dyDescent="0.3">
      <c r="A150" s="5">
        <v>35</v>
      </c>
      <c r="B150" s="5">
        <v>3500</v>
      </c>
      <c r="C150" s="5">
        <v>1137</v>
      </c>
      <c r="D150" s="5" t="s">
        <v>33</v>
      </c>
      <c r="E150" s="5" t="s">
        <v>34</v>
      </c>
      <c r="F150" s="13">
        <v>142</v>
      </c>
      <c r="G150" s="13" t="s">
        <v>179</v>
      </c>
      <c r="H150" s="13">
        <v>1475</v>
      </c>
      <c r="I150" s="13">
        <v>882</v>
      </c>
      <c r="J150" s="13">
        <v>388</v>
      </c>
      <c r="K150" s="13">
        <v>205</v>
      </c>
      <c r="L150" s="13"/>
      <c r="M150" s="13">
        <f t="shared" si="10"/>
        <v>1475</v>
      </c>
      <c r="N150" s="14">
        <v>11.3</v>
      </c>
      <c r="O150" s="14">
        <v>12.23</v>
      </c>
      <c r="P150" s="14">
        <v>7.21</v>
      </c>
      <c r="Q150" s="14">
        <v>12.63</v>
      </c>
      <c r="R150" s="14">
        <v>3.5</v>
      </c>
      <c r="S150" s="14">
        <v>7.76</v>
      </c>
      <c r="T150" s="14">
        <f t="shared" si="11"/>
        <v>54.63</v>
      </c>
      <c r="V150" s="15">
        <f t="shared" si="12"/>
        <v>0.22161988947925476</v>
      </c>
      <c r="W150" s="15">
        <f t="shared" si="13"/>
        <v>0.71957820752158019</v>
      </c>
      <c r="Y150" s="15">
        <f t="shared" si="14"/>
        <v>0.4821409338949787</v>
      </c>
    </row>
    <row r="151" spans="1:25" x14ac:dyDescent="0.3">
      <c r="A151" s="5">
        <v>35</v>
      </c>
      <c r="B151" s="5">
        <v>3500</v>
      </c>
      <c r="C151" s="5">
        <v>1138</v>
      </c>
      <c r="D151" s="5" t="s">
        <v>33</v>
      </c>
      <c r="E151" s="5" t="s">
        <v>34</v>
      </c>
      <c r="F151" s="13">
        <v>143</v>
      </c>
      <c r="G151" s="13" t="s">
        <v>180</v>
      </c>
      <c r="H151" s="13">
        <v>1292</v>
      </c>
      <c r="I151" s="13">
        <v>877</v>
      </c>
      <c r="J151" s="13">
        <v>415</v>
      </c>
      <c r="K151" s="13"/>
      <c r="L151" s="13"/>
      <c r="M151" s="13">
        <f t="shared" si="10"/>
        <v>1292</v>
      </c>
      <c r="N151" s="14">
        <v>27.87</v>
      </c>
      <c r="O151" s="14">
        <v>12.45</v>
      </c>
      <c r="P151" s="14">
        <v>7.21</v>
      </c>
      <c r="Q151" s="14">
        <v>10.5</v>
      </c>
      <c r="R151" s="14">
        <v>3.5</v>
      </c>
      <c r="S151" s="14">
        <v>7</v>
      </c>
      <c r="T151" s="14">
        <f t="shared" si="11"/>
        <v>68.53</v>
      </c>
      <c r="V151" s="15">
        <f t="shared" si="12"/>
        <v>0.47878193161329441</v>
      </c>
      <c r="W151" s="15">
        <f t="shared" si="13"/>
        <v>0.64163994064429664</v>
      </c>
      <c r="Y151" s="15">
        <f t="shared" si="14"/>
        <v>0.52977813412474273</v>
      </c>
    </row>
    <row r="152" spans="1:25" x14ac:dyDescent="0.3">
      <c r="A152" s="5">
        <v>35</v>
      </c>
      <c r="B152" s="5">
        <v>3500</v>
      </c>
      <c r="C152" s="5">
        <v>1139</v>
      </c>
      <c r="D152" s="5" t="s">
        <v>33</v>
      </c>
      <c r="E152" s="5" t="s">
        <v>34</v>
      </c>
      <c r="F152" s="13">
        <v>144</v>
      </c>
      <c r="G152" s="13" t="s">
        <v>181</v>
      </c>
      <c r="H152" s="13">
        <v>1274</v>
      </c>
      <c r="I152" s="13">
        <v>816</v>
      </c>
      <c r="J152" s="13"/>
      <c r="K152" s="13">
        <v>387</v>
      </c>
      <c r="L152" s="13">
        <v>71</v>
      </c>
      <c r="M152" s="13">
        <f t="shared" si="10"/>
        <v>1274</v>
      </c>
      <c r="N152" s="14">
        <v>19.809999999999999</v>
      </c>
      <c r="O152" s="14">
        <v>9.1199999999999992</v>
      </c>
      <c r="P152" s="14">
        <v>7</v>
      </c>
      <c r="Q152" s="14">
        <v>10.5</v>
      </c>
      <c r="R152" s="14">
        <v>3.5</v>
      </c>
      <c r="S152" s="14">
        <v>7.23</v>
      </c>
      <c r="T152" s="14">
        <f t="shared" si="11"/>
        <v>57.16</v>
      </c>
      <c r="V152" s="15">
        <f t="shared" si="12"/>
        <v>0.33557698955956577</v>
      </c>
      <c r="W152" s="15">
        <f t="shared" si="13"/>
        <v>0.46347230864965772</v>
      </c>
      <c r="Y152" s="15">
        <f t="shared" si="14"/>
        <v>0.43572495332918482</v>
      </c>
    </row>
    <row r="153" spans="1:25" x14ac:dyDescent="0.3">
      <c r="A153" s="5">
        <v>35</v>
      </c>
      <c r="B153" s="5">
        <v>3500</v>
      </c>
      <c r="C153" s="5">
        <v>1140</v>
      </c>
      <c r="D153" s="5" t="s">
        <v>33</v>
      </c>
      <c r="E153" s="5" t="s">
        <v>34</v>
      </c>
      <c r="F153" s="13">
        <v>145</v>
      </c>
      <c r="G153" s="13" t="s">
        <v>182</v>
      </c>
      <c r="H153" s="13">
        <v>1779</v>
      </c>
      <c r="I153" s="13">
        <v>995</v>
      </c>
      <c r="J153" s="13">
        <v>486</v>
      </c>
      <c r="K153" s="13">
        <v>298</v>
      </c>
      <c r="L153" s="13"/>
      <c r="M153" s="13">
        <f t="shared" si="10"/>
        <v>1779</v>
      </c>
      <c r="N153" s="14">
        <v>14.54</v>
      </c>
      <c r="O153" s="14">
        <v>9.64</v>
      </c>
      <c r="P153" s="14">
        <v>7</v>
      </c>
      <c r="Q153" s="14">
        <v>11.31</v>
      </c>
      <c r="R153" s="14">
        <v>3.5</v>
      </c>
      <c r="S153" s="14">
        <v>7.23</v>
      </c>
      <c r="T153" s="14">
        <f t="shared" si="11"/>
        <v>53.22</v>
      </c>
      <c r="V153" s="15">
        <f t="shared" si="12"/>
        <v>0.34393678298469837</v>
      </c>
      <c r="W153" s="15">
        <f t="shared" si="13"/>
        <v>0.68408884208510834</v>
      </c>
      <c r="Y153" s="15">
        <f t="shared" si="14"/>
        <v>0.56650220190512668</v>
      </c>
    </row>
    <row r="154" spans="1:25" x14ac:dyDescent="0.3">
      <c r="A154" s="5">
        <v>35</v>
      </c>
      <c r="B154" s="5">
        <v>3500</v>
      </c>
      <c r="C154" s="5">
        <v>1141</v>
      </c>
      <c r="D154" s="5" t="s">
        <v>33</v>
      </c>
      <c r="E154" s="5" t="s">
        <v>34</v>
      </c>
      <c r="F154" s="13">
        <v>146</v>
      </c>
      <c r="G154" s="13" t="s">
        <v>183</v>
      </c>
      <c r="H154" s="13">
        <v>1661</v>
      </c>
      <c r="I154" s="13">
        <v>746</v>
      </c>
      <c r="J154" s="13">
        <v>452</v>
      </c>
      <c r="K154" s="13">
        <v>400</v>
      </c>
      <c r="L154" s="13">
        <v>63</v>
      </c>
      <c r="M154" s="13">
        <f t="shared" si="10"/>
        <v>1661</v>
      </c>
      <c r="N154" s="14">
        <v>19.34</v>
      </c>
      <c r="O154" s="14">
        <v>10.44</v>
      </c>
      <c r="P154" s="14">
        <v>7</v>
      </c>
      <c r="Q154" s="14">
        <v>10.5</v>
      </c>
      <c r="R154" s="14">
        <v>3.5</v>
      </c>
      <c r="S154" s="14">
        <v>6.4</v>
      </c>
      <c r="T154" s="14">
        <f t="shared" si="11"/>
        <v>57.18</v>
      </c>
      <c r="V154" s="15">
        <f t="shared" si="12"/>
        <v>0.42713422579632909</v>
      </c>
      <c r="W154" s="15">
        <f t="shared" si="13"/>
        <v>0.691718922023838</v>
      </c>
      <c r="Y154" s="15">
        <f t="shared" si="14"/>
        <v>0.56828287300751512</v>
      </c>
    </row>
    <row r="155" spans="1:25" x14ac:dyDescent="0.3">
      <c r="A155" s="5">
        <v>35</v>
      </c>
      <c r="B155" s="5">
        <v>3500</v>
      </c>
      <c r="C155" s="5">
        <v>1142</v>
      </c>
      <c r="D155" s="5" t="s">
        <v>33</v>
      </c>
      <c r="E155" s="5" t="s">
        <v>34</v>
      </c>
      <c r="F155" s="13">
        <v>147</v>
      </c>
      <c r="G155" s="13" t="s">
        <v>184</v>
      </c>
      <c r="H155" s="13">
        <v>1044</v>
      </c>
      <c r="I155" s="13">
        <v>657</v>
      </c>
      <c r="J155" s="13"/>
      <c r="K155" s="13">
        <v>387</v>
      </c>
      <c r="L155" s="13"/>
      <c r="M155" s="13">
        <f t="shared" si="10"/>
        <v>1044</v>
      </c>
      <c r="N155" s="14">
        <v>20.72</v>
      </c>
      <c r="O155" s="14">
        <v>10.77</v>
      </c>
      <c r="P155" s="14">
        <v>8.5</v>
      </c>
      <c r="Q155" s="14">
        <v>12.31</v>
      </c>
      <c r="R155" s="14">
        <v>4.25</v>
      </c>
      <c r="S155" s="14">
        <v>7.4</v>
      </c>
      <c r="T155" s="14">
        <f t="shared" si="11"/>
        <v>63.949999999999996</v>
      </c>
      <c r="V155" s="15">
        <f t="shared" si="12"/>
        <v>0.28762625053850943</v>
      </c>
      <c r="W155" s="15">
        <f t="shared" si="13"/>
        <v>0.44851371403953855</v>
      </c>
      <c r="Y155" s="15">
        <f t="shared" si="14"/>
        <v>0.39947704753243019</v>
      </c>
    </row>
    <row r="156" spans="1:25" x14ac:dyDescent="0.3">
      <c r="A156" s="5">
        <v>35</v>
      </c>
      <c r="B156" s="5">
        <v>3500</v>
      </c>
      <c r="C156" s="5">
        <v>1145</v>
      </c>
      <c r="D156" s="5" t="s">
        <v>33</v>
      </c>
      <c r="E156" s="5" t="s">
        <v>34</v>
      </c>
      <c r="F156" s="13">
        <v>148</v>
      </c>
      <c r="G156" s="13" t="s">
        <v>185</v>
      </c>
      <c r="H156" s="13">
        <v>1476</v>
      </c>
      <c r="I156" s="13">
        <v>1056</v>
      </c>
      <c r="J156" s="13">
        <v>420</v>
      </c>
      <c r="K156" s="13"/>
      <c r="L156" s="13"/>
      <c r="M156" s="13">
        <f t="shared" si="10"/>
        <v>1476</v>
      </c>
      <c r="N156" s="14">
        <v>12.06</v>
      </c>
      <c r="O156" s="14">
        <v>7.0414362434762596</v>
      </c>
      <c r="P156" s="14">
        <v>4</v>
      </c>
      <c r="Q156" s="14">
        <v>7.5</v>
      </c>
      <c r="R156" s="14">
        <v>2.5</v>
      </c>
      <c r="S156" s="14">
        <v>7</v>
      </c>
      <c r="T156" s="14">
        <f t="shared" si="11"/>
        <v>40.101436243476257</v>
      </c>
      <c r="V156" s="15">
        <f t="shared" si="12"/>
        <v>0.23668565410942513</v>
      </c>
      <c r="W156" s="15">
        <f t="shared" si="13"/>
        <v>0.41457884158134117</v>
      </c>
      <c r="Y156" s="15">
        <f t="shared" si="14"/>
        <v>0.35415801000054425</v>
      </c>
    </row>
    <row r="157" spans="1:25" x14ac:dyDescent="0.3">
      <c r="A157" s="5">
        <v>35</v>
      </c>
      <c r="B157" s="5">
        <v>3500</v>
      </c>
      <c r="C157" s="5">
        <v>1146</v>
      </c>
      <c r="D157" s="5" t="s">
        <v>33</v>
      </c>
      <c r="E157" s="5" t="s">
        <v>34</v>
      </c>
      <c r="F157" s="13">
        <v>149</v>
      </c>
      <c r="G157" s="13" t="s">
        <v>186</v>
      </c>
      <c r="H157" s="13">
        <v>1054</v>
      </c>
      <c r="I157" s="13">
        <v>812</v>
      </c>
      <c r="J157" s="13">
        <v>242</v>
      </c>
      <c r="K157" s="13"/>
      <c r="L157" s="13"/>
      <c r="M157" s="13">
        <f t="shared" si="10"/>
        <v>1054</v>
      </c>
      <c r="N157" s="14">
        <v>13.04</v>
      </c>
      <c r="O157" s="14">
        <v>9.996206332105702</v>
      </c>
      <c r="P157" s="14">
        <v>4</v>
      </c>
      <c r="Q157" s="14">
        <v>7.5</v>
      </c>
      <c r="R157" s="14">
        <v>2.5</v>
      </c>
      <c r="S157" s="14">
        <v>5</v>
      </c>
      <c r="T157" s="14">
        <f t="shared" si="11"/>
        <v>42.036206332105699</v>
      </c>
      <c r="V157" s="15">
        <f t="shared" si="12"/>
        <v>0.18274961573032511</v>
      </c>
      <c r="W157" s="15">
        <f t="shared" si="13"/>
        <v>0.42027673296473012</v>
      </c>
      <c r="Y157" s="15">
        <f t="shared" si="14"/>
        <v>0.26510316328825456</v>
      </c>
    </row>
    <row r="158" spans="1:25" x14ac:dyDescent="0.3">
      <c r="A158" s="5">
        <v>35</v>
      </c>
      <c r="B158" s="5">
        <v>3500</v>
      </c>
      <c r="C158" s="5">
        <v>1147</v>
      </c>
      <c r="D158" s="5" t="s">
        <v>33</v>
      </c>
      <c r="E158" s="5" t="s">
        <v>34</v>
      </c>
      <c r="F158" s="13">
        <v>150</v>
      </c>
      <c r="G158" s="13" t="s">
        <v>187</v>
      </c>
      <c r="H158" s="13">
        <v>1430</v>
      </c>
      <c r="I158" s="13">
        <v>958</v>
      </c>
      <c r="J158" s="13">
        <v>472</v>
      </c>
      <c r="K158" s="13"/>
      <c r="L158" s="13"/>
      <c r="M158" s="13">
        <f t="shared" si="10"/>
        <v>1430</v>
      </c>
      <c r="N158" s="14">
        <v>19.53</v>
      </c>
      <c r="O158" s="14">
        <v>8.0322155099118735</v>
      </c>
      <c r="P158" s="14">
        <v>4</v>
      </c>
      <c r="Q158" s="14">
        <v>7.5</v>
      </c>
      <c r="R158" s="14">
        <v>2.5</v>
      </c>
      <c r="S158" s="14">
        <v>5</v>
      </c>
      <c r="T158" s="14">
        <f t="shared" si="11"/>
        <v>46.562215509911873</v>
      </c>
      <c r="V158" s="15">
        <f t="shared" si="12"/>
        <v>0.3713441194772869</v>
      </c>
      <c r="W158" s="15">
        <f t="shared" si="13"/>
        <v>0.45817450015054251</v>
      </c>
      <c r="Y158" s="15">
        <f t="shared" si="14"/>
        <v>0.3984010350101358</v>
      </c>
    </row>
    <row r="159" spans="1:25" x14ac:dyDescent="0.3">
      <c r="A159" s="5">
        <v>35</v>
      </c>
      <c r="B159" s="5">
        <v>3500</v>
      </c>
      <c r="C159" s="5">
        <v>1143</v>
      </c>
      <c r="D159" s="5" t="s">
        <v>33</v>
      </c>
      <c r="E159" s="5" t="s">
        <v>34</v>
      </c>
      <c r="F159" s="13">
        <v>151</v>
      </c>
      <c r="G159" s="13" t="s">
        <v>188</v>
      </c>
      <c r="H159" s="13">
        <v>1185</v>
      </c>
      <c r="I159" s="13"/>
      <c r="J159" s="13"/>
      <c r="K159" s="13"/>
      <c r="L159" s="13"/>
      <c r="M159" s="13">
        <f t="shared" si="10"/>
        <v>0</v>
      </c>
      <c r="N159" s="14">
        <v>26</v>
      </c>
      <c r="O159" s="14"/>
      <c r="P159" s="14"/>
      <c r="Q159" s="14"/>
      <c r="R159" s="14"/>
      <c r="S159" s="14"/>
      <c r="T159" s="14">
        <f t="shared" si="11"/>
        <v>26</v>
      </c>
      <c r="V159" s="15">
        <f t="shared" si="12"/>
        <v>0.40966604438913085</v>
      </c>
      <c r="W159" s="15">
        <f t="shared" si="13"/>
        <v>0</v>
      </c>
      <c r="Y159" s="15">
        <f t="shared" si="14"/>
        <v>0.18434971997510891</v>
      </c>
    </row>
    <row r="160" spans="1:25" x14ac:dyDescent="0.3">
      <c r="A160" s="5">
        <v>35</v>
      </c>
      <c r="B160" s="5">
        <v>3500</v>
      </c>
      <c r="C160" s="5">
        <v>1144</v>
      </c>
      <c r="D160" s="5" t="s">
        <v>33</v>
      </c>
      <c r="E160" s="5" t="s">
        <v>34</v>
      </c>
      <c r="F160" s="13">
        <v>152</v>
      </c>
      <c r="G160" s="13" t="s">
        <v>189</v>
      </c>
      <c r="H160" s="13">
        <v>1120</v>
      </c>
      <c r="I160" s="13"/>
      <c r="J160" s="13"/>
      <c r="K160" s="13"/>
      <c r="L160" s="13"/>
      <c r="M160" s="13">
        <f t="shared" si="10"/>
        <v>0</v>
      </c>
      <c r="N160" s="14">
        <v>12.44</v>
      </c>
      <c r="O160" s="14"/>
      <c r="P160" s="14"/>
      <c r="Q160" s="14"/>
      <c r="R160" s="14"/>
      <c r="S160" s="14"/>
      <c r="T160" s="14">
        <f t="shared" si="11"/>
        <v>12.44</v>
      </c>
      <c r="V160" s="15">
        <f t="shared" si="12"/>
        <v>0.18525787287454989</v>
      </c>
      <c r="W160" s="15">
        <f t="shared" si="13"/>
        <v>0</v>
      </c>
      <c r="Y160" s="15">
        <f t="shared" si="14"/>
        <v>8.3366042793547451E-2</v>
      </c>
    </row>
    <row r="161" spans="1:25" x14ac:dyDescent="0.3">
      <c r="F161" s="13"/>
      <c r="G161" s="17" t="s">
        <v>190</v>
      </c>
      <c r="H161" s="13"/>
      <c r="I161" s="13"/>
      <c r="J161" s="13"/>
      <c r="K161" s="13"/>
      <c r="L161" s="13"/>
      <c r="M161" s="13">
        <f t="shared" si="10"/>
        <v>0</v>
      </c>
      <c r="N161" s="13"/>
      <c r="O161" s="13"/>
      <c r="P161" s="13"/>
      <c r="Q161" s="13"/>
      <c r="R161" s="13"/>
      <c r="S161" s="13"/>
      <c r="T161" s="14">
        <f t="shared" si="11"/>
        <v>0</v>
      </c>
      <c r="V161" s="15">
        <f t="shared" si="12"/>
        <v>0</v>
      </c>
      <c r="W161" s="15">
        <f t="shared" si="13"/>
        <v>0</v>
      </c>
      <c r="Y161" s="15">
        <f t="shared" si="14"/>
        <v>0</v>
      </c>
    </row>
    <row r="162" spans="1:25" x14ac:dyDescent="0.3">
      <c r="A162" s="5">
        <v>35</v>
      </c>
      <c r="B162" s="5">
        <v>3500</v>
      </c>
      <c r="C162" s="5">
        <v>1229</v>
      </c>
      <c r="D162" s="5" t="s">
        <v>33</v>
      </c>
      <c r="E162" s="5" t="s">
        <v>34</v>
      </c>
      <c r="F162" s="13">
        <v>153</v>
      </c>
      <c r="G162" s="13" t="s">
        <v>191</v>
      </c>
      <c r="H162" s="13">
        <v>1151</v>
      </c>
      <c r="I162" s="13">
        <v>884</v>
      </c>
      <c r="J162" s="13"/>
      <c r="K162" s="13">
        <v>267</v>
      </c>
      <c r="L162" s="13"/>
      <c r="M162" s="13">
        <f t="shared" si="10"/>
        <v>1151</v>
      </c>
      <c r="N162" s="14">
        <v>24.5</v>
      </c>
      <c r="O162" s="14">
        <v>12.39</v>
      </c>
      <c r="P162" s="14">
        <v>7</v>
      </c>
      <c r="Q162" s="14">
        <v>12.36</v>
      </c>
      <c r="R162" s="14">
        <v>3.58</v>
      </c>
      <c r="S162" s="14">
        <v>6.76</v>
      </c>
      <c r="T162" s="14">
        <f t="shared" si="11"/>
        <v>66.59</v>
      </c>
      <c r="V162" s="15">
        <f t="shared" si="12"/>
        <v>0.37495545662938318</v>
      </c>
      <c r="W162" s="15">
        <f t="shared" si="13"/>
        <v>0.56886099277200708</v>
      </c>
      <c r="Y162" s="15">
        <f t="shared" si="14"/>
        <v>0.45860113206644015</v>
      </c>
    </row>
    <row r="163" spans="1:25" s="27" customFormat="1" x14ac:dyDescent="0.3">
      <c r="A163" s="27">
        <v>35</v>
      </c>
      <c r="B163" s="27">
        <v>3500</v>
      </c>
      <c r="C163" s="27">
        <v>1230</v>
      </c>
      <c r="D163" s="27" t="s">
        <v>33</v>
      </c>
      <c r="E163" s="27" t="s">
        <v>34</v>
      </c>
      <c r="F163" s="28">
        <v>154</v>
      </c>
      <c r="G163" s="28" t="s">
        <v>192</v>
      </c>
      <c r="H163" s="28">
        <v>319</v>
      </c>
      <c r="I163" s="28">
        <v>204</v>
      </c>
      <c r="J163" s="28"/>
      <c r="K163" s="28"/>
      <c r="L163" s="28">
        <v>115</v>
      </c>
      <c r="M163" s="28">
        <f t="shared" si="10"/>
        <v>319</v>
      </c>
      <c r="N163" s="29">
        <v>22.33</v>
      </c>
      <c r="O163" s="29">
        <v>9.7899999999999991</v>
      </c>
      <c r="P163" s="29">
        <v>7</v>
      </c>
      <c r="Q163" s="29">
        <v>10.5</v>
      </c>
      <c r="R163" s="29">
        <v>3.5</v>
      </c>
      <c r="S163" s="29">
        <v>5.0599999999999996</v>
      </c>
      <c r="T163" s="29">
        <f t="shared" si="11"/>
        <v>58.18</v>
      </c>
      <c r="V163" s="30">
        <f t="shared" si="12"/>
        <v>9.4714762869709979E-2</v>
      </c>
      <c r="W163" s="30">
        <f t="shared" si="13"/>
        <v>0.12457557480892888</v>
      </c>
      <c r="Y163" s="15">
        <f t="shared" si="14"/>
        <v>0.11104913599157532</v>
      </c>
    </row>
    <row r="164" spans="1:25" x14ac:dyDescent="0.3">
      <c r="A164" s="5">
        <v>35</v>
      </c>
      <c r="B164" s="5">
        <v>3500</v>
      </c>
      <c r="C164" s="5">
        <v>1231</v>
      </c>
      <c r="D164" s="5" t="s">
        <v>33</v>
      </c>
      <c r="E164" s="5" t="s">
        <v>34</v>
      </c>
      <c r="F164" s="13">
        <v>155</v>
      </c>
      <c r="G164" s="13" t="s">
        <v>193</v>
      </c>
      <c r="H164" s="13">
        <v>309</v>
      </c>
      <c r="I164" s="13">
        <v>309</v>
      </c>
      <c r="J164" s="13"/>
      <c r="K164" s="13"/>
      <c r="L164" s="13"/>
      <c r="M164" s="13">
        <f t="shared" si="10"/>
        <v>309</v>
      </c>
      <c r="N164" s="14">
        <v>24.79</v>
      </c>
      <c r="O164" s="14">
        <v>14.9</v>
      </c>
      <c r="P164" s="14">
        <v>6.31</v>
      </c>
      <c r="Q164" s="14">
        <v>13.05</v>
      </c>
      <c r="R164" s="14">
        <v>4.25</v>
      </c>
      <c r="S164" s="14">
        <v>7.46</v>
      </c>
      <c r="T164" s="14">
        <f t="shared" si="11"/>
        <v>70.759999999999991</v>
      </c>
      <c r="V164" s="15">
        <f t="shared" si="12"/>
        <v>0.10185287125237344</v>
      </c>
      <c r="W164" s="15">
        <f t="shared" si="13"/>
        <v>0.18365564118519939</v>
      </c>
      <c r="Y164" s="15">
        <f t="shared" si="14"/>
        <v>0.13082691111004738</v>
      </c>
    </row>
    <row r="165" spans="1:25" x14ac:dyDescent="0.3">
      <c r="A165" s="5">
        <v>35</v>
      </c>
      <c r="B165" s="5">
        <v>3500</v>
      </c>
      <c r="C165" s="5">
        <v>1232</v>
      </c>
      <c r="D165" s="5" t="s">
        <v>33</v>
      </c>
      <c r="E165" s="5" t="s">
        <v>34</v>
      </c>
      <c r="F165" s="13">
        <v>156</v>
      </c>
      <c r="G165" s="13" t="s">
        <v>194</v>
      </c>
      <c r="H165" s="13">
        <v>350</v>
      </c>
      <c r="I165" s="13">
        <v>248</v>
      </c>
      <c r="J165" s="13"/>
      <c r="K165" s="13">
        <v>98</v>
      </c>
      <c r="L165" s="13">
        <v>4</v>
      </c>
      <c r="M165" s="13">
        <f t="shared" si="10"/>
        <v>350</v>
      </c>
      <c r="N165" s="14">
        <v>19.32</v>
      </c>
      <c r="O165" s="14">
        <v>5.72</v>
      </c>
      <c r="P165" s="14">
        <v>7.45</v>
      </c>
      <c r="Q165" s="14">
        <v>12.75</v>
      </c>
      <c r="R165" s="14">
        <v>4.25</v>
      </c>
      <c r="S165" s="14">
        <v>8.26</v>
      </c>
      <c r="T165" s="14">
        <f t="shared" si="11"/>
        <v>57.75</v>
      </c>
      <c r="V165" s="15">
        <f t="shared" si="12"/>
        <v>8.9911126003223082E-2</v>
      </c>
      <c r="W165" s="15">
        <f t="shared" si="13"/>
        <v>7.985895042522298E-2</v>
      </c>
      <c r="Y165" s="15">
        <f t="shared" si="14"/>
        <v>0.12094023742281365</v>
      </c>
    </row>
    <row r="166" spans="1:25" x14ac:dyDescent="0.3">
      <c r="A166" s="5">
        <v>35</v>
      </c>
      <c r="B166" s="5">
        <v>3500</v>
      </c>
      <c r="C166" s="5">
        <v>1233</v>
      </c>
      <c r="D166" s="5" t="s">
        <v>33</v>
      </c>
      <c r="E166" s="5" t="s">
        <v>34</v>
      </c>
      <c r="F166" s="13">
        <v>157</v>
      </c>
      <c r="G166" s="13" t="s">
        <v>195</v>
      </c>
      <c r="H166" s="13">
        <v>63</v>
      </c>
      <c r="I166" s="13">
        <v>63</v>
      </c>
      <c r="J166" s="13"/>
      <c r="K166" s="13"/>
      <c r="L166" s="13"/>
      <c r="M166" s="13">
        <f t="shared" si="10"/>
        <v>63</v>
      </c>
      <c r="N166" s="14">
        <v>24.78</v>
      </c>
      <c r="O166" s="14">
        <v>14.94</v>
      </c>
      <c r="P166" s="14">
        <v>8.6999999999999993</v>
      </c>
      <c r="Q166" s="14">
        <v>12.75</v>
      </c>
      <c r="R166" s="14">
        <v>4.75</v>
      </c>
      <c r="S166" s="14">
        <v>7.7</v>
      </c>
      <c r="T166" s="14">
        <f t="shared" si="11"/>
        <v>73.62</v>
      </c>
      <c r="V166" s="15">
        <f t="shared" si="12"/>
        <v>2.0757742568570197E-2</v>
      </c>
      <c r="W166" s="15">
        <f t="shared" si="13"/>
        <v>3.7544875783830353E-2</v>
      </c>
      <c r="Y166" s="15">
        <f t="shared" si="14"/>
        <v>2.7751543726963767E-2</v>
      </c>
    </row>
    <row r="167" spans="1:25" x14ac:dyDescent="0.3">
      <c r="A167" s="5">
        <v>35</v>
      </c>
      <c r="B167" s="5">
        <v>3500</v>
      </c>
      <c r="C167" s="5">
        <v>1234</v>
      </c>
      <c r="D167" s="5" t="s">
        <v>33</v>
      </c>
      <c r="E167" s="5" t="s">
        <v>34</v>
      </c>
      <c r="F167" s="13">
        <v>158</v>
      </c>
      <c r="G167" s="13" t="s">
        <v>196</v>
      </c>
      <c r="H167" s="13">
        <v>777</v>
      </c>
      <c r="I167" s="13">
        <v>579</v>
      </c>
      <c r="J167" s="13">
        <v>198</v>
      </c>
      <c r="K167" s="13"/>
      <c r="L167" s="13"/>
      <c r="M167" s="13">
        <f t="shared" si="10"/>
        <v>777</v>
      </c>
      <c r="N167" s="14">
        <v>26.2</v>
      </c>
      <c r="O167" s="14">
        <v>8.783932537150406</v>
      </c>
      <c r="P167" s="14">
        <v>7</v>
      </c>
      <c r="Q167" s="14">
        <v>8</v>
      </c>
      <c r="R167" s="14">
        <v>4</v>
      </c>
      <c r="S167" s="14">
        <v>6</v>
      </c>
      <c r="T167" s="14">
        <f t="shared" si="11"/>
        <v>59.983932537150409</v>
      </c>
      <c r="V167" s="15">
        <f t="shared" si="12"/>
        <v>0.27068275014759147</v>
      </c>
      <c r="W167" s="15">
        <f t="shared" si="13"/>
        <v>0.27225103239695986</v>
      </c>
      <c r="Y167" s="15">
        <f t="shared" si="14"/>
        <v>0.27887317254658628</v>
      </c>
    </row>
    <row r="168" spans="1:25" x14ac:dyDescent="0.3">
      <c r="A168" s="5">
        <v>35</v>
      </c>
      <c r="B168" s="5">
        <v>3500</v>
      </c>
      <c r="C168" s="5">
        <v>1235</v>
      </c>
      <c r="D168" s="5" t="s">
        <v>33</v>
      </c>
      <c r="E168" s="5" t="s">
        <v>34</v>
      </c>
      <c r="F168" s="13">
        <v>159</v>
      </c>
      <c r="G168" s="13" t="s">
        <v>197</v>
      </c>
      <c r="H168" s="13">
        <v>80</v>
      </c>
      <c r="I168" s="13">
        <v>70</v>
      </c>
      <c r="J168" s="13">
        <v>10</v>
      </c>
      <c r="K168" s="13"/>
      <c r="L168" s="13"/>
      <c r="M168" s="13">
        <f t="shared" si="10"/>
        <v>80</v>
      </c>
      <c r="N168" s="14">
        <v>4.5199999999999996</v>
      </c>
      <c r="O168" s="14">
        <v>5.24</v>
      </c>
      <c r="P168" s="14">
        <v>3.8</v>
      </c>
      <c r="Q168" s="14">
        <v>12.75</v>
      </c>
      <c r="R168" s="14">
        <v>4.25</v>
      </c>
      <c r="S168" s="14">
        <v>6.7</v>
      </c>
      <c r="T168" s="14">
        <f t="shared" si="11"/>
        <v>37.26</v>
      </c>
      <c r="V168" s="15">
        <f t="shared" si="12"/>
        <v>4.8080247209058655E-3</v>
      </c>
      <c r="W168" s="15">
        <f t="shared" si="13"/>
        <v>1.6721714294831904E-2</v>
      </c>
      <c r="Y168" s="15">
        <f t="shared" si="14"/>
        <v>1.783543152553731E-2</v>
      </c>
    </row>
    <row r="169" spans="1:25" x14ac:dyDescent="0.3">
      <c r="A169" s="5">
        <v>35</v>
      </c>
      <c r="B169" s="5">
        <v>3500</v>
      </c>
      <c r="C169" s="5">
        <v>1090</v>
      </c>
      <c r="D169" s="5" t="s">
        <v>33</v>
      </c>
      <c r="E169" s="5" t="s">
        <v>34</v>
      </c>
      <c r="F169" s="13">
        <v>160</v>
      </c>
      <c r="G169" s="13" t="s">
        <v>198</v>
      </c>
      <c r="H169" s="13">
        <v>1523</v>
      </c>
      <c r="I169" s="13">
        <v>1223</v>
      </c>
      <c r="J169" s="13">
        <v>300</v>
      </c>
      <c r="K169" s="13"/>
      <c r="L169" s="13"/>
      <c r="M169" s="13">
        <f t="shared" si="10"/>
        <v>1523</v>
      </c>
      <c r="N169" s="14">
        <v>26.74</v>
      </c>
      <c r="O169" s="14">
        <v>5.29</v>
      </c>
      <c r="P169" s="14">
        <v>6.14</v>
      </c>
      <c r="Q169" s="14">
        <v>12.63</v>
      </c>
      <c r="R169" s="14">
        <v>3.65</v>
      </c>
      <c r="S169" s="14">
        <v>8.69</v>
      </c>
      <c r="T169" s="14">
        <f t="shared" si="11"/>
        <v>63.14</v>
      </c>
      <c r="V169" s="15">
        <f t="shared" si="12"/>
        <v>0.54150139081688553</v>
      </c>
      <c r="W169" s="15">
        <f t="shared" si="13"/>
        <v>0.32137722783335726</v>
      </c>
      <c r="Y169" s="16">
        <f t="shared" si="14"/>
        <v>0.57538066631563833</v>
      </c>
    </row>
    <row r="170" spans="1:25" s="27" customFormat="1" x14ac:dyDescent="0.3">
      <c r="A170" s="27">
        <v>35</v>
      </c>
      <c r="B170" s="27">
        <v>3500</v>
      </c>
      <c r="C170" s="27">
        <v>1091</v>
      </c>
      <c r="D170" s="27" t="s">
        <v>33</v>
      </c>
      <c r="E170" s="27" t="s">
        <v>34</v>
      </c>
      <c r="F170" s="28">
        <v>161</v>
      </c>
      <c r="G170" s="28" t="s">
        <v>199</v>
      </c>
      <c r="H170" s="28">
        <v>1736</v>
      </c>
      <c r="I170" s="28">
        <v>975</v>
      </c>
      <c r="J170" s="28">
        <v>346</v>
      </c>
      <c r="K170" s="28">
        <v>415</v>
      </c>
      <c r="L170" s="28"/>
      <c r="M170" s="28">
        <f t="shared" si="10"/>
        <v>1736</v>
      </c>
      <c r="N170" s="29">
        <v>24.43</v>
      </c>
      <c r="O170" s="29">
        <v>11.81</v>
      </c>
      <c r="P170" s="29">
        <v>4.2</v>
      </c>
      <c r="Q170" s="29">
        <v>7.3</v>
      </c>
      <c r="R170" s="29">
        <v>3.58</v>
      </c>
      <c r="S170" s="29">
        <v>4.16</v>
      </c>
      <c r="T170" s="29">
        <f t="shared" si="11"/>
        <v>55.480000000000004</v>
      </c>
      <c r="V170" s="30">
        <f t="shared" si="12"/>
        <v>0.56391215781383797</v>
      </c>
      <c r="W170" s="30">
        <f t="shared" si="13"/>
        <v>0.81782266685813676</v>
      </c>
      <c r="Y170" s="15">
        <f t="shared" si="14"/>
        <v>0.57628452443636025</v>
      </c>
    </row>
    <row r="171" spans="1:25" x14ac:dyDescent="0.3">
      <c r="A171" s="5">
        <v>35</v>
      </c>
      <c r="B171" s="5">
        <v>3500</v>
      </c>
      <c r="C171" s="5">
        <v>1092</v>
      </c>
      <c r="D171" s="5" t="s">
        <v>33</v>
      </c>
      <c r="E171" s="5" t="s">
        <v>34</v>
      </c>
      <c r="F171" s="13">
        <v>162</v>
      </c>
      <c r="G171" s="13" t="s">
        <v>200</v>
      </c>
      <c r="H171" s="13">
        <v>1074</v>
      </c>
      <c r="I171" s="13">
        <v>759</v>
      </c>
      <c r="J171" s="13">
        <v>315</v>
      </c>
      <c r="K171" s="13"/>
      <c r="L171" s="13"/>
      <c r="M171" s="13">
        <f t="shared" si="10"/>
        <v>1074</v>
      </c>
      <c r="N171" s="14">
        <v>26.12</v>
      </c>
      <c r="O171" s="14">
        <v>9.3271333530965954</v>
      </c>
      <c r="P171" s="14">
        <v>4</v>
      </c>
      <c r="Q171" s="14">
        <v>7.5</v>
      </c>
      <c r="R171" s="14">
        <v>2.5</v>
      </c>
      <c r="S171" s="14">
        <v>5</v>
      </c>
      <c r="T171" s="14">
        <f t="shared" si="11"/>
        <v>54.447133353096596</v>
      </c>
      <c r="V171" s="15">
        <f t="shared" si="12"/>
        <v>0.37300591961450702</v>
      </c>
      <c r="W171" s="15">
        <f t="shared" si="13"/>
        <v>0.39958759039880587</v>
      </c>
      <c r="Y171" s="15">
        <f t="shared" si="14"/>
        <v>0.34988883503198592</v>
      </c>
    </row>
    <row r="172" spans="1:25" x14ac:dyDescent="0.3">
      <c r="A172" s="5">
        <v>35</v>
      </c>
      <c r="B172" s="5">
        <v>3500</v>
      </c>
      <c r="C172" s="5">
        <v>1093</v>
      </c>
      <c r="D172" s="5" t="s">
        <v>33</v>
      </c>
      <c r="E172" s="5" t="s">
        <v>34</v>
      </c>
      <c r="F172" s="13">
        <v>163</v>
      </c>
      <c r="G172" s="13" t="s">
        <v>201</v>
      </c>
      <c r="H172" s="13">
        <v>1074</v>
      </c>
      <c r="I172" s="13">
        <v>620</v>
      </c>
      <c r="J172" s="13"/>
      <c r="K172" s="13">
        <v>395</v>
      </c>
      <c r="L172" s="13">
        <v>59</v>
      </c>
      <c r="M172" s="13">
        <f t="shared" si="10"/>
        <v>1074</v>
      </c>
      <c r="N172" s="14">
        <v>23.65</v>
      </c>
      <c r="O172" s="14">
        <v>3.66</v>
      </c>
      <c r="P172" s="14">
        <v>8.5</v>
      </c>
      <c r="Q172" s="14">
        <v>12.21</v>
      </c>
      <c r="R172" s="14">
        <v>4.25</v>
      </c>
      <c r="S172" s="14">
        <v>8.34</v>
      </c>
      <c r="T172" s="14">
        <f t="shared" si="11"/>
        <v>60.61</v>
      </c>
      <c r="V172" s="15">
        <f t="shared" si="12"/>
        <v>0.33773315462798975</v>
      </c>
      <c r="W172" s="15">
        <f t="shared" si="13"/>
        <v>0.15679957876597581</v>
      </c>
      <c r="Y172" s="15">
        <f t="shared" si="14"/>
        <v>0.38949272413958164</v>
      </c>
    </row>
    <row r="173" spans="1:25" x14ac:dyDescent="0.3">
      <c r="A173" s="5">
        <v>35</v>
      </c>
      <c r="B173" s="5">
        <v>3500</v>
      </c>
      <c r="C173" s="5">
        <v>1094</v>
      </c>
      <c r="D173" s="5" t="s">
        <v>33</v>
      </c>
      <c r="E173" s="5" t="s">
        <v>34</v>
      </c>
      <c r="F173" s="13">
        <v>164</v>
      </c>
      <c r="G173" s="13" t="s">
        <v>202</v>
      </c>
      <c r="H173" s="13">
        <v>1499</v>
      </c>
      <c r="I173" s="13">
        <v>1192</v>
      </c>
      <c r="J173" s="13"/>
      <c r="K173" s="13">
        <v>286</v>
      </c>
      <c r="L173" s="13">
        <v>21</v>
      </c>
      <c r="M173" s="13">
        <f t="shared" si="10"/>
        <v>1499</v>
      </c>
      <c r="N173" s="14">
        <v>27.53</v>
      </c>
      <c r="O173" s="14">
        <v>14.53</v>
      </c>
      <c r="P173" s="14">
        <v>7.74</v>
      </c>
      <c r="Q173" s="14">
        <v>11.57</v>
      </c>
      <c r="R173" s="14">
        <v>4.25</v>
      </c>
      <c r="S173" s="14">
        <v>8.11</v>
      </c>
      <c r="T173" s="14">
        <f t="shared" si="11"/>
        <v>73.73</v>
      </c>
      <c r="V173" s="15">
        <f t="shared" si="12"/>
        <v>0.54871409272467142</v>
      </c>
      <c r="W173" s="15">
        <f t="shared" si="13"/>
        <v>0.86881392306096727</v>
      </c>
      <c r="Y173" s="15">
        <f t="shared" si="14"/>
        <v>0.66129714949021112</v>
      </c>
    </row>
    <row r="174" spans="1:25" s="27" customFormat="1" x14ac:dyDescent="0.3">
      <c r="A174" s="27">
        <v>35</v>
      </c>
      <c r="B174" s="27">
        <v>3500</v>
      </c>
      <c r="C174" s="27">
        <v>1095</v>
      </c>
      <c r="D174" s="27" t="s">
        <v>33</v>
      </c>
      <c r="E174" s="27" t="s">
        <v>34</v>
      </c>
      <c r="F174" s="28">
        <v>165</v>
      </c>
      <c r="G174" s="28" t="s">
        <v>203</v>
      </c>
      <c r="H174" s="28">
        <v>2184</v>
      </c>
      <c r="I174" s="28">
        <v>1224</v>
      </c>
      <c r="J174" s="28">
        <v>195</v>
      </c>
      <c r="K174" s="28">
        <v>765</v>
      </c>
      <c r="L174" s="28"/>
      <c r="M174" s="28">
        <f t="shared" si="10"/>
        <v>2184</v>
      </c>
      <c r="N174" s="29">
        <v>21.93</v>
      </c>
      <c r="O174" s="29">
        <v>35</v>
      </c>
      <c r="P174" s="29">
        <v>4.4000000000000004</v>
      </c>
      <c r="Q174" s="29">
        <v>7.62</v>
      </c>
      <c r="R174" s="29">
        <v>3.1</v>
      </c>
      <c r="S174" s="29">
        <v>5.56</v>
      </c>
      <c r="T174" s="29">
        <f t="shared" si="11"/>
        <v>77.61</v>
      </c>
      <c r="V174" s="30">
        <f t="shared" si="12"/>
        <v>0.63683883011823272</v>
      </c>
      <c r="W174" s="30">
        <f t="shared" si="13"/>
        <v>3.0491599253266957</v>
      </c>
      <c r="Y174" s="15">
        <f t="shared" si="14"/>
        <v>1.0141941505911636</v>
      </c>
    </row>
    <row r="175" spans="1:25" x14ac:dyDescent="0.3">
      <c r="F175" s="13"/>
      <c r="G175" s="17" t="s">
        <v>204</v>
      </c>
      <c r="H175" s="13"/>
      <c r="I175" s="13"/>
      <c r="J175" s="13"/>
      <c r="K175" s="13"/>
      <c r="L175" s="13"/>
      <c r="M175" s="13">
        <f t="shared" si="10"/>
        <v>0</v>
      </c>
      <c r="N175" s="13"/>
      <c r="O175" s="13"/>
      <c r="P175" s="13"/>
      <c r="Q175" s="13"/>
      <c r="R175" s="13"/>
      <c r="S175" s="13"/>
      <c r="T175" s="14">
        <f t="shared" si="11"/>
        <v>0</v>
      </c>
      <c r="V175" s="15">
        <f t="shared" si="12"/>
        <v>0</v>
      </c>
      <c r="W175" s="15">
        <f t="shared" si="13"/>
        <v>0</v>
      </c>
      <c r="Y175" s="15">
        <f t="shared" si="14"/>
        <v>0</v>
      </c>
    </row>
    <row r="176" spans="1:25" s="27" customFormat="1" x14ac:dyDescent="0.3">
      <c r="A176" s="27">
        <v>35</v>
      </c>
      <c r="B176" s="27">
        <v>3500</v>
      </c>
      <c r="C176" s="27">
        <v>1083</v>
      </c>
      <c r="D176" s="27" t="s">
        <v>33</v>
      </c>
      <c r="E176" s="27" t="s">
        <v>34</v>
      </c>
      <c r="F176" s="28">
        <v>166</v>
      </c>
      <c r="G176" s="28" t="s">
        <v>205</v>
      </c>
      <c r="H176" s="28">
        <v>1239</v>
      </c>
      <c r="I176" s="28">
        <v>539</v>
      </c>
      <c r="J176" s="28"/>
      <c r="K176" s="28">
        <v>700</v>
      </c>
      <c r="L176" s="28"/>
      <c r="M176" s="28">
        <f t="shared" si="10"/>
        <v>1239</v>
      </c>
      <c r="N176" s="29">
        <v>24.92</v>
      </c>
      <c r="O176" s="29">
        <v>11.75</v>
      </c>
      <c r="P176" s="29">
        <v>7</v>
      </c>
      <c r="Q176" s="29">
        <v>12.69</v>
      </c>
      <c r="R176" s="29">
        <v>3.5</v>
      </c>
      <c r="S176" s="29">
        <v>7</v>
      </c>
      <c r="T176" s="29">
        <f t="shared" si="11"/>
        <v>66.86</v>
      </c>
      <c r="V176" s="30">
        <f t="shared" si="12"/>
        <v>0.41054201968949944</v>
      </c>
      <c r="W176" s="30">
        <f t="shared" si="13"/>
        <v>0.5807225599540472</v>
      </c>
      <c r="Y176" s="15">
        <f t="shared" si="14"/>
        <v>0.49566523861950118</v>
      </c>
    </row>
    <row r="177" spans="1:25" x14ac:dyDescent="0.3">
      <c r="A177" s="5">
        <v>35</v>
      </c>
      <c r="B177" s="5">
        <v>3500</v>
      </c>
      <c r="C177" s="5">
        <v>1084</v>
      </c>
      <c r="D177" s="5" t="s">
        <v>33</v>
      </c>
      <c r="E177" s="5" t="s">
        <v>34</v>
      </c>
      <c r="F177" s="13">
        <v>167</v>
      </c>
      <c r="G177" s="13" t="s">
        <v>206</v>
      </c>
      <c r="H177" s="13">
        <v>2323</v>
      </c>
      <c r="I177" s="13">
        <v>1498</v>
      </c>
      <c r="J177" s="13">
        <v>400</v>
      </c>
      <c r="K177" s="13"/>
      <c r="L177" s="13">
        <v>425</v>
      </c>
      <c r="M177" s="13">
        <f t="shared" si="10"/>
        <v>2323</v>
      </c>
      <c r="N177" s="14">
        <v>20.18</v>
      </c>
      <c r="O177" s="14">
        <v>11.54</v>
      </c>
      <c r="P177" s="14">
        <v>6.8</v>
      </c>
      <c r="Q177" s="14">
        <v>11.31</v>
      </c>
      <c r="R177" s="14">
        <v>3.5</v>
      </c>
      <c r="S177" s="14">
        <v>7.6</v>
      </c>
      <c r="T177" s="14">
        <f t="shared" si="11"/>
        <v>60.93</v>
      </c>
      <c r="V177" s="15">
        <f t="shared" si="12"/>
        <v>0.6233165265212558</v>
      </c>
      <c r="W177" s="15">
        <f t="shared" si="13"/>
        <v>1.0693368755285371</v>
      </c>
      <c r="Y177" s="15">
        <f t="shared" si="14"/>
        <v>0.8468981259872671</v>
      </c>
    </row>
    <row r="178" spans="1:25" x14ac:dyDescent="0.3">
      <c r="A178" s="5">
        <v>35</v>
      </c>
      <c r="B178" s="5">
        <v>3500</v>
      </c>
      <c r="C178" s="5">
        <v>1085</v>
      </c>
      <c r="D178" s="5" t="s">
        <v>33</v>
      </c>
      <c r="E178" s="5" t="s">
        <v>34</v>
      </c>
      <c r="F178" s="13">
        <v>168</v>
      </c>
      <c r="G178" s="13" t="s">
        <v>207</v>
      </c>
      <c r="H178" s="13">
        <v>1447</v>
      </c>
      <c r="I178" s="13">
        <v>1132</v>
      </c>
      <c r="J178" s="13">
        <v>315</v>
      </c>
      <c r="K178" s="13"/>
      <c r="L178" s="13"/>
      <c r="M178" s="13">
        <f t="shared" si="10"/>
        <v>1447</v>
      </c>
      <c r="N178" s="14">
        <v>28.1</v>
      </c>
      <c r="O178" s="14">
        <v>11.53</v>
      </c>
      <c r="P178" s="14">
        <v>7</v>
      </c>
      <c r="Q178" s="14">
        <v>12.48</v>
      </c>
      <c r="R178" s="14">
        <v>4.0999999999999996</v>
      </c>
      <c r="S178" s="14">
        <v>7</v>
      </c>
      <c r="T178" s="14">
        <f t="shared" si="11"/>
        <v>70.210000000000008</v>
      </c>
      <c r="V178" s="15">
        <f t="shared" si="12"/>
        <v>0.54064615810104311</v>
      </c>
      <c r="W178" s="15">
        <f t="shared" si="13"/>
        <v>0.66551425653790297</v>
      </c>
      <c r="Y178" s="15">
        <f t="shared" si="14"/>
        <v>0.60788060648125997</v>
      </c>
    </row>
    <row r="179" spans="1:25" s="27" customFormat="1" x14ac:dyDescent="0.3">
      <c r="A179" s="27">
        <v>35</v>
      </c>
      <c r="B179" s="27">
        <v>3500</v>
      </c>
      <c r="C179" s="27">
        <v>1086</v>
      </c>
      <c r="D179" s="27" t="s">
        <v>33</v>
      </c>
      <c r="E179" s="27" t="s">
        <v>34</v>
      </c>
      <c r="F179" s="28">
        <v>169</v>
      </c>
      <c r="G179" s="28" t="s">
        <v>208</v>
      </c>
      <c r="H179" s="28">
        <v>2056</v>
      </c>
      <c r="I179" s="28">
        <v>794</v>
      </c>
      <c r="J179" s="28">
        <v>512</v>
      </c>
      <c r="K179" s="28">
        <v>750</v>
      </c>
      <c r="L179" s="28"/>
      <c r="M179" s="28">
        <f t="shared" si="10"/>
        <v>2056</v>
      </c>
      <c r="N179" s="29">
        <v>28.8</v>
      </c>
      <c r="O179" s="29">
        <v>11.36</v>
      </c>
      <c r="P179" s="29">
        <v>7.375</v>
      </c>
      <c r="Q179" s="29">
        <v>12.33</v>
      </c>
      <c r="R179" s="29">
        <v>3.58</v>
      </c>
      <c r="S179" s="29">
        <v>3</v>
      </c>
      <c r="T179" s="29">
        <f t="shared" si="11"/>
        <v>66.444999999999993</v>
      </c>
      <c r="V179" s="30">
        <f t="shared" si="12"/>
        <v>0.78732468527116939</v>
      </c>
      <c r="W179" s="30">
        <f t="shared" si="13"/>
        <v>0.93166754423755049</v>
      </c>
      <c r="Y179" s="15">
        <f t="shared" si="14"/>
        <v>0.81740294863816942</v>
      </c>
    </row>
    <row r="180" spans="1:25" x14ac:dyDescent="0.3">
      <c r="A180" s="5">
        <v>35</v>
      </c>
      <c r="B180" s="5">
        <v>3500</v>
      </c>
      <c r="C180" s="5">
        <v>1087</v>
      </c>
      <c r="D180" s="5" t="s">
        <v>33</v>
      </c>
      <c r="E180" s="5" t="s">
        <v>34</v>
      </c>
      <c r="F180" s="13">
        <v>170</v>
      </c>
      <c r="G180" s="13" t="s">
        <v>209</v>
      </c>
      <c r="H180" s="13">
        <v>1879</v>
      </c>
      <c r="I180" s="13">
        <v>1537</v>
      </c>
      <c r="J180" s="13">
        <v>282</v>
      </c>
      <c r="K180" s="13"/>
      <c r="L180" s="13">
        <v>60</v>
      </c>
      <c r="M180" s="13">
        <f t="shared" si="10"/>
        <v>1879</v>
      </c>
      <c r="N180" s="14">
        <v>21.81</v>
      </c>
      <c r="O180" s="14">
        <v>11.42</v>
      </c>
      <c r="P180" s="14">
        <v>7</v>
      </c>
      <c r="Q180" s="14">
        <v>10.5</v>
      </c>
      <c r="R180" s="14">
        <v>3.5</v>
      </c>
      <c r="S180" s="14">
        <v>3</v>
      </c>
      <c r="T180" s="14">
        <f t="shared" si="11"/>
        <v>57.23</v>
      </c>
      <c r="V180" s="15">
        <f t="shared" si="12"/>
        <v>0.54490490322786522</v>
      </c>
      <c r="W180" s="15">
        <f t="shared" si="13"/>
        <v>0.85595790850924636</v>
      </c>
      <c r="Y180" s="15">
        <f t="shared" si="14"/>
        <v>0.64343000574410036</v>
      </c>
    </row>
    <row r="181" spans="1:25" x14ac:dyDescent="0.3">
      <c r="A181" s="5">
        <v>35</v>
      </c>
      <c r="B181" s="5">
        <v>3500</v>
      </c>
      <c r="C181" s="5">
        <v>1088</v>
      </c>
      <c r="D181" s="5" t="s">
        <v>33</v>
      </c>
      <c r="E181" s="5" t="s">
        <v>34</v>
      </c>
      <c r="F181" s="13">
        <v>171</v>
      </c>
      <c r="G181" s="13" t="s">
        <v>210</v>
      </c>
      <c r="H181" s="13">
        <v>1244</v>
      </c>
      <c r="I181" s="13">
        <v>812</v>
      </c>
      <c r="J181" s="13">
        <v>112</v>
      </c>
      <c r="K181" s="13">
        <v>320</v>
      </c>
      <c r="L181" s="13"/>
      <c r="M181" s="13">
        <f t="shared" si="10"/>
        <v>1244</v>
      </c>
      <c r="N181" s="14">
        <v>24.28</v>
      </c>
      <c r="O181" s="14">
        <v>11.39</v>
      </c>
      <c r="P181" s="14">
        <v>7</v>
      </c>
      <c r="Q181" s="14">
        <v>12.75</v>
      </c>
      <c r="R181" s="14">
        <v>3.5</v>
      </c>
      <c r="S181" s="14">
        <v>3</v>
      </c>
      <c r="T181" s="14">
        <f t="shared" si="11"/>
        <v>61.92</v>
      </c>
      <c r="V181" s="15">
        <f t="shared" si="12"/>
        <v>0.40161260298161361</v>
      </c>
      <c r="W181" s="15">
        <f t="shared" si="13"/>
        <v>0.56520192108244383</v>
      </c>
      <c r="Y181" s="16">
        <f t="shared" si="14"/>
        <v>0.46089512230146951</v>
      </c>
    </row>
    <row r="182" spans="1:25" x14ac:dyDescent="0.3">
      <c r="A182" s="5">
        <v>35</v>
      </c>
      <c r="B182" s="5">
        <v>3500</v>
      </c>
      <c r="C182" s="5">
        <v>1089</v>
      </c>
      <c r="D182" s="5" t="s">
        <v>33</v>
      </c>
      <c r="E182" s="5" t="s">
        <v>34</v>
      </c>
      <c r="F182" s="13">
        <v>172</v>
      </c>
      <c r="G182" s="13" t="s">
        <v>211</v>
      </c>
      <c r="H182" s="13">
        <v>1393</v>
      </c>
      <c r="I182" s="13">
        <v>874</v>
      </c>
      <c r="J182" s="13">
        <v>165</v>
      </c>
      <c r="K182" s="13">
        <v>354</v>
      </c>
      <c r="L182" s="13"/>
      <c r="M182" s="13">
        <f t="shared" si="10"/>
        <v>1393</v>
      </c>
      <c r="N182" s="14">
        <v>24.45</v>
      </c>
      <c r="O182" s="14">
        <v>11.17</v>
      </c>
      <c r="P182" s="14">
        <v>7.3</v>
      </c>
      <c r="Q182" s="14">
        <v>12.33</v>
      </c>
      <c r="R182" s="14">
        <v>3.5</v>
      </c>
      <c r="S182" s="14">
        <v>6.6</v>
      </c>
      <c r="T182" s="14">
        <f t="shared" si="11"/>
        <v>65.349999999999994</v>
      </c>
      <c r="V182" s="15">
        <f t="shared" si="12"/>
        <v>0.45286447114387379</v>
      </c>
      <c r="W182" s="15">
        <f t="shared" si="13"/>
        <v>0.62067437333460984</v>
      </c>
      <c r="Y182" s="16">
        <f t="shared" si="14"/>
        <v>0.5446876047101622</v>
      </c>
    </row>
    <row r="183" spans="1:25" s="27" customFormat="1" x14ac:dyDescent="0.3">
      <c r="A183" s="27">
        <v>35</v>
      </c>
      <c r="B183" s="27">
        <v>3500</v>
      </c>
      <c r="C183" s="27">
        <v>1082</v>
      </c>
      <c r="D183" s="27" t="s">
        <v>33</v>
      </c>
      <c r="E183" s="27" t="s">
        <v>34</v>
      </c>
      <c r="F183" s="28">
        <v>173</v>
      </c>
      <c r="G183" s="28" t="s">
        <v>212</v>
      </c>
      <c r="H183" s="28">
        <v>2188</v>
      </c>
      <c r="I183" s="28">
        <v>1389</v>
      </c>
      <c r="J183" s="28">
        <v>265</v>
      </c>
      <c r="K183" s="28">
        <v>434</v>
      </c>
      <c r="L183" s="28">
        <v>100</v>
      </c>
      <c r="M183" s="28">
        <f t="shared" si="10"/>
        <v>2188</v>
      </c>
      <c r="N183" s="29">
        <v>30.37</v>
      </c>
      <c r="O183" s="29">
        <v>13.02</v>
      </c>
      <c r="P183" s="29">
        <v>8.5</v>
      </c>
      <c r="Q183" s="29">
        <v>12.75</v>
      </c>
      <c r="R183" s="29">
        <v>4.25</v>
      </c>
      <c r="S183" s="29">
        <v>8.5</v>
      </c>
      <c r="T183" s="29">
        <f t="shared" si="11"/>
        <v>77.39</v>
      </c>
      <c r="V183" s="30">
        <f t="shared" si="12"/>
        <v>0.88354847116514801</v>
      </c>
      <c r="W183" s="30">
        <f t="shared" si="13"/>
        <v>1.136364941840984</v>
      </c>
      <c r="Y183" s="15">
        <f t="shared" si="14"/>
        <v>1.013171461394859</v>
      </c>
    </row>
    <row r="184" spans="1:25" x14ac:dyDescent="0.3">
      <c r="A184" s="5">
        <v>35</v>
      </c>
      <c r="B184" s="5">
        <v>3500</v>
      </c>
      <c r="C184" s="5">
        <v>1077</v>
      </c>
      <c r="D184" s="5" t="s">
        <v>33</v>
      </c>
      <c r="E184" s="5" t="s">
        <v>34</v>
      </c>
      <c r="F184" s="13">
        <v>174</v>
      </c>
      <c r="G184" s="13" t="s">
        <v>213</v>
      </c>
      <c r="H184" s="13">
        <v>1094</v>
      </c>
      <c r="I184" s="13">
        <v>765</v>
      </c>
      <c r="J184" s="13"/>
      <c r="K184" s="13">
        <v>321</v>
      </c>
      <c r="L184" s="13">
        <v>8</v>
      </c>
      <c r="M184" s="13">
        <f t="shared" si="10"/>
        <v>1094</v>
      </c>
      <c r="N184" s="14">
        <v>24.71</v>
      </c>
      <c r="O184" s="14">
        <v>10.34</v>
      </c>
      <c r="P184" s="14">
        <v>7</v>
      </c>
      <c r="Q184" s="14">
        <v>10.5</v>
      </c>
      <c r="R184" s="14">
        <v>3.5</v>
      </c>
      <c r="S184" s="14">
        <v>7</v>
      </c>
      <c r="T184" s="14">
        <f t="shared" si="11"/>
        <v>63.05</v>
      </c>
      <c r="V184" s="15">
        <f t="shared" si="12"/>
        <v>0.35944159898733641</v>
      </c>
      <c r="W184" s="15">
        <f t="shared" si="13"/>
        <v>0.45122939702902365</v>
      </c>
      <c r="Y184" s="15">
        <f t="shared" si="14"/>
        <v>0.41271779713752332</v>
      </c>
    </row>
    <row r="185" spans="1:25" x14ac:dyDescent="0.3">
      <c r="A185" s="5">
        <v>35</v>
      </c>
      <c r="B185" s="5">
        <v>3500</v>
      </c>
      <c r="C185" s="5">
        <v>1078</v>
      </c>
      <c r="D185" s="5" t="s">
        <v>33</v>
      </c>
      <c r="E185" s="5" t="s">
        <v>34</v>
      </c>
      <c r="F185" s="13">
        <v>175</v>
      </c>
      <c r="G185" s="13" t="s">
        <v>214</v>
      </c>
      <c r="H185" s="13">
        <v>1867</v>
      </c>
      <c r="I185" s="13">
        <v>1346</v>
      </c>
      <c r="J185" s="13">
        <v>100</v>
      </c>
      <c r="K185" s="13">
        <v>415</v>
      </c>
      <c r="L185" s="13">
        <v>6</v>
      </c>
      <c r="M185" s="13">
        <f t="shared" si="10"/>
        <v>1867</v>
      </c>
      <c r="N185" s="14">
        <v>25.75</v>
      </c>
      <c r="O185" s="14">
        <v>11.53</v>
      </c>
      <c r="P185" s="14">
        <v>7.04</v>
      </c>
      <c r="Q185" s="14">
        <v>10.02</v>
      </c>
      <c r="R185" s="14">
        <v>3.65</v>
      </c>
      <c r="S185" s="14">
        <v>8.19</v>
      </c>
      <c r="T185" s="14">
        <f t="shared" si="11"/>
        <v>66.180000000000007</v>
      </c>
      <c r="V185" s="15">
        <f t="shared" si="12"/>
        <v>0.63923393380456228</v>
      </c>
      <c r="W185" s="15">
        <f t="shared" si="13"/>
        <v>0.85868356389513811</v>
      </c>
      <c r="Y185" s="15">
        <f t="shared" si="14"/>
        <v>0.73930197214111348</v>
      </c>
    </row>
    <row r="186" spans="1:25" x14ac:dyDescent="0.3">
      <c r="A186" s="5">
        <v>35</v>
      </c>
      <c r="B186" s="5">
        <v>3500</v>
      </c>
      <c r="C186" s="5">
        <v>1079</v>
      </c>
      <c r="D186" s="5" t="s">
        <v>33</v>
      </c>
      <c r="E186" s="5" t="s">
        <v>34</v>
      </c>
      <c r="F186" s="13">
        <v>176</v>
      </c>
      <c r="G186" s="13" t="s">
        <v>215</v>
      </c>
      <c r="H186" s="13">
        <v>1088</v>
      </c>
      <c r="I186" s="13">
        <v>789</v>
      </c>
      <c r="J186" s="13"/>
      <c r="K186" s="13">
        <v>281</v>
      </c>
      <c r="L186" s="13">
        <v>18</v>
      </c>
      <c r="M186" s="13">
        <f t="shared" si="10"/>
        <v>1088</v>
      </c>
      <c r="N186" s="14">
        <v>21.64</v>
      </c>
      <c r="O186" s="14">
        <v>11.45</v>
      </c>
      <c r="P186" s="14">
        <v>7.38</v>
      </c>
      <c r="Q186" s="14">
        <v>11.12</v>
      </c>
      <c r="R186" s="14">
        <v>3.18</v>
      </c>
      <c r="S186" s="14">
        <v>7.6</v>
      </c>
      <c r="T186" s="14">
        <f t="shared" si="11"/>
        <v>62.370000000000005</v>
      </c>
      <c r="V186" s="15">
        <f t="shared" si="12"/>
        <v>0.31305772288970796</v>
      </c>
      <c r="W186" s="15">
        <f t="shared" si="13"/>
        <v>0.49692850190672211</v>
      </c>
      <c r="Y186" s="15">
        <f t="shared" si="14"/>
        <v>0.40602747594657984</v>
      </c>
    </row>
    <row r="187" spans="1:25" x14ac:dyDescent="0.3">
      <c r="A187" s="5">
        <v>35</v>
      </c>
      <c r="B187" s="5">
        <v>3500</v>
      </c>
      <c r="C187" s="5">
        <v>1080</v>
      </c>
      <c r="D187" s="5" t="s">
        <v>33</v>
      </c>
      <c r="E187" s="5" t="s">
        <v>34</v>
      </c>
      <c r="F187" s="13">
        <v>177</v>
      </c>
      <c r="G187" s="13" t="s">
        <v>216</v>
      </c>
      <c r="H187" s="13">
        <v>1920</v>
      </c>
      <c r="I187" s="13">
        <v>956</v>
      </c>
      <c r="J187" s="13">
        <v>195</v>
      </c>
      <c r="K187" s="13">
        <v>675</v>
      </c>
      <c r="L187" s="13">
        <v>94</v>
      </c>
      <c r="M187" s="13">
        <f t="shared" si="10"/>
        <v>1920</v>
      </c>
      <c r="N187" s="14">
        <v>22.26</v>
      </c>
      <c r="O187" s="14">
        <v>13</v>
      </c>
      <c r="P187" s="14">
        <v>8.5</v>
      </c>
      <c r="Q187" s="14">
        <v>12.64</v>
      </c>
      <c r="R187" s="14">
        <v>3.5</v>
      </c>
      <c r="S187" s="14">
        <v>6.52</v>
      </c>
      <c r="T187" s="14">
        <f t="shared" si="11"/>
        <v>66.42</v>
      </c>
      <c r="V187" s="15">
        <f t="shared" si="12"/>
        <v>0.56828299267627203</v>
      </c>
      <c r="W187" s="15">
        <f t="shared" si="13"/>
        <v>0.99564405724953331</v>
      </c>
      <c r="Y187" s="15">
        <f t="shared" si="14"/>
        <v>0.7630462878751616</v>
      </c>
    </row>
    <row r="188" spans="1:25" x14ac:dyDescent="0.3">
      <c r="A188" s="5">
        <v>35</v>
      </c>
      <c r="B188" s="5">
        <v>3500</v>
      </c>
      <c r="C188" s="5">
        <v>1081</v>
      </c>
      <c r="D188" s="5" t="s">
        <v>33</v>
      </c>
      <c r="E188" s="5" t="s">
        <v>34</v>
      </c>
      <c r="F188" s="19">
        <v>178</v>
      </c>
      <c r="G188" s="19" t="s">
        <v>217</v>
      </c>
      <c r="H188" s="19">
        <v>1262</v>
      </c>
      <c r="I188" s="19">
        <v>355</v>
      </c>
      <c r="J188" s="19">
        <v>155</v>
      </c>
      <c r="K188" s="19"/>
      <c r="L188" s="19">
        <v>752</v>
      </c>
      <c r="M188" s="13">
        <f t="shared" si="10"/>
        <v>1262</v>
      </c>
      <c r="N188" s="20">
        <v>23.34</v>
      </c>
      <c r="O188" s="20">
        <v>13.96</v>
      </c>
      <c r="P188" s="20">
        <v>7.74</v>
      </c>
      <c r="Q188" s="20">
        <v>11.88</v>
      </c>
      <c r="R188" s="20">
        <v>4.03</v>
      </c>
      <c r="S188" s="20">
        <v>7.62</v>
      </c>
      <c r="T188" s="14">
        <f t="shared" si="11"/>
        <v>68.570000000000007</v>
      </c>
      <c r="V188" s="21">
        <f t="shared" si="12"/>
        <v>0.39165031193655953</v>
      </c>
      <c r="W188" s="21">
        <f t="shared" si="13"/>
        <v>0.70275557257511212</v>
      </c>
      <c r="Y188" s="15">
        <f t="shared" si="14"/>
        <v>0.51777882820353271</v>
      </c>
    </row>
    <row r="190" spans="1:25" ht="18" x14ac:dyDescent="0.35">
      <c r="H190" s="22">
        <f>SUM(H6:H188)</f>
        <v>167128</v>
      </c>
      <c r="N190" s="23">
        <f>AVERAGE(N6:N188)</f>
        <v>23.13169491525424</v>
      </c>
      <c r="O190" s="23">
        <f>AVERAGE(O6:O188)</f>
        <v>10.369249933640265</v>
      </c>
      <c r="V190" s="24">
        <f>SUM(V6:V189)</f>
        <v>51.283663353171761</v>
      </c>
      <c r="W190" s="24">
        <f>SUM(W6:W189)</f>
        <v>73.261851236821798</v>
      </c>
      <c r="Y190" s="24">
        <f>SUM(Y6:Y189)</f>
        <v>58.869587029259826</v>
      </c>
    </row>
    <row r="191" spans="1:25" ht="18" x14ac:dyDescent="0.35">
      <c r="N191" s="25">
        <f>N190/45*100</f>
        <v>51.40376647834276</v>
      </c>
      <c r="O191" s="25">
        <f>O190/15*100</f>
        <v>69.128332890935113</v>
      </c>
    </row>
    <row r="198" spans="14:23" x14ac:dyDescent="0.3">
      <c r="N198" s="26" t="s">
        <v>218</v>
      </c>
      <c r="O198" s="26"/>
      <c r="V198" s="26" t="s">
        <v>219</v>
      </c>
      <c r="W198" s="26"/>
    </row>
  </sheetData>
  <mergeCells count="17">
    <mergeCell ref="N198:O198"/>
    <mergeCell ref="V198:W198"/>
    <mergeCell ref="G1:G3"/>
    <mergeCell ref="H1:H3"/>
    <mergeCell ref="I1:M1"/>
    <mergeCell ref="N1:T1"/>
    <mergeCell ref="I2:I3"/>
    <mergeCell ref="J2:J3"/>
    <mergeCell ref="K2:K3"/>
    <mergeCell ref="L2:L3"/>
    <mergeCell ref="M2:M3"/>
    <mergeCell ref="A1:A4"/>
    <mergeCell ref="B1:B4"/>
    <mergeCell ref="C1:C4"/>
    <mergeCell ref="D1:D4"/>
    <mergeCell ref="E1:E4"/>
    <mergeCell ref="F1:F3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69" orientation="landscape" r:id="rId1"/>
  <rowBreaks count="1" manualBreakCount="1">
    <brk id="145" max="22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4447F-07A2-4CD3-BDA4-63281C276A8A}">
  <dimension ref="A1:Y198"/>
  <sheetViews>
    <sheetView view="pageBreakPreview" topLeftCell="F1" zoomScale="69" zoomScaleNormal="85" zoomScaleSheetLayoutView="88" workbookViewId="0">
      <selection activeCell="D1" sqref="A1:D1048576"/>
    </sheetView>
  </sheetViews>
  <sheetFormatPr defaultRowHeight="14.4" x14ac:dyDescent="0.3"/>
  <cols>
    <col min="1" max="3" width="8.77734375" style="5" hidden="1" customWidth="1"/>
    <col min="4" max="4" width="11.77734375" style="5" hidden="1" customWidth="1"/>
    <col min="5" max="5" width="20.21875" style="5" hidden="1" customWidth="1"/>
    <col min="6" max="6" width="4.21875" style="5" bestFit="1" customWidth="1"/>
    <col min="7" max="7" width="35.6640625" style="5" customWidth="1"/>
    <col min="8" max="8" width="11.44140625" style="5" bestFit="1" customWidth="1"/>
    <col min="9" max="10" width="8.88671875" style="5"/>
    <col min="11" max="12" width="8.77734375" style="5" customWidth="1"/>
    <col min="13" max="13" width="8.88671875" style="5"/>
    <col min="14" max="14" width="12.77734375" style="5" bestFit="1" customWidth="1"/>
    <col min="15" max="18" width="11.77734375" style="5" bestFit="1" customWidth="1"/>
    <col min="19" max="19" width="8.77734375" style="5" customWidth="1"/>
    <col min="20" max="20" width="8.21875" style="5" bestFit="1" customWidth="1"/>
    <col min="21" max="21" width="8.88671875" style="5"/>
    <col min="22" max="22" width="14.33203125" style="5" bestFit="1" customWidth="1"/>
    <col min="23" max="23" width="10.6640625" style="5" customWidth="1"/>
    <col min="24" max="24" width="8.88671875" style="5"/>
    <col min="25" max="25" width="14.33203125" style="5" bestFit="1" customWidth="1"/>
    <col min="26" max="97" width="8.88671875" style="5"/>
    <col min="98" max="98" width="10.44140625" style="5" customWidth="1"/>
    <col min="99" max="16384" width="8.88671875" style="5"/>
  </cols>
  <sheetData>
    <row r="1" spans="1:25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/>
      <c r="K1" s="4"/>
      <c r="L1" s="4"/>
      <c r="M1" s="4"/>
      <c r="N1" s="4" t="s">
        <v>9</v>
      </c>
      <c r="O1" s="4"/>
      <c r="P1" s="4"/>
      <c r="Q1" s="4"/>
      <c r="R1" s="4"/>
      <c r="S1" s="4"/>
      <c r="T1" s="4"/>
    </row>
    <row r="2" spans="1:25" ht="33.75" customHeight="1" x14ac:dyDescent="0.3">
      <c r="A2" s="1"/>
      <c r="B2" s="1"/>
      <c r="C2" s="1"/>
      <c r="D2" s="1"/>
      <c r="E2" s="1"/>
      <c r="F2" s="2"/>
      <c r="G2" s="6"/>
      <c r="H2" s="4"/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7" t="s">
        <v>15</v>
      </c>
      <c r="O2" s="7" t="s">
        <v>16</v>
      </c>
      <c r="P2" s="7" t="s">
        <v>17</v>
      </c>
      <c r="Q2" s="7" t="s">
        <v>18</v>
      </c>
      <c r="R2" s="7" t="s">
        <v>19</v>
      </c>
      <c r="S2" s="7" t="s">
        <v>20</v>
      </c>
      <c r="T2" s="7" t="s">
        <v>21</v>
      </c>
      <c r="V2" s="7" t="s">
        <v>22</v>
      </c>
      <c r="W2" s="7" t="s">
        <v>23</v>
      </c>
      <c r="Y2" s="7" t="s">
        <v>24</v>
      </c>
    </row>
    <row r="3" spans="1:25" ht="34.950000000000003" customHeight="1" x14ac:dyDescent="0.3">
      <c r="A3" s="1"/>
      <c r="B3" s="1"/>
      <c r="C3" s="1"/>
      <c r="D3" s="1"/>
      <c r="E3" s="1"/>
      <c r="F3" s="2"/>
      <c r="G3" s="8"/>
      <c r="H3" s="4"/>
      <c r="I3" s="4"/>
      <c r="J3" s="4"/>
      <c r="K3" s="4"/>
      <c r="L3" s="4"/>
      <c r="M3" s="4"/>
      <c r="N3" s="7" t="s">
        <v>25</v>
      </c>
      <c r="O3" s="7" t="s">
        <v>26</v>
      </c>
      <c r="P3" s="7" t="s">
        <v>27</v>
      </c>
      <c r="Q3" s="7" t="s">
        <v>26</v>
      </c>
      <c r="R3" s="7" t="s">
        <v>28</v>
      </c>
      <c r="S3" s="7" t="s">
        <v>27</v>
      </c>
      <c r="T3" s="7" t="s">
        <v>29</v>
      </c>
      <c r="V3" s="7" t="s">
        <v>30</v>
      </c>
      <c r="W3" s="7" t="s">
        <v>31</v>
      </c>
      <c r="Y3" s="7" t="s">
        <v>30</v>
      </c>
    </row>
    <row r="4" spans="1:25" ht="12.75" customHeight="1" x14ac:dyDescent="0.3">
      <c r="A4" s="1"/>
      <c r="B4" s="1"/>
      <c r="C4" s="1"/>
      <c r="D4" s="1"/>
      <c r="E4" s="1"/>
      <c r="F4" s="9">
        <v>1</v>
      </c>
      <c r="G4" s="9">
        <f>F4+1</f>
        <v>2</v>
      </c>
      <c r="H4" s="9">
        <v>3</v>
      </c>
      <c r="I4" s="9">
        <v>4</v>
      </c>
      <c r="J4" s="9">
        <v>5</v>
      </c>
      <c r="K4" s="9">
        <v>6</v>
      </c>
      <c r="L4" s="9">
        <v>7</v>
      </c>
      <c r="M4" s="9">
        <v>8</v>
      </c>
      <c r="N4" s="9">
        <v>9</v>
      </c>
      <c r="O4" s="9">
        <v>10</v>
      </c>
      <c r="P4" s="9">
        <v>11</v>
      </c>
      <c r="Q4" s="9">
        <v>12</v>
      </c>
      <c r="R4" s="9">
        <v>13</v>
      </c>
      <c r="S4" s="9">
        <v>14</v>
      </c>
      <c r="T4" s="9">
        <v>15</v>
      </c>
      <c r="V4" s="10">
        <v>16</v>
      </c>
      <c r="W4" s="10">
        <v>17</v>
      </c>
      <c r="Y4" s="10">
        <v>16</v>
      </c>
    </row>
    <row r="5" spans="1:25" ht="12.75" customHeight="1" x14ac:dyDescent="0.3">
      <c r="A5" s="11"/>
      <c r="B5" s="11"/>
      <c r="C5" s="11"/>
      <c r="D5" s="11"/>
      <c r="E5" s="11"/>
      <c r="F5" s="10"/>
      <c r="G5" s="12" t="s">
        <v>32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V5" s="13"/>
      <c r="W5" s="13"/>
      <c r="Y5" s="13"/>
    </row>
    <row r="6" spans="1:25" x14ac:dyDescent="0.3">
      <c r="A6" s="5">
        <v>35</v>
      </c>
      <c r="B6" s="5">
        <v>3500</v>
      </c>
      <c r="C6" s="5">
        <v>1096</v>
      </c>
      <c r="D6" s="5" t="s">
        <v>33</v>
      </c>
      <c r="E6" s="5" t="s">
        <v>34</v>
      </c>
      <c r="F6" s="13">
        <v>1</v>
      </c>
      <c r="G6" s="13" t="s">
        <v>35</v>
      </c>
      <c r="H6" s="13">
        <v>1523</v>
      </c>
      <c r="I6" s="13">
        <v>185</v>
      </c>
      <c r="J6" s="13">
        <v>210</v>
      </c>
      <c r="K6" s="13">
        <v>456</v>
      </c>
      <c r="L6" s="13">
        <v>672</v>
      </c>
      <c r="M6" s="13">
        <f>SUM(I6:L6)</f>
        <v>1523</v>
      </c>
      <c r="N6" s="14">
        <v>31.88</v>
      </c>
      <c r="O6" s="14">
        <v>9.61</v>
      </c>
      <c r="P6" s="14">
        <v>5.58</v>
      </c>
      <c r="Q6" s="14">
        <v>9.9499999999999993</v>
      </c>
      <c r="R6" s="14">
        <v>3.8</v>
      </c>
      <c r="S6" s="14">
        <v>6.41</v>
      </c>
      <c r="T6" s="14">
        <f>SUM(N6:S6)</f>
        <v>67.22999999999999</v>
      </c>
      <c r="V6" s="15">
        <f>(((N6/45)*100)*H6)/$H$190</f>
        <v>0.6455895414825098</v>
      </c>
      <c r="W6" s="15">
        <f>(((O6/15)*100)*H6)/$H$190</f>
        <v>0.58382517192411398</v>
      </c>
      <c r="Y6" s="15">
        <f>(T6*H6)/$H$190</f>
        <v>0.61265191948686026</v>
      </c>
    </row>
    <row r="7" spans="1:25" x14ac:dyDescent="0.3">
      <c r="A7" s="5">
        <v>35</v>
      </c>
      <c r="B7" s="5">
        <v>3500</v>
      </c>
      <c r="C7" s="5">
        <v>1097</v>
      </c>
      <c r="D7" s="5" t="s">
        <v>33</v>
      </c>
      <c r="E7" s="5" t="s">
        <v>34</v>
      </c>
      <c r="F7" s="13">
        <v>2</v>
      </c>
      <c r="G7" s="13" t="s">
        <v>36</v>
      </c>
      <c r="H7" s="13">
        <v>1744</v>
      </c>
      <c r="I7" s="13">
        <v>118</v>
      </c>
      <c r="J7" s="13">
        <v>325</v>
      </c>
      <c r="K7" s="13">
        <v>594</v>
      </c>
      <c r="L7" s="13">
        <v>707</v>
      </c>
      <c r="M7" s="13">
        <f t="shared" ref="M7:M70" si="0">SUM(I7:L7)</f>
        <v>1744</v>
      </c>
      <c r="N7" s="14">
        <v>25.02</v>
      </c>
      <c r="O7" s="14">
        <v>11.87</v>
      </c>
      <c r="P7" s="14">
        <v>4.54</v>
      </c>
      <c r="Q7" s="14">
        <v>7.66</v>
      </c>
      <c r="R7" s="14">
        <v>2.2999999999999998</v>
      </c>
      <c r="S7" s="14">
        <v>5.16</v>
      </c>
      <c r="T7" s="14">
        <f t="shared" ref="T7:T70" si="1">SUM(N7:S7)</f>
        <v>56.55</v>
      </c>
      <c r="V7" s="15">
        <f t="shared" ref="V7:V70" si="2">(((N7/45)*100)*H7)/$H$190</f>
        <v>0.58019242736106458</v>
      </c>
      <c r="W7" s="15">
        <f t="shared" ref="W7:W70" si="3">(((O7/15)*100)*H7)/$H$190</f>
        <v>0.82576548114818193</v>
      </c>
      <c r="Y7" s="15">
        <f t="shared" ref="Y7:Y70" si="4">(T7*H7)/$H$190</f>
        <v>0.59010578718108275</v>
      </c>
    </row>
    <row r="8" spans="1:25" x14ac:dyDescent="0.3">
      <c r="A8" s="5">
        <v>35</v>
      </c>
      <c r="B8" s="5">
        <v>3500</v>
      </c>
      <c r="C8" s="5">
        <v>1098</v>
      </c>
      <c r="D8" s="5" t="s">
        <v>33</v>
      </c>
      <c r="E8" s="5" t="s">
        <v>34</v>
      </c>
      <c r="F8" s="13">
        <v>3</v>
      </c>
      <c r="G8" s="13" t="s">
        <v>37</v>
      </c>
      <c r="H8" s="13">
        <v>1126</v>
      </c>
      <c r="I8" s="13">
        <v>98</v>
      </c>
      <c r="J8" s="13">
        <v>155</v>
      </c>
      <c r="K8" s="13">
        <v>417</v>
      </c>
      <c r="L8" s="13">
        <v>456</v>
      </c>
      <c r="M8" s="13">
        <f t="shared" si="0"/>
        <v>1126</v>
      </c>
      <c r="N8" s="14">
        <v>23.46</v>
      </c>
      <c r="O8" s="14">
        <v>12.32</v>
      </c>
      <c r="P8" s="14">
        <v>3.82</v>
      </c>
      <c r="Q8" s="14">
        <v>7.06</v>
      </c>
      <c r="R8" s="14">
        <v>2.58</v>
      </c>
      <c r="S8" s="14">
        <v>4.76</v>
      </c>
      <c r="T8" s="14">
        <f t="shared" si="1"/>
        <v>54</v>
      </c>
      <c r="V8" s="15">
        <f t="shared" si="2"/>
        <v>0.3512405661129992</v>
      </c>
      <c r="W8" s="15">
        <f t="shared" si="3"/>
        <v>0.55336109648492982</v>
      </c>
      <c r="Y8" s="15">
        <f t="shared" si="4"/>
        <v>0.36381695466947489</v>
      </c>
    </row>
    <row r="9" spans="1:25" x14ac:dyDescent="0.3">
      <c r="A9" s="5">
        <v>35</v>
      </c>
      <c r="B9" s="5">
        <v>3500</v>
      </c>
      <c r="C9" s="5">
        <v>1099</v>
      </c>
      <c r="D9" s="5" t="s">
        <v>33</v>
      </c>
      <c r="E9" s="5" t="s">
        <v>34</v>
      </c>
      <c r="F9" s="13">
        <v>4</v>
      </c>
      <c r="G9" s="13" t="s">
        <v>38</v>
      </c>
      <c r="H9" s="13">
        <v>1909</v>
      </c>
      <c r="I9" s="13">
        <v>264</v>
      </c>
      <c r="J9" s="13">
        <v>360</v>
      </c>
      <c r="K9" s="13">
        <v>856</v>
      </c>
      <c r="L9" s="13">
        <v>429</v>
      </c>
      <c r="M9" s="13">
        <f t="shared" si="0"/>
        <v>1909</v>
      </c>
      <c r="N9" s="14">
        <v>28.37</v>
      </c>
      <c r="O9" s="14">
        <v>11.03</v>
      </c>
      <c r="P9" s="14">
        <v>4.3600000000000003</v>
      </c>
      <c r="Q9" s="14">
        <v>8.58</v>
      </c>
      <c r="R9" s="14">
        <v>3.1</v>
      </c>
      <c r="S9" s="14">
        <v>4.04</v>
      </c>
      <c r="T9" s="14">
        <f t="shared" si="1"/>
        <v>59.48</v>
      </c>
      <c r="V9" s="15">
        <f t="shared" si="2"/>
        <v>0.72011778064982801</v>
      </c>
      <c r="W9" s="15">
        <f t="shared" si="3"/>
        <v>0.83992588514990507</v>
      </c>
      <c r="Y9" s="15">
        <f t="shared" si="4"/>
        <v>0.67940333157819155</v>
      </c>
    </row>
    <row r="10" spans="1:25" x14ac:dyDescent="0.3">
      <c r="A10" s="5">
        <v>35</v>
      </c>
      <c r="B10" s="5">
        <v>3500</v>
      </c>
      <c r="C10" s="5">
        <v>1100</v>
      </c>
      <c r="D10" s="5" t="s">
        <v>33</v>
      </c>
      <c r="E10" s="5" t="s">
        <v>34</v>
      </c>
      <c r="F10" s="13">
        <v>5</v>
      </c>
      <c r="G10" s="13" t="s">
        <v>39</v>
      </c>
      <c r="H10" s="13">
        <v>1513</v>
      </c>
      <c r="I10" s="13">
        <v>175</v>
      </c>
      <c r="J10" s="13">
        <v>102</v>
      </c>
      <c r="K10" s="13">
        <v>556</v>
      </c>
      <c r="L10" s="13">
        <v>680</v>
      </c>
      <c r="M10" s="13">
        <f t="shared" si="0"/>
        <v>1513</v>
      </c>
      <c r="N10" s="13">
        <v>23.99</v>
      </c>
      <c r="O10" s="14">
        <v>8.4760199827562914</v>
      </c>
      <c r="P10" s="14">
        <v>4</v>
      </c>
      <c r="Q10" s="14">
        <v>7.5</v>
      </c>
      <c r="R10" s="14">
        <v>2.5</v>
      </c>
      <c r="S10" s="14">
        <v>5</v>
      </c>
      <c r="T10" s="14">
        <f t="shared" si="1"/>
        <v>51.466019982756293</v>
      </c>
      <c r="V10" s="15">
        <f t="shared" si="2"/>
        <v>0.48262236795217506</v>
      </c>
      <c r="W10" s="15">
        <f t="shared" si="3"/>
        <v>0.51155275134069977</v>
      </c>
      <c r="Y10" s="15">
        <f t="shared" si="4"/>
        <v>0.46591886598242227</v>
      </c>
    </row>
    <row r="11" spans="1:25" x14ac:dyDescent="0.3">
      <c r="A11" s="5">
        <v>35</v>
      </c>
      <c r="B11" s="5">
        <v>3500</v>
      </c>
      <c r="C11" s="5">
        <v>1101</v>
      </c>
      <c r="D11" s="5" t="s">
        <v>33</v>
      </c>
      <c r="E11" s="5" t="s">
        <v>34</v>
      </c>
      <c r="F11" s="13">
        <v>6</v>
      </c>
      <c r="G11" s="13" t="s">
        <v>40</v>
      </c>
      <c r="H11" s="13">
        <v>1843</v>
      </c>
      <c r="I11" s="13">
        <v>345</v>
      </c>
      <c r="J11" s="13">
        <v>272</v>
      </c>
      <c r="K11" s="13">
        <v>645</v>
      </c>
      <c r="L11" s="13">
        <v>581</v>
      </c>
      <c r="M11" s="13">
        <f t="shared" si="0"/>
        <v>1843</v>
      </c>
      <c r="N11" s="14">
        <v>27.72</v>
      </c>
      <c r="O11" s="14">
        <v>12.03</v>
      </c>
      <c r="P11" s="14">
        <v>4.5999999999999996</v>
      </c>
      <c r="Q11" s="14">
        <v>8.18</v>
      </c>
      <c r="R11" s="14">
        <v>3.5</v>
      </c>
      <c r="S11" s="14">
        <v>5.64</v>
      </c>
      <c r="T11" s="14">
        <f t="shared" si="1"/>
        <v>61.67</v>
      </c>
      <c r="V11" s="15">
        <f t="shared" si="2"/>
        <v>0.6792925183093198</v>
      </c>
      <c r="W11" s="15">
        <f t="shared" si="3"/>
        <v>0.88440357091570521</v>
      </c>
      <c r="Y11" s="15">
        <f t="shared" si="4"/>
        <v>0.68006444162558033</v>
      </c>
    </row>
    <row r="12" spans="1:25" x14ac:dyDescent="0.3">
      <c r="A12" s="5">
        <v>35</v>
      </c>
      <c r="B12" s="5">
        <v>3500</v>
      </c>
      <c r="C12" s="5">
        <v>1102</v>
      </c>
      <c r="D12" s="5" t="s">
        <v>33</v>
      </c>
      <c r="E12" s="5" t="s">
        <v>34</v>
      </c>
      <c r="F12" s="13">
        <v>7</v>
      </c>
      <c r="G12" s="13" t="s">
        <v>41</v>
      </c>
      <c r="H12" s="13">
        <v>1613</v>
      </c>
      <c r="I12" s="13">
        <v>422</v>
      </c>
      <c r="J12" s="13">
        <v>524</v>
      </c>
      <c r="K12" s="13">
        <v>561</v>
      </c>
      <c r="L12" s="13">
        <v>106</v>
      </c>
      <c r="M12" s="13">
        <f t="shared" si="0"/>
        <v>1613</v>
      </c>
      <c r="N12" s="14">
        <v>28.11</v>
      </c>
      <c r="O12" s="14">
        <v>10.272116734402893</v>
      </c>
      <c r="P12" s="14">
        <v>4</v>
      </c>
      <c r="Q12" s="14">
        <v>7.5</v>
      </c>
      <c r="R12" s="14">
        <v>2.5</v>
      </c>
      <c r="S12" s="14">
        <v>5</v>
      </c>
      <c r="T12" s="14">
        <f t="shared" si="1"/>
        <v>57.382116734402892</v>
      </c>
      <c r="V12" s="15">
        <f t="shared" si="2"/>
        <v>0.60288361814497471</v>
      </c>
      <c r="W12" s="15">
        <f t="shared" si="3"/>
        <v>0.66092752431636703</v>
      </c>
      <c r="Y12" s="15">
        <f t="shared" si="4"/>
        <v>0.55381117641922273</v>
      </c>
    </row>
    <row r="13" spans="1:25" x14ac:dyDescent="0.3">
      <c r="A13" s="5">
        <v>35</v>
      </c>
      <c r="B13" s="5">
        <v>3500</v>
      </c>
      <c r="C13" s="5">
        <v>1103</v>
      </c>
      <c r="D13" s="5" t="s">
        <v>33</v>
      </c>
      <c r="E13" s="5" t="s">
        <v>34</v>
      </c>
      <c r="F13" s="13">
        <v>8</v>
      </c>
      <c r="G13" s="13" t="s">
        <v>42</v>
      </c>
      <c r="H13" s="13">
        <v>1057</v>
      </c>
      <c r="I13" s="13">
        <v>102</v>
      </c>
      <c r="J13" s="13">
        <v>225</v>
      </c>
      <c r="K13" s="13">
        <v>406</v>
      </c>
      <c r="L13" s="13">
        <v>324</v>
      </c>
      <c r="M13" s="13">
        <f t="shared" si="0"/>
        <v>1057</v>
      </c>
      <c r="N13" s="14">
        <v>31.79</v>
      </c>
      <c r="O13" s="14">
        <v>13.64</v>
      </c>
      <c r="P13" s="14">
        <v>6.48</v>
      </c>
      <c r="Q13" s="14">
        <v>8.5299999999999994</v>
      </c>
      <c r="R13" s="14">
        <v>4.25</v>
      </c>
      <c r="S13" s="14">
        <v>7.9</v>
      </c>
      <c r="T13" s="14">
        <f t="shared" si="1"/>
        <v>72.59</v>
      </c>
      <c r="V13" s="15">
        <f t="shared" si="2"/>
        <v>0.44679035097516739</v>
      </c>
      <c r="W13" s="15">
        <f t="shared" si="3"/>
        <v>0.57510730298533663</v>
      </c>
      <c r="Y13" s="15">
        <f t="shared" si="4"/>
        <v>0.4590950050260878</v>
      </c>
    </row>
    <row r="14" spans="1:25" x14ac:dyDescent="0.3">
      <c r="A14" s="5">
        <v>35</v>
      </c>
      <c r="B14" s="5">
        <v>3500</v>
      </c>
      <c r="C14" s="5">
        <v>1104</v>
      </c>
      <c r="D14" s="5" t="s">
        <v>33</v>
      </c>
      <c r="E14" s="5" t="s">
        <v>34</v>
      </c>
      <c r="F14" s="13">
        <v>9</v>
      </c>
      <c r="G14" s="13" t="s">
        <v>43</v>
      </c>
      <c r="H14" s="13">
        <v>1008</v>
      </c>
      <c r="I14" s="13">
        <v>0</v>
      </c>
      <c r="J14" s="13">
        <v>145</v>
      </c>
      <c r="K14" s="13">
        <v>515</v>
      </c>
      <c r="L14" s="13">
        <v>348</v>
      </c>
      <c r="M14" s="13">
        <f t="shared" si="0"/>
        <v>1008</v>
      </c>
      <c r="N14" s="14">
        <v>18.850000000000001</v>
      </c>
      <c r="O14" s="14">
        <v>11.9</v>
      </c>
      <c r="P14" s="14">
        <v>4.5999999999999996</v>
      </c>
      <c r="Q14" s="14">
        <v>7.54</v>
      </c>
      <c r="R14" s="14">
        <v>3.18</v>
      </c>
      <c r="S14" s="14">
        <v>5</v>
      </c>
      <c r="T14" s="14">
        <f t="shared" si="1"/>
        <v>51.07</v>
      </c>
      <c r="V14" s="15">
        <f t="shared" si="2"/>
        <v>0.25264467952706909</v>
      </c>
      <c r="W14" s="15">
        <f t="shared" si="3"/>
        <v>0.47848355751280458</v>
      </c>
      <c r="Y14" s="15">
        <f t="shared" si="4"/>
        <v>0.30801876406107892</v>
      </c>
    </row>
    <row r="15" spans="1:25" s="32" customFormat="1" x14ac:dyDescent="0.3">
      <c r="A15" s="32">
        <v>35</v>
      </c>
      <c r="B15" s="32">
        <v>3500</v>
      </c>
      <c r="C15" s="32">
        <v>1105</v>
      </c>
      <c r="D15" s="32" t="s">
        <v>33</v>
      </c>
      <c r="E15" s="32" t="s">
        <v>34</v>
      </c>
      <c r="F15" s="33">
        <v>10</v>
      </c>
      <c r="G15" s="33" t="s">
        <v>44</v>
      </c>
      <c r="H15" s="33">
        <v>1449</v>
      </c>
      <c r="I15" s="33">
        <v>148</v>
      </c>
      <c r="J15" s="33">
        <v>155</v>
      </c>
      <c r="K15" s="33">
        <v>401</v>
      </c>
      <c r="L15" s="33">
        <v>745</v>
      </c>
      <c r="M15" s="33">
        <f t="shared" si="0"/>
        <v>1449</v>
      </c>
      <c r="N15" s="34">
        <v>37.79</v>
      </c>
      <c r="O15" s="34">
        <v>12.75</v>
      </c>
      <c r="P15" s="34">
        <v>4.8</v>
      </c>
      <c r="Q15" s="34">
        <v>8.1</v>
      </c>
      <c r="R15" s="34">
        <v>3.5</v>
      </c>
      <c r="S15" s="34">
        <v>5.8</v>
      </c>
      <c r="T15" s="34">
        <f t="shared" si="1"/>
        <v>72.739999999999995</v>
      </c>
      <c r="V15" s="16">
        <f t="shared" si="2"/>
        <v>0.72808745392752849</v>
      </c>
      <c r="W15" s="16">
        <f t="shared" si="3"/>
        <v>0.73695012206213206</v>
      </c>
      <c r="Y15" s="16">
        <f t="shared" si="4"/>
        <v>0.63065590445646447</v>
      </c>
    </row>
    <row r="16" spans="1:25" x14ac:dyDescent="0.3">
      <c r="A16" s="5">
        <v>35</v>
      </c>
      <c r="B16" s="5">
        <v>3500</v>
      </c>
      <c r="C16" s="5">
        <v>1106</v>
      </c>
      <c r="D16" s="5" t="s">
        <v>33</v>
      </c>
      <c r="E16" s="5" t="s">
        <v>34</v>
      </c>
      <c r="F16" s="13">
        <v>11</v>
      </c>
      <c r="G16" s="13" t="s">
        <v>45</v>
      </c>
      <c r="H16" s="13">
        <v>1085</v>
      </c>
      <c r="I16" s="13">
        <v>0</v>
      </c>
      <c r="J16" s="13">
        <v>210</v>
      </c>
      <c r="K16" s="13">
        <v>398</v>
      </c>
      <c r="L16" s="13">
        <v>477</v>
      </c>
      <c r="M16" s="13">
        <f t="shared" si="0"/>
        <v>1085</v>
      </c>
      <c r="N16" s="13">
        <v>20.16</v>
      </c>
      <c r="O16" s="14">
        <v>11.873248246635988</v>
      </c>
      <c r="P16" s="14">
        <v>4</v>
      </c>
      <c r="Q16" s="14">
        <v>7.5</v>
      </c>
      <c r="R16" s="14">
        <v>2.5</v>
      </c>
      <c r="S16" s="14">
        <v>5</v>
      </c>
      <c r="T16" s="14">
        <f t="shared" si="1"/>
        <v>51.033248246635992</v>
      </c>
      <c r="V16" s="15">
        <f t="shared" si="2"/>
        <v>0.2908429467234695</v>
      </c>
      <c r="W16" s="15">
        <f t="shared" si="3"/>
        <v>0.51387656357602352</v>
      </c>
      <c r="Y16" s="15">
        <f t="shared" si="4"/>
        <v>0.33130938171700763</v>
      </c>
    </row>
    <row r="17" spans="1:25" x14ac:dyDescent="0.3">
      <c r="A17" s="5">
        <v>35</v>
      </c>
      <c r="B17" s="5">
        <v>3500</v>
      </c>
      <c r="C17" s="5">
        <v>1107</v>
      </c>
      <c r="D17" s="5" t="s">
        <v>33</v>
      </c>
      <c r="E17" s="5" t="s">
        <v>34</v>
      </c>
      <c r="F17" s="13">
        <v>12</v>
      </c>
      <c r="G17" s="13" t="s">
        <v>46</v>
      </c>
      <c r="H17" s="13">
        <v>1090</v>
      </c>
      <c r="I17" s="13">
        <v>85</v>
      </c>
      <c r="J17" s="13">
        <v>148</v>
      </c>
      <c r="K17" s="13">
        <v>336</v>
      </c>
      <c r="L17" s="13">
        <v>521</v>
      </c>
      <c r="M17" s="13">
        <f t="shared" si="0"/>
        <v>1090</v>
      </c>
      <c r="N17" s="14">
        <v>23.44</v>
      </c>
      <c r="O17" s="14">
        <v>12.51</v>
      </c>
      <c r="P17" s="14">
        <v>3.94</v>
      </c>
      <c r="Q17" s="14">
        <v>7.3</v>
      </c>
      <c r="R17" s="14">
        <v>3.18</v>
      </c>
      <c r="S17" s="14">
        <v>5</v>
      </c>
      <c r="T17" s="14">
        <f t="shared" si="1"/>
        <v>55.37</v>
      </c>
      <c r="V17" s="15">
        <f t="shared" si="2"/>
        <v>0.33972098564506786</v>
      </c>
      <c r="W17" s="15">
        <f t="shared" si="3"/>
        <v>0.54393040065099796</v>
      </c>
      <c r="Y17" s="15">
        <f t="shared" si="4"/>
        <v>0.36112021923316256</v>
      </c>
    </row>
    <row r="18" spans="1:25" x14ac:dyDescent="0.3">
      <c r="A18" s="5">
        <v>35</v>
      </c>
      <c r="B18" s="5">
        <v>3500</v>
      </c>
      <c r="C18" s="5">
        <v>1108</v>
      </c>
      <c r="D18" s="5" t="s">
        <v>33</v>
      </c>
      <c r="E18" s="5" t="s">
        <v>34</v>
      </c>
      <c r="F18" s="13">
        <v>13</v>
      </c>
      <c r="G18" s="13" t="s">
        <v>47</v>
      </c>
      <c r="H18" s="13">
        <v>1132</v>
      </c>
      <c r="I18" s="13">
        <v>345</v>
      </c>
      <c r="J18" s="13">
        <v>508</v>
      </c>
      <c r="K18" s="13">
        <v>225</v>
      </c>
      <c r="L18" s="13">
        <v>54</v>
      </c>
      <c r="M18" s="13">
        <f t="shared" si="0"/>
        <v>1132</v>
      </c>
      <c r="N18" s="14">
        <v>24</v>
      </c>
      <c r="O18" s="14">
        <v>13.727806821305526</v>
      </c>
      <c r="P18" s="14">
        <v>4</v>
      </c>
      <c r="Q18" s="14">
        <v>7.5</v>
      </c>
      <c r="R18" s="14">
        <v>2.5</v>
      </c>
      <c r="S18" s="14">
        <v>5</v>
      </c>
      <c r="T18" s="14">
        <f t="shared" si="1"/>
        <v>56.727806821305528</v>
      </c>
      <c r="V18" s="15">
        <f t="shared" si="2"/>
        <v>0.3612400874379717</v>
      </c>
      <c r="W18" s="15">
        <f t="shared" si="3"/>
        <v>0.61987926705749896</v>
      </c>
      <c r="Y18" s="15">
        <f t="shared" si="4"/>
        <v>0.38423171055548955</v>
      </c>
    </row>
    <row r="19" spans="1:25" x14ac:dyDescent="0.3">
      <c r="A19" s="5">
        <v>35</v>
      </c>
      <c r="B19" s="5">
        <v>3500</v>
      </c>
      <c r="C19" s="5">
        <v>1236</v>
      </c>
      <c r="D19" s="5" t="s">
        <v>33</v>
      </c>
      <c r="E19" s="5" t="s">
        <v>34</v>
      </c>
      <c r="F19" s="13">
        <v>14</v>
      </c>
      <c r="G19" s="13" t="s">
        <v>48</v>
      </c>
      <c r="H19" s="13">
        <v>190</v>
      </c>
      <c r="I19" s="13">
        <v>113</v>
      </c>
      <c r="J19" s="13">
        <v>77</v>
      </c>
      <c r="K19" s="13">
        <v>0</v>
      </c>
      <c r="L19" s="13">
        <v>0</v>
      </c>
      <c r="M19" s="13">
        <f t="shared" si="0"/>
        <v>190</v>
      </c>
      <c r="N19" s="14">
        <v>26.75</v>
      </c>
      <c r="O19" s="14">
        <v>4.8378418913608821</v>
      </c>
      <c r="P19" s="14">
        <v>4</v>
      </c>
      <c r="Q19" s="14">
        <v>7.5</v>
      </c>
      <c r="R19" s="14">
        <v>2.5</v>
      </c>
      <c r="S19" s="14">
        <v>5</v>
      </c>
      <c r="T19" s="14">
        <f t="shared" si="1"/>
        <v>50.587841891360881</v>
      </c>
      <c r="V19" s="15">
        <f t="shared" si="2"/>
        <v>6.7579606316382906E-2</v>
      </c>
      <c r="W19" s="15">
        <f t="shared" si="3"/>
        <v>3.6666106591297994E-2</v>
      </c>
      <c r="Y19" s="15">
        <f t="shared" si="4"/>
        <v>5.7510949448079121E-2</v>
      </c>
    </row>
    <row r="20" spans="1:25" x14ac:dyDescent="0.3">
      <c r="A20" s="5">
        <v>35</v>
      </c>
      <c r="B20" s="5">
        <v>3500</v>
      </c>
      <c r="C20" s="5">
        <v>1237</v>
      </c>
      <c r="D20" s="5" t="s">
        <v>33</v>
      </c>
      <c r="E20" s="5" t="s">
        <v>34</v>
      </c>
      <c r="F20" s="13">
        <v>15</v>
      </c>
      <c r="G20" s="13" t="s">
        <v>49</v>
      </c>
      <c r="H20" s="13">
        <v>151</v>
      </c>
      <c r="I20" s="13">
        <v>23</v>
      </c>
      <c r="J20" s="13">
        <v>82</v>
      </c>
      <c r="K20" s="13">
        <v>46</v>
      </c>
      <c r="L20" s="13">
        <v>0</v>
      </c>
      <c r="M20" s="13">
        <f t="shared" si="0"/>
        <v>151</v>
      </c>
      <c r="N20" s="14">
        <v>12.05</v>
      </c>
      <c r="O20" s="14">
        <v>4.6041774861818796</v>
      </c>
      <c r="P20" s="14">
        <v>3.8</v>
      </c>
      <c r="Q20" s="14">
        <v>5.9</v>
      </c>
      <c r="R20" s="14">
        <v>2.5</v>
      </c>
      <c r="S20" s="14">
        <v>3.6</v>
      </c>
      <c r="T20" s="14">
        <f t="shared" si="1"/>
        <v>32.454177486181884</v>
      </c>
      <c r="V20" s="15">
        <f t="shared" si="2"/>
        <v>2.4193698509193218E-2</v>
      </c>
      <c r="W20" s="15">
        <f t="shared" si="3"/>
        <v>2.7732468543609844E-2</v>
      </c>
      <c r="Y20" s="15">
        <f t="shared" si="4"/>
        <v>2.9322320619007372E-2</v>
      </c>
    </row>
    <row r="21" spans="1:25" x14ac:dyDescent="0.3">
      <c r="A21" s="5">
        <v>35</v>
      </c>
      <c r="B21" s="5">
        <v>3500</v>
      </c>
      <c r="C21" s="5">
        <v>1238</v>
      </c>
      <c r="D21" s="5" t="s">
        <v>33</v>
      </c>
      <c r="E21" s="5" t="s">
        <v>34</v>
      </c>
      <c r="F21" s="13">
        <v>16</v>
      </c>
      <c r="G21" s="13" t="s">
        <v>50</v>
      </c>
      <c r="H21" s="13">
        <v>62</v>
      </c>
      <c r="I21" s="13">
        <v>0</v>
      </c>
      <c r="J21" s="13">
        <v>18</v>
      </c>
      <c r="K21" s="13">
        <v>29</v>
      </c>
      <c r="L21" s="13">
        <v>15</v>
      </c>
      <c r="M21" s="13">
        <f t="shared" si="0"/>
        <v>62</v>
      </c>
      <c r="N21" s="14">
        <v>15.95</v>
      </c>
      <c r="O21" s="14">
        <v>5.560874101263904</v>
      </c>
      <c r="P21" s="14">
        <v>4.0999999999999996</v>
      </c>
      <c r="Q21" s="14">
        <v>6.6</v>
      </c>
      <c r="R21" s="14">
        <v>2.8</v>
      </c>
      <c r="S21" s="14">
        <v>8.1999999999999993</v>
      </c>
      <c r="T21" s="14">
        <f t="shared" si="1"/>
        <v>43.210874101263897</v>
      </c>
      <c r="V21" s="15">
        <f t="shared" si="2"/>
        <v>1.3148937075508326E-2</v>
      </c>
      <c r="W21" s="15">
        <f t="shared" si="3"/>
        <v>1.3752899744641315E-2</v>
      </c>
      <c r="Y21" s="15">
        <f t="shared" si="4"/>
        <v>1.6030073921056685E-2</v>
      </c>
    </row>
    <row r="22" spans="1:25" x14ac:dyDescent="0.3">
      <c r="A22" s="5">
        <v>35</v>
      </c>
      <c r="B22" s="5">
        <v>3500</v>
      </c>
      <c r="C22" s="5">
        <v>1239</v>
      </c>
      <c r="D22" s="5" t="s">
        <v>33</v>
      </c>
      <c r="E22" s="5" t="s">
        <v>34</v>
      </c>
      <c r="F22" s="13">
        <v>17</v>
      </c>
      <c r="G22" s="13" t="s">
        <v>51</v>
      </c>
      <c r="H22" s="13">
        <v>696</v>
      </c>
      <c r="I22" s="13">
        <v>126</v>
      </c>
      <c r="J22" s="13">
        <v>361</v>
      </c>
      <c r="K22" s="13">
        <v>209</v>
      </c>
      <c r="L22" s="13">
        <v>0</v>
      </c>
      <c r="M22" s="13">
        <f t="shared" si="0"/>
        <v>696</v>
      </c>
      <c r="N22" s="14">
        <v>26</v>
      </c>
      <c r="O22" s="14">
        <v>3.5194051276250207</v>
      </c>
      <c r="P22" s="14">
        <v>4.0999999999999996</v>
      </c>
      <c r="Q22" s="14">
        <v>6.6</v>
      </c>
      <c r="R22" s="14">
        <v>2.8</v>
      </c>
      <c r="S22" s="14">
        <v>8.1999999999999993</v>
      </c>
      <c r="T22" s="14">
        <f t="shared" si="1"/>
        <v>51.219405127625024</v>
      </c>
      <c r="V22" s="15">
        <f t="shared" si="2"/>
        <v>0.24061398050197053</v>
      </c>
      <c r="W22" s="15">
        <f t="shared" si="3"/>
        <v>9.7709778087334831E-2</v>
      </c>
      <c r="Y22" s="15">
        <f t="shared" si="4"/>
        <v>0.21330181638520784</v>
      </c>
    </row>
    <row r="23" spans="1:25" x14ac:dyDescent="0.3">
      <c r="A23" s="5">
        <v>35</v>
      </c>
      <c r="B23" s="5">
        <v>3500</v>
      </c>
      <c r="C23" s="5">
        <v>1240</v>
      </c>
      <c r="D23" s="5" t="s">
        <v>33</v>
      </c>
      <c r="E23" s="5" t="s">
        <v>34</v>
      </c>
      <c r="F23" s="13">
        <v>18</v>
      </c>
      <c r="G23" s="13" t="s">
        <v>52</v>
      </c>
      <c r="H23" s="13">
        <v>598</v>
      </c>
      <c r="I23" s="13">
        <v>0</v>
      </c>
      <c r="J23" s="13">
        <v>194</v>
      </c>
      <c r="K23" s="13">
        <v>356</v>
      </c>
      <c r="L23" s="13">
        <v>48</v>
      </c>
      <c r="M23" s="13">
        <f t="shared" si="0"/>
        <v>598</v>
      </c>
      <c r="N23" s="14">
        <v>26</v>
      </c>
      <c r="O23" s="14">
        <v>4.6480346654613411</v>
      </c>
      <c r="P23" s="14">
        <v>4.0999999999999996</v>
      </c>
      <c r="Q23" s="14">
        <v>6.6</v>
      </c>
      <c r="R23" s="14">
        <v>2.8</v>
      </c>
      <c r="S23" s="14">
        <v>4.7</v>
      </c>
      <c r="T23" s="14">
        <f t="shared" si="1"/>
        <v>48.848034665461341</v>
      </c>
      <c r="V23" s="15">
        <f t="shared" si="2"/>
        <v>0.20673442577611836</v>
      </c>
      <c r="W23" s="15">
        <f t="shared" si="3"/>
        <v>0.11087408971749722</v>
      </c>
      <c r="Y23" s="15">
        <f t="shared" si="4"/>
        <v>0.17478294917635515</v>
      </c>
    </row>
    <row r="24" spans="1:25" x14ac:dyDescent="0.3">
      <c r="A24" s="5">
        <v>35</v>
      </c>
      <c r="B24" s="5">
        <v>3500</v>
      </c>
      <c r="C24" s="5">
        <v>1241</v>
      </c>
      <c r="D24" s="5" t="s">
        <v>33</v>
      </c>
      <c r="E24" s="5" t="s">
        <v>34</v>
      </c>
      <c r="F24" s="13">
        <v>19</v>
      </c>
      <c r="G24" s="13" t="s">
        <v>53</v>
      </c>
      <c r="H24" s="13">
        <v>445</v>
      </c>
      <c r="I24" s="13">
        <v>156</v>
      </c>
      <c r="J24" s="13">
        <v>164</v>
      </c>
      <c r="K24" s="13">
        <v>125</v>
      </c>
      <c r="L24" s="13">
        <v>0</v>
      </c>
      <c r="M24" s="13">
        <f t="shared" si="0"/>
        <v>445</v>
      </c>
      <c r="N24" s="14">
        <v>27</v>
      </c>
      <c r="O24" s="14">
        <v>4.4674874934588944</v>
      </c>
      <c r="P24" s="14">
        <v>4.1500000000000004</v>
      </c>
      <c r="Q24" s="14">
        <v>6.7</v>
      </c>
      <c r="R24" s="14">
        <v>3.8</v>
      </c>
      <c r="S24" s="14">
        <v>8.1999999999999993</v>
      </c>
      <c r="T24" s="14">
        <f t="shared" si="1"/>
        <v>54.317487493458898</v>
      </c>
      <c r="V24" s="15">
        <f t="shared" si="2"/>
        <v>0.15975779043607294</v>
      </c>
      <c r="W24" s="15">
        <f t="shared" si="3"/>
        <v>7.9301770083975862E-2</v>
      </c>
      <c r="Y24" s="15">
        <f t="shared" si="4"/>
        <v>0.14462736306656701</v>
      </c>
    </row>
    <row r="25" spans="1:25" x14ac:dyDescent="0.3">
      <c r="A25" s="5">
        <v>35</v>
      </c>
      <c r="B25" s="5">
        <v>3500</v>
      </c>
      <c r="C25" s="5">
        <v>1242</v>
      </c>
      <c r="D25" s="5" t="s">
        <v>33</v>
      </c>
      <c r="E25" s="5" t="s">
        <v>34</v>
      </c>
      <c r="F25" s="13">
        <v>20</v>
      </c>
      <c r="G25" s="13" t="s">
        <v>54</v>
      </c>
      <c r="H25" s="13">
        <v>64</v>
      </c>
      <c r="I25" s="13">
        <v>5</v>
      </c>
      <c r="J25" s="13">
        <v>0</v>
      </c>
      <c r="K25" s="13">
        <v>59</v>
      </c>
      <c r="L25" s="13">
        <v>0</v>
      </c>
      <c r="M25" s="13">
        <f t="shared" si="0"/>
        <v>64</v>
      </c>
      <c r="N25" s="14">
        <v>29</v>
      </c>
      <c r="O25" s="14">
        <v>4.3856109857800956</v>
      </c>
      <c r="P25" s="14">
        <v>4.0999999999999996</v>
      </c>
      <c r="Q25" s="14">
        <v>6.6</v>
      </c>
      <c r="R25" s="14">
        <v>2.8</v>
      </c>
      <c r="S25" s="14">
        <v>4.7</v>
      </c>
      <c r="T25" s="14">
        <f t="shared" si="1"/>
        <v>51.5856109857801</v>
      </c>
      <c r="V25" s="15">
        <f t="shared" si="2"/>
        <v>2.467835697456108E-2</v>
      </c>
      <c r="W25" s="15">
        <f t="shared" si="3"/>
        <v>1.1196173116410819E-2</v>
      </c>
      <c r="Y25" s="15">
        <f t="shared" si="4"/>
        <v>1.9754195006760844E-2</v>
      </c>
    </row>
    <row r="26" spans="1:25" x14ac:dyDescent="0.3">
      <c r="A26" s="5">
        <v>35</v>
      </c>
      <c r="B26" s="5">
        <v>3500</v>
      </c>
      <c r="C26" s="5">
        <v>1243</v>
      </c>
      <c r="D26" s="5" t="s">
        <v>33</v>
      </c>
      <c r="E26" s="5" t="s">
        <v>34</v>
      </c>
      <c r="F26" s="13">
        <v>21</v>
      </c>
      <c r="G26" s="13" t="s">
        <v>55</v>
      </c>
      <c r="H26" s="13">
        <v>695</v>
      </c>
      <c r="I26" s="13">
        <v>124</v>
      </c>
      <c r="J26" s="13">
        <v>96</v>
      </c>
      <c r="K26" s="13">
        <v>318</v>
      </c>
      <c r="L26" s="13">
        <v>157</v>
      </c>
      <c r="M26" s="13">
        <f t="shared" si="0"/>
        <v>695</v>
      </c>
      <c r="N26" s="14">
        <v>20.63</v>
      </c>
      <c r="O26" s="14">
        <v>14.96</v>
      </c>
      <c r="P26" s="14">
        <v>6.88</v>
      </c>
      <c r="Q26" s="14">
        <v>9.68</v>
      </c>
      <c r="R26" s="14">
        <v>2.9</v>
      </c>
      <c r="S26" s="14">
        <v>6.1</v>
      </c>
      <c r="T26" s="14">
        <f t="shared" si="1"/>
        <v>61.150000000000006</v>
      </c>
      <c r="V26" s="15">
        <f t="shared" si="2"/>
        <v>0.19064363176061994</v>
      </c>
      <c r="W26" s="15">
        <f t="shared" si="3"/>
        <v>0.41473999968088332</v>
      </c>
      <c r="Y26" s="15">
        <f t="shared" si="4"/>
        <v>0.25429162079364326</v>
      </c>
    </row>
    <row r="27" spans="1:25" x14ac:dyDescent="0.3">
      <c r="A27" s="5">
        <v>35</v>
      </c>
      <c r="B27" s="5">
        <v>3500</v>
      </c>
      <c r="C27" s="5">
        <v>1244</v>
      </c>
      <c r="D27" s="5" t="s">
        <v>33</v>
      </c>
      <c r="E27" s="5" t="s">
        <v>34</v>
      </c>
      <c r="F27" s="13">
        <v>22</v>
      </c>
      <c r="G27" s="13" t="s">
        <v>56</v>
      </c>
      <c r="H27" s="13">
        <v>463</v>
      </c>
      <c r="I27" s="13">
        <v>52</v>
      </c>
      <c r="J27" s="13">
        <v>146</v>
      </c>
      <c r="K27" s="13">
        <v>265</v>
      </c>
      <c r="L27" s="13">
        <v>0</v>
      </c>
      <c r="M27" s="13">
        <f t="shared" si="0"/>
        <v>463</v>
      </c>
      <c r="N27" s="14">
        <v>23.63</v>
      </c>
      <c r="O27" s="14">
        <v>5.15</v>
      </c>
      <c r="P27" s="14">
        <v>5.36</v>
      </c>
      <c r="Q27" s="14">
        <v>8.5299999999999994</v>
      </c>
      <c r="R27" s="14">
        <v>3.35</v>
      </c>
      <c r="S27" s="14">
        <v>7.9</v>
      </c>
      <c r="T27" s="14">
        <f t="shared" si="1"/>
        <v>53.92</v>
      </c>
      <c r="V27" s="15">
        <f t="shared" si="2"/>
        <v>0.14547319685776436</v>
      </c>
      <c r="W27" s="15">
        <f t="shared" si="3"/>
        <v>9.5114722448263217E-2</v>
      </c>
      <c r="Y27" s="15">
        <f t="shared" si="4"/>
        <v>0.14937628643913647</v>
      </c>
    </row>
    <row r="28" spans="1:25" x14ac:dyDescent="0.3">
      <c r="A28" s="5">
        <v>35</v>
      </c>
      <c r="B28" s="5">
        <v>3500</v>
      </c>
      <c r="C28" s="5">
        <v>1245</v>
      </c>
      <c r="D28" s="5" t="s">
        <v>33</v>
      </c>
      <c r="E28" s="5" t="s">
        <v>34</v>
      </c>
      <c r="F28" s="13">
        <v>23</v>
      </c>
      <c r="G28" s="13" t="s">
        <v>57</v>
      </c>
      <c r="H28" s="13">
        <v>296</v>
      </c>
      <c r="I28" s="13">
        <v>181</v>
      </c>
      <c r="J28" s="13">
        <v>115</v>
      </c>
      <c r="K28" s="13">
        <v>0</v>
      </c>
      <c r="L28" s="13">
        <v>0</v>
      </c>
      <c r="M28" s="13">
        <f t="shared" si="0"/>
        <v>296</v>
      </c>
      <c r="N28" s="14">
        <v>30.77</v>
      </c>
      <c r="O28" s="14">
        <v>7.71</v>
      </c>
      <c r="P28" s="14">
        <v>4.33</v>
      </c>
      <c r="Q28" s="14">
        <v>8.84</v>
      </c>
      <c r="R28" s="14">
        <v>3.93</v>
      </c>
      <c r="S28" s="14">
        <v>3.2</v>
      </c>
      <c r="T28" s="14">
        <f t="shared" si="1"/>
        <v>58.779999999999994</v>
      </c>
      <c r="V28" s="15">
        <f t="shared" si="2"/>
        <v>0.12110371824124157</v>
      </c>
      <c r="W28" s="15">
        <f t="shared" si="3"/>
        <v>9.1034416734478957E-2</v>
      </c>
      <c r="Y28" s="15">
        <f t="shared" si="4"/>
        <v>0.10410511703604422</v>
      </c>
    </row>
    <row r="29" spans="1:25" s="32" customFormat="1" x14ac:dyDescent="0.3">
      <c r="A29" s="32">
        <v>35</v>
      </c>
      <c r="B29" s="32">
        <v>3500</v>
      </c>
      <c r="C29" s="32">
        <v>1246</v>
      </c>
      <c r="D29" s="32" t="s">
        <v>33</v>
      </c>
      <c r="E29" s="32" t="s">
        <v>34</v>
      </c>
      <c r="F29" s="33">
        <v>24</v>
      </c>
      <c r="G29" s="33" t="s">
        <v>58</v>
      </c>
      <c r="H29" s="33">
        <v>2581</v>
      </c>
      <c r="I29" s="33">
        <v>226</v>
      </c>
      <c r="J29" s="33">
        <v>452</v>
      </c>
      <c r="K29" s="33">
        <v>1022</v>
      </c>
      <c r="L29" s="33">
        <v>881</v>
      </c>
      <c r="M29" s="33">
        <f t="shared" si="0"/>
        <v>2581</v>
      </c>
      <c r="N29" s="34">
        <v>32.97</v>
      </c>
      <c r="O29" s="34">
        <v>11.45</v>
      </c>
      <c r="P29" s="34">
        <v>4</v>
      </c>
      <c r="Q29" s="34">
        <v>7.54</v>
      </c>
      <c r="R29" s="34">
        <v>2.7</v>
      </c>
      <c r="S29" s="34">
        <v>4.3600000000000003</v>
      </c>
      <c r="T29" s="34">
        <f t="shared" si="1"/>
        <v>63.02</v>
      </c>
      <c r="V29" s="16">
        <f t="shared" si="2"/>
        <v>1.1314756753306847</v>
      </c>
      <c r="W29" s="16">
        <f t="shared" si="3"/>
        <v>1.1788349847621782</v>
      </c>
      <c r="Y29" s="16">
        <f t="shared" si="4"/>
        <v>0.97323380881719401</v>
      </c>
    </row>
    <row r="30" spans="1:25" x14ac:dyDescent="0.3">
      <c r="A30" s="5">
        <v>35</v>
      </c>
      <c r="B30" s="5">
        <v>3500</v>
      </c>
      <c r="C30" s="5">
        <v>1247</v>
      </c>
      <c r="D30" s="5" t="s">
        <v>33</v>
      </c>
      <c r="E30" s="5" t="s">
        <v>34</v>
      </c>
      <c r="F30" s="13">
        <v>25</v>
      </c>
      <c r="G30" s="13" t="s">
        <v>59</v>
      </c>
      <c r="H30" s="13">
        <v>876</v>
      </c>
      <c r="I30" s="13">
        <v>134</v>
      </c>
      <c r="J30" s="13">
        <v>177</v>
      </c>
      <c r="K30" s="13">
        <v>381</v>
      </c>
      <c r="L30" s="13">
        <v>184</v>
      </c>
      <c r="M30" s="13">
        <f t="shared" si="0"/>
        <v>876</v>
      </c>
      <c r="N30" s="14">
        <v>24</v>
      </c>
      <c r="O30" s="14">
        <v>9.4813883742758538</v>
      </c>
      <c r="P30" s="14">
        <v>4</v>
      </c>
      <c r="Q30" s="14">
        <v>7.5</v>
      </c>
      <c r="R30" s="14">
        <v>2.5</v>
      </c>
      <c r="S30" s="14">
        <v>5</v>
      </c>
      <c r="T30" s="14">
        <f t="shared" si="1"/>
        <v>52.481388374275852</v>
      </c>
      <c r="V30" s="15">
        <f t="shared" si="2"/>
        <v>0.27954621607390745</v>
      </c>
      <c r="W30" s="15">
        <f t="shared" si="3"/>
        <v>0.33131078039449402</v>
      </c>
      <c r="Y30" s="15">
        <f t="shared" si="4"/>
        <v>0.27508075376876195</v>
      </c>
    </row>
    <row r="31" spans="1:25" x14ac:dyDescent="0.3">
      <c r="F31" s="13"/>
      <c r="G31" s="17" t="s">
        <v>60</v>
      </c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4"/>
      <c r="V31" s="15">
        <f t="shared" si="2"/>
        <v>0</v>
      </c>
      <c r="W31" s="15">
        <f t="shared" si="3"/>
        <v>0</v>
      </c>
      <c r="Y31" s="15">
        <f t="shared" si="4"/>
        <v>0</v>
      </c>
    </row>
    <row r="32" spans="1:25" x14ac:dyDescent="0.3">
      <c r="A32" s="5">
        <v>35</v>
      </c>
      <c r="B32" s="5">
        <v>3500</v>
      </c>
      <c r="C32" s="5">
        <v>1148</v>
      </c>
      <c r="D32" s="5" t="s">
        <v>33</v>
      </c>
      <c r="E32" s="5" t="s">
        <v>34</v>
      </c>
      <c r="F32" s="13">
        <v>26</v>
      </c>
      <c r="G32" s="13" t="s">
        <v>61</v>
      </c>
      <c r="H32" s="13">
        <v>1085</v>
      </c>
      <c r="I32" s="18">
        <v>124</v>
      </c>
      <c r="J32" s="18">
        <v>135</v>
      </c>
      <c r="K32" s="18">
        <v>550</v>
      </c>
      <c r="L32" s="18">
        <v>276</v>
      </c>
      <c r="M32" s="13">
        <f t="shared" si="0"/>
        <v>1085</v>
      </c>
      <c r="N32" s="14">
        <v>19.28</v>
      </c>
      <c r="O32" s="14">
        <v>12.21</v>
      </c>
      <c r="P32" s="14">
        <v>4.2</v>
      </c>
      <c r="Q32" s="14">
        <v>8.18</v>
      </c>
      <c r="R32" s="14">
        <v>2.93</v>
      </c>
      <c r="S32" s="14">
        <v>4.84</v>
      </c>
      <c r="T32" s="14">
        <f t="shared" si="1"/>
        <v>51.64</v>
      </c>
      <c r="V32" s="15">
        <f t="shared" si="2"/>
        <v>0.27814742127125452</v>
      </c>
      <c r="W32" s="15">
        <f t="shared" si="3"/>
        <v>0.5284512469484467</v>
      </c>
      <c r="Y32" s="15">
        <f t="shared" si="4"/>
        <v>0.33524843233928486</v>
      </c>
    </row>
    <row r="33" spans="1:25" x14ac:dyDescent="0.3">
      <c r="A33" s="5">
        <v>35</v>
      </c>
      <c r="B33" s="5">
        <v>3500</v>
      </c>
      <c r="C33" s="5">
        <v>1149</v>
      </c>
      <c r="D33" s="5" t="s">
        <v>33</v>
      </c>
      <c r="E33" s="5" t="s">
        <v>34</v>
      </c>
      <c r="F33" s="13">
        <v>27</v>
      </c>
      <c r="G33" s="13" t="s">
        <v>62</v>
      </c>
      <c r="H33" s="13">
        <v>1807</v>
      </c>
      <c r="I33" s="18">
        <v>0</v>
      </c>
      <c r="J33" s="18">
        <v>286</v>
      </c>
      <c r="K33" s="18">
        <v>678</v>
      </c>
      <c r="L33" s="18">
        <v>843</v>
      </c>
      <c r="M33" s="13">
        <f t="shared" si="0"/>
        <v>1807</v>
      </c>
      <c r="N33" s="14">
        <v>24.98</v>
      </c>
      <c r="O33" s="14">
        <v>12.34</v>
      </c>
      <c r="P33" s="14">
        <v>3.94</v>
      </c>
      <c r="Q33" s="14">
        <v>7.46</v>
      </c>
      <c r="R33" s="14">
        <v>2.78</v>
      </c>
      <c r="S33" s="14">
        <v>3.4</v>
      </c>
      <c r="T33" s="14">
        <f t="shared" si="1"/>
        <v>54.9</v>
      </c>
      <c r="V33" s="15">
        <f t="shared" si="2"/>
        <v>0.60019014035815532</v>
      </c>
      <c r="W33" s="15">
        <f t="shared" si="3"/>
        <v>0.88947313835303876</v>
      </c>
      <c r="Y33" s="15">
        <f t="shared" si="4"/>
        <v>0.59358276291225887</v>
      </c>
    </row>
    <row r="34" spans="1:25" x14ac:dyDescent="0.3">
      <c r="A34" s="5">
        <v>35</v>
      </c>
      <c r="B34" s="5">
        <v>3500</v>
      </c>
      <c r="C34" s="5">
        <v>1150</v>
      </c>
      <c r="D34" s="5" t="s">
        <v>33</v>
      </c>
      <c r="E34" s="5" t="s">
        <v>34</v>
      </c>
      <c r="F34" s="13">
        <v>28</v>
      </c>
      <c r="G34" s="13" t="s">
        <v>63</v>
      </c>
      <c r="H34" s="13">
        <v>1799</v>
      </c>
      <c r="I34" s="18">
        <v>398</v>
      </c>
      <c r="J34" s="18">
        <v>726</v>
      </c>
      <c r="K34" s="18">
        <v>905</v>
      </c>
      <c r="L34" s="18">
        <v>433</v>
      </c>
      <c r="M34" s="13">
        <f t="shared" si="0"/>
        <v>2462</v>
      </c>
      <c r="N34" s="14">
        <v>18.600000000000001</v>
      </c>
      <c r="O34" s="14">
        <v>11.15</v>
      </c>
      <c r="P34" s="14">
        <v>3.3</v>
      </c>
      <c r="Q34" s="14">
        <v>7.06</v>
      </c>
      <c r="R34" s="14">
        <v>2.2999999999999998</v>
      </c>
      <c r="S34" s="14">
        <v>4.76</v>
      </c>
      <c r="T34" s="14">
        <f t="shared" si="1"/>
        <v>47.169999999999995</v>
      </c>
      <c r="V34" s="15">
        <f t="shared" si="2"/>
        <v>0.4449204601662598</v>
      </c>
      <c r="W34" s="15">
        <f t="shared" si="3"/>
        <v>0.8001392146538383</v>
      </c>
      <c r="Y34" s="15">
        <f t="shared" si="4"/>
        <v>0.50774753482360813</v>
      </c>
    </row>
    <row r="35" spans="1:25" s="32" customFormat="1" x14ac:dyDescent="0.3">
      <c r="A35" s="32">
        <v>35</v>
      </c>
      <c r="B35" s="32">
        <v>3500</v>
      </c>
      <c r="C35" s="32">
        <v>1151</v>
      </c>
      <c r="D35" s="32" t="s">
        <v>33</v>
      </c>
      <c r="E35" s="32" t="s">
        <v>34</v>
      </c>
      <c r="F35" s="33">
        <v>29</v>
      </c>
      <c r="G35" s="33" t="s">
        <v>64</v>
      </c>
      <c r="H35" s="33">
        <v>2462</v>
      </c>
      <c r="I35" s="35">
        <v>115</v>
      </c>
      <c r="J35" s="35">
        <v>164</v>
      </c>
      <c r="K35" s="35">
        <v>745</v>
      </c>
      <c r="L35" s="35">
        <v>775</v>
      </c>
      <c r="M35" s="33">
        <f t="shared" si="0"/>
        <v>1799</v>
      </c>
      <c r="N35" s="34">
        <v>33.450000000000003</v>
      </c>
      <c r="O35" s="34">
        <v>8.4850306112061755</v>
      </c>
      <c r="P35" s="34">
        <v>3.5</v>
      </c>
      <c r="Q35" s="34">
        <v>7.5</v>
      </c>
      <c r="R35" s="34">
        <v>1.5</v>
      </c>
      <c r="S35" s="34">
        <v>2</v>
      </c>
      <c r="T35" s="34">
        <f t="shared" si="1"/>
        <v>56.43503061120618</v>
      </c>
      <c r="V35" s="16">
        <f t="shared" si="2"/>
        <v>1.09502098192204</v>
      </c>
      <c r="W35" s="16">
        <f t="shared" si="3"/>
        <v>0.83329924228892849</v>
      </c>
      <c r="Y35" s="16">
        <f t="shared" si="4"/>
        <v>0.83135707580291518</v>
      </c>
    </row>
    <row r="36" spans="1:25" x14ac:dyDescent="0.3">
      <c r="A36" s="5">
        <v>35</v>
      </c>
      <c r="B36" s="5">
        <v>3500</v>
      </c>
      <c r="C36" s="5">
        <v>1152</v>
      </c>
      <c r="D36" s="5" t="s">
        <v>33</v>
      </c>
      <c r="E36" s="5" t="s">
        <v>34</v>
      </c>
      <c r="F36" s="13">
        <v>30</v>
      </c>
      <c r="G36" s="13" t="s">
        <v>65</v>
      </c>
      <c r="H36" s="13">
        <v>1424</v>
      </c>
      <c r="I36" s="13">
        <v>56</v>
      </c>
      <c r="J36" s="13">
        <v>226</v>
      </c>
      <c r="K36" s="13">
        <v>494</v>
      </c>
      <c r="L36" s="14">
        <v>648</v>
      </c>
      <c r="M36" s="13">
        <f t="shared" si="0"/>
        <v>1424</v>
      </c>
      <c r="N36" s="14">
        <v>23.77</v>
      </c>
      <c r="O36" s="14">
        <v>12.38</v>
      </c>
      <c r="P36" s="14">
        <v>4.4000000000000004</v>
      </c>
      <c r="Q36" s="14">
        <v>7.46</v>
      </c>
      <c r="R36" s="14">
        <v>3.73</v>
      </c>
      <c r="S36" s="14">
        <v>5.8</v>
      </c>
      <c r="T36" s="14">
        <f t="shared" si="1"/>
        <v>57.539999999999992</v>
      </c>
      <c r="V36" s="15">
        <f t="shared" si="2"/>
        <v>0.45006728043442418</v>
      </c>
      <c r="W36" s="15">
        <f t="shared" si="3"/>
        <v>0.70321829176838502</v>
      </c>
      <c r="Y36" s="15">
        <f t="shared" si="4"/>
        <v>0.49026470729022065</v>
      </c>
    </row>
    <row r="37" spans="1:25" x14ac:dyDescent="0.3">
      <c r="F37" s="13"/>
      <c r="G37" s="17" t="s">
        <v>66</v>
      </c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4"/>
      <c r="V37" s="15">
        <f t="shared" si="2"/>
        <v>0</v>
      </c>
      <c r="W37" s="15">
        <f t="shared" si="3"/>
        <v>0</v>
      </c>
      <c r="Y37" s="15">
        <f t="shared" si="4"/>
        <v>0</v>
      </c>
    </row>
    <row r="38" spans="1:25" x14ac:dyDescent="0.3">
      <c r="A38" s="5">
        <v>35</v>
      </c>
      <c r="B38" s="5">
        <v>3500</v>
      </c>
      <c r="C38" s="5">
        <v>122203</v>
      </c>
      <c r="D38" s="5" t="s">
        <v>33</v>
      </c>
      <c r="E38" s="5" t="s">
        <v>34</v>
      </c>
      <c r="F38" s="13">
        <v>31</v>
      </c>
      <c r="G38" s="13" t="s">
        <v>67</v>
      </c>
      <c r="H38" s="13">
        <v>148</v>
      </c>
      <c r="I38" s="13">
        <v>35</v>
      </c>
      <c r="J38" s="13">
        <v>45</v>
      </c>
      <c r="K38" s="13">
        <v>68</v>
      </c>
      <c r="L38" s="13">
        <v>0</v>
      </c>
      <c r="M38" s="13">
        <f t="shared" si="0"/>
        <v>148</v>
      </c>
      <c r="N38" s="14">
        <v>29.82</v>
      </c>
      <c r="O38" s="14">
        <v>8.9285614298797551</v>
      </c>
      <c r="P38" s="14">
        <v>4</v>
      </c>
      <c r="Q38" s="14">
        <v>7.5</v>
      </c>
      <c r="R38" s="14">
        <v>2.5</v>
      </c>
      <c r="S38" s="14">
        <v>5</v>
      </c>
      <c r="T38" s="14">
        <f t="shared" si="1"/>
        <v>57.748561429879757</v>
      </c>
      <c r="V38" s="15">
        <f t="shared" si="2"/>
        <v>5.8682367207569454E-2</v>
      </c>
      <c r="W38" s="15">
        <f t="shared" si="3"/>
        <v>5.2711179121081003E-2</v>
      </c>
      <c r="Y38" s="15">
        <f t="shared" si="4"/>
        <v>5.1139169329030468E-2</v>
      </c>
    </row>
    <row r="39" spans="1:25" x14ac:dyDescent="0.3">
      <c r="A39" s="5">
        <v>35</v>
      </c>
      <c r="B39" s="5">
        <v>3500</v>
      </c>
      <c r="C39" s="5">
        <v>1153</v>
      </c>
      <c r="D39" s="5" t="s">
        <v>33</v>
      </c>
      <c r="E39" s="5" t="s">
        <v>34</v>
      </c>
      <c r="F39" s="13">
        <v>32</v>
      </c>
      <c r="G39" s="13" t="s">
        <v>68</v>
      </c>
      <c r="H39" s="13">
        <v>156</v>
      </c>
      <c r="I39" s="13">
        <v>15</v>
      </c>
      <c r="J39" s="13">
        <v>25</v>
      </c>
      <c r="K39" s="13">
        <v>30</v>
      </c>
      <c r="L39" s="13">
        <v>86</v>
      </c>
      <c r="M39" s="13">
        <f t="shared" si="0"/>
        <v>156</v>
      </c>
      <c r="N39" s="14">
        <v>28</v>
      </c>
      <c r="O39" s="14">
        <v>8.1082705364897745</v>
      </c>
      <c r="P39" s="14">
        <v>4</v>
      </c>
      <c r="Q39" s="14">
        <v>7.5</v>
      </c>
      <c r="R39" s="14">
        <v>2.5</v>
      </c>
      <c r="S39" s="14">
        <v>5</v>
      </c>
      <c r="T39" s="14">
        <f t="shared" si="1"/>
        <v>55.108270536489776</v>
      </c>
      <c r="V39" s="15">
        <f t="shared" si="2"/>
        <v>5.8079236672889438E-2</v>
      </c>
      <c r="W39" s="15">
        <f t="shared" si="3"/>
        <v>5.0455946088922066E-2</v>
      </c>
      <c r="Y39" s="15">
        <f t="shared" si="4"/>
        <v>5.1438958185895868E-2</v>
      </c>
    </row>
    <row r="40" spans="1:25" x14ac:dyDescent="0.3">
      <c r="A40" s="5">
        <v>35</v>
      </c>
      <c r="B40" s="5">
        <v>3500</v>
      </c>
      <c r="C40" s="5">
        <v>1154</v>
      </c>
      <c r="D40" s="5" t="s">
        <v>33</v>
      </c>
      <c r="E40" s="5" t="s">
        <v>34</v>
      </c>
      <c r="F40" s="13">
        <v>33</v>
      </c>
      <c r="G40" s="13" t="s">
        <v>69</v>
      </c>
      <c r="H40" s="13">
        <v>1212</v>
      </c>
      <c r="I40" s="13">
        <v>261</v>
      </c>
      <c r="J40" s="13">
        <v>197</v>
      </c>
      <c r="K40" s="13">
        <v>102</v>
      </c>
      <c r="L40" s="13">
        <v>652</v>
      </c>
      <c r="M40" s="13">
        <f t="shared" si="0"/>
        <v>1212</v>
      </c>
      <c r="N40" s="14">
        <v>22</v>
      </c>
      <c r="O40" s="14">
        <v>8.6261680337426156</v>
      </c>
      <c r="P40" s="14">
        <v>5</v>
      </c>
      <c r="Q40" s="14">
        <v>7.5</v>
      </c>
      <c r="R40" s="14">
        <v>2.5</v>
      </c>
      <c r="S40" s="14">
        <v>5</v>
      </c>
      <c r="T40" s="14">
        <f t="shared" si="1"/>
        <v>50.626168033742616</v>
      </c>
      <c r="V40" s="15">
        <f t="shared" si="2"/>
        <v>0.35453863705263827</v>
      </c>
      <c r="W40" s="15">
        <f t="shared" si="3"/>
        <v>0.41704225331865602</v>
      </c>
      <c r="Y40" s="15">
        <f t="shared" si="4"/>
        <v>0.36713725801120134</v>
      </c>
    </row>
    <row r="41" spans="1:25" x14ac:dyDescent="0.3">
      <c r="A41" s="5">
        <v>35</v>
      </c>
      <c r="B41" s="5">
        <v>3500</v>
      </c>
      <c r="C41" s="5">
        <v>1155</v>
      </c>
      <c r="D41" s="5" t="s">
        <v>33</v>
      </c>
      <c r="E41" s="5" t="s">
        <v>34</v>
      </c>
      <c r="F41" s="13">
        <v>34</v>
      </c>
      <c r="G41" s="13" t="s">
        <v>70</v>
      </c>
      <c r="H41" s="13">
        <v>20</v>
      </c>
      <c r="I41" s="13">
        <v>12</v>
      </c>
      <c r="J41" s="13">
        <v>8</v>
      </c>
      <c r="K41" s="13">
        <v>0</v>
      </c>
      <c r="L41" s="13">
        <v>0</v>
      </c>
      <c r="M41" s="13">
        <f t="shared" si="0"/>
        <v>20</v>
      </c>
      <c r="N41" s="13">
        <v>28.65</v>
      </c>
      <c r="O41" s="14">
        <v>9.1666666666666661</v>
      </c>
      <c r="P41" s="14">
        <v>4</v>
      </c>
      <c r="Q41" s="14">
        <v>7.5</v>
      </c>
      <c r="R41" s="14">
        <v>2.5</v>
      </c>
      <c r="S41" s="14">
        <v>5</v>
      </c>
      <c r="T41" s="14">
        <f t="shared" si="1"/>
        <v>56.816666666666663</v>
      </c>
      <c r="V41" s="15">
        <f t="shared" si="2"/>
        <v>7.6189108547540388E-3</v>
      </c>
      <c r="W41" s="15">
        <f t="shared" si="3"/>
        <v>7.3130906982804928E-3</v>
      </c>
      <c r="Y41" s="15">
        <f t="shared" si="4"/>
        <v>6.7991798701195084E-3</v>
      </c>
    </row>
    <row r="42" spans="1:25" x14ac:dyDescent="0.3">
      <c r="A42" s="5">
        <v>35</v>
      </c>
      <c r="B42" s="5">
        <v>3500</v>
      </c>
      <c r="C42" s="5">
        <v>1156</v>
      </c>
      <c r="D42" s="5" t="s">
        <v>33</v>
      </c>
      <c r="E42" s="5" t="s">
        <v>34</v>
      </c>
      <c r="F42" s="13">
        <v>35</v>
      </c>
      <c r="G42" s="13" t="s">
        <v>71</v>
      </c>
      <c r="H42" s="13">
        <v>527</v>
      </c>
      <c r="I42" s="13">
        <v>197</v>
      </c>
      <c r="J42" s="13">
        <v>163</v>
      </c>
      <c r="K42" s="13">
        <v>73</v>
      </c>
      <c r="L42" s="13">
        <v>94</v>
      </c>
      <c r="M42" s="13">
        <f t="shared" si="0"/>
        <v>527</v>
      </c>
      <c r="N42" s="13">
        <v>19.29</v>
      </c>
      <c r="O42" s="14">
        <v>9.781264786830393</v>
      </c>
      <c r="P42" s="14">
        <v>4</v>
      </c>
      <c r="Q42" s="14">
        <v>8</v>
      </c>
      <c r="R42" s="14">
        <v>3</v>
      </c>
      <c r="S42" s="14">
        <v>5</v>
      </c>
      <c r="T42" s="14">
        <f t="shared" si="1"/>
        <v>49.07126478683039</v>
      </c>
      <c r="V42" s="15">
        <f t="shared" si="2"/>
        <v>0.13517024875145597</v>
      </c>
      <c r="W42" s="15">
        <f t="shared" si="3"/>
        <v>0.20561990580711059</v>
      </c>
      <c r="Y42" s="15">
        <f t="shared" si="4"/>
        <v>0.15473503268548428</v>
      </c>
    </row>
    <row r="43" spans="1:25" x14ac:dyDescent="0.3">
      <c r="A43" s="5">
        <v>35</v>
      </c>
      <c r="B43" s="5">
        <v>3500</v>
      </c>
      <c r="C43" s="5">
        <v>1157</v>
      </c>
      <c r="D43" s="5" t="s">
        <v>33</v>
      </c>
      <c r="E43" s="5" t="s">
        <v>34</v>
      </c>
      <c r="F43" s="13">
        <v>36</v>
      </c>
      <c r="G43" s="13" t="s">
        <v>72</v>
      </c>
      <c r="H43" s="13">
        <v>457</v>
      </c>
      <c r="I43" s="13">
        <v>350</v>
      </c>
      <c r="J43" s="13">
        <v>107</v>
      </c>
      <c r="K43" s="13">
        <v>0</v>
      </c>
      <c r="L43" s="13">
        <v>0</v>
      </c>
      <c r="M43" s="13">
        <f t="shared" si="0"/>
        <v>457</v>
      </c>
      <c r="N43" s="13">
        <v>23.97</v>
      </c>
      <c r="O43" s="14">
        <v>9.7029945583165027</v>
      </c>
      <c r="P43" s="14">
        <v>4</v>
      </c>
      <c r="Q43" s="14">
        <v>7.5</v>
      </c>
      <c r="R43" s="14">
        <v>2.5</v>
      </c>
      <c r="S43" s="14">
        <v>5</v>
      </c>
      <c r="T43" s="14">
        <f t="shared" si="1"/>
        <v>52.672994558316503</v>
      </c>
      <c r="V43" s="15">
        <f t="shared" si="2"/>
        <v>0.14565402964594001</v>
      </c>
      <c r="W43" s="15">
        <f t="shared" si="3"/>
        <v>0.17688113354836379</v>
      </c>
      <c r="Y43" s="15">
        <f t="shared" si="4"/>
        <v>0.14403067417279355</v>
      </c>
    </row>
    <row r="44" spans="1:25" x14ac:dyDescent="0.3">
      <c r="A44" s="5">
        <v>35</v>
      </c>
      <c r="B44" s="5">
        <v>3500</v>
      </c>
      <c r="C44" s="5">
        <v>1158</v>
      </c>
      <c r="D44" s="5" t="s">
        <v>33</v>
      </c>
      <c r="E44" s="5" t="s">
        <v>34</v>
      </c>
      <c r="F44" s="13">
        <v>37</v>
      </c>
      <c r="G44" s="13" t="s">
        <v>73</v>
      </c>
      <c r="H44" s="13">
        <v>107</v>
      </c>
      <c r="I44" s="13">
        <v>18</v>
      </c>
      <c r="J44" s="13">
        <v>29</v>
      </c>
      <c r="K44" s="13">
        <v>60</v>
      </c>
      <c r="L44" s="13">
        <v>0</v>
      </c>
      <c r="M44" s="13">
        <f t="shared" si="0"/>
        <v>107</v>
      </c>
      <c r="N44" s="13">
        <v>29.45</v>
      </c>
      <c r="O44" s="14">
        <v>9.6360593251398825</v>
      </c>
      <c r="P44" s="14">
        <v>4</v>
      </c>
      <c r="Q44" s="14">
        <v>7.5</v>
      </c>
      <c r="R44" s="14">
        <v>2.5</v>
      </c>
      <c r="S44" s="14">
        <v>5</v>
      </c>
      <c r="T44" s="14">
        <f t="shared" si="1"/>
        <v>58.086059325139885</v>
      </c>
      <c r="V44" s="15">
        <f t="shared" si="2"/>
        <v>4.1899355916157413E-2</v>
      </c>
      <c r="W44" s="15">
        <f t="shared" si="3"/>
        <v>4.1128490250585077E-2</v>
      </c>
      <c r="Y44" s="15">
        <f t="shared" si="4"/>
        <v>3.718831283680752E-2</v>
      </c>
    </row>
    <row r="45" spans="1:25" x14ac:dyDescent="0.3">
      <c r="A45" s="5">
        <v>35</v>
      </c>
      <c r="B45" s="5">
        <v>3500</v>
      </c>
      <c r="C45" s="5">
        <v>1159</v>
      </c>
      <c r="D45" s="5" t="s">
        <v>33</v>
      </c>
      <c r="E45" s="5" t="s">
        <v>34</v>
      </c>
      <c r="F45" s="13">
        <v>38</v>
      </c>
      <c r="G45" s="13" t="s">
        <v>74</v>
      </c>
      <c r="H45" s="13">
        <v>39</v>
      </c>
      <c r="I45" s="13">
        <v>0</v>
      </c>
      <c r="J45" s="13">
        <v>5</v>
      </c>
      <c r="K45" s="13">
        <v>12</v>
      </c>
      <c r="L45" s="13">
        <v>22</v>
      </c>
      <c r="M45" s="13">
        <f t="shared" si="0"/>
        <v>39</v>
      </c>
      <c r="N45" s="14">
        <v>28</v>
      </c>
      <c r="O45" s="14">
        <v>8.9832916587864702</v>
      </c>
      <c r="P45" s="14">
        <v>4</v>
      </c>
      <c r="Q45" s="14">
        <v>7.5</v>
      </c>
      <c r="R45" s="14">
        <v>2.5</v>
      </c>
      <c r="S45" s="14">
        <v>5</v>
      </c>
      <c r="T45" s="14">
        <f t="shared" si="1"/>
        <v>55.98329165878647</v>
      </c>
      <c r="V45" s="15">
        <f t="shared" si="2"/>
        <v>1.4519809168222359E-2</v>
      </c>
      <c r="W45" s="15">
        <f t="shared" si="3"/>
        <v>1.3975251491578205E-2</v>
      </c>
      <c r="Y45" s="15">
        <f t="shared" si="4"/>
        <v>1.3063929291876121E-2</v>
      </c>
    </row>
    <row r="46" spans="1:25" x14ac:dyDescent="0.3">
      <c r="A46" s="5">
        <v>35</v>
      </c>
      <c r="B46" s="5">
        <v>3500</v>
      </c>
      <c r="C46" s="5">
        <v>1160</v>
      </c>
      <c r="D46" s="5" t="s">
        <v>33</v>
      </c>
      <c r="E46" s="5" t="s">
        <v>34</v>
      </c>
      <c r="F46" s="13">
        <v>39</v>
      </c>
      <c r="G46" s="13" t="s">
        <v>75</v>
      </c>
      <c r="H46" s="13">
        <v>282</v>
      </c>
      <c r="I46" s="13">
        <v>94</v>
      </c>
      <c r="J46" s="13">
        <v>172</v>
      </c>
      <c r="K46" s="13">
        <v>16</v>
      </c>
      <c r="L46" s="13">
        <v>0</v>
      </c>
      <c r="M46" s="13">
        <f t="shared" si="0"/>
        <v>282</v>
      </c>
      <c r="N46" s="13">
        <v>28.48</v>
      </c>
      <c r="O46" s="14">
        <v>9.3512379582902909</v>
      </c>
      <c r="P46" s="14">
        <v>4</v>
      </c>
      <c r="Q46" s="14">
        <v>7.5</v>
      </c>
      <c r="R46" s="14">
        <v>2.5</v>
      </c>
      <c r="S46" s="14">
        <v>5</v>
      </c>
      <c r="T46" s="14">
        <f t="shared" si="1"/>
        <v>56.831237958290288</v>
      </c>
      <c r="V46" s="15">
        <f t="shared" si="2"/>
        <v>0.10678920747371276</v>
      </c>
      <c r="W46" s="15">
        <f t="shared" si="3"/>
        <v>0.10519079604605901</v>
      </c>
      <c r="Y46" s="15">
        <f t="shared" si="4"/>
        <v>9.589302273848703E-2</v>
      </c>
    </row>
    <row r="47" spans="1:25" x14ac:dyDescent="0.3">
      <c r="A47" s="5">
        <v>35</v>
      </c>
      <c r="B47" s="5">
        <v>3500</v>
      </c>
      <c r="C47" s="5">
        <v>1161</v>
      </c>
      <c r="D47" s="5" t="s">
        <v>33</v>
      </c>
      <c r="E47" s="5" t="s">
        <v>34</v>
      </c>
      <c r="F47" s="13">
        <v>40</v>
      </c>
      <c r="G47" s="13" t="s">
        <v>76</v>
      </c>
      <c r="H47" s="13">
        <v>726</v>
      </c>
      <c r="I47" s="13">
        <v>452</v>
      </c>
      <c r="J47" s="13">
        <v>261</v>
      </c>
      <c r="K47" s="13">
        <v>13</v>
      </c>
      <c r="L47" s="13">
        <v>0</v>
      </c>
      <c r="M47" s="13">
        <f t="shared" si="0"/>
        <v>726</v>
      </c>
      <c r="N47" s="13">
        <v>31.96</v>
      </c>
      <c r="O47" s="14">
        <v>8.2706922680979158</v>
      </c>
      <c r="P47" s="14">
        <v>4</v>
      </c>
      <c r="Q47" s="14">
        <v>7.5</v>
      </c>
      <c r="R47" s="14">
        <v>2.5</v>
      </c>
      <c r="S47" s="14">
        <v>5</v>
      </c>
      <c r="T47" s="14">
        <f t="shared" si="1"/>
        <v>59.230692268097918</v>
      </c>
      <c r="V47" s="15">
        <f t="shared" si="2"/>
        <v>0.30851881990649882</v>
      </c>
      <c r="W47" s="15">
        <f t="shared" si="3"/>
        <v>0.23951791786890236</v>
      </c>
      <c r="Y47" s="15">
        <f t="shared" si="4"/>
        <v>0.25729669825905349</v>
      </c>
    </row>
    <row r="48" spans="1:25" x14ac:dyDescent="0.3">
      <c r="A48" s="5">
        <v>35</v>
      </c>
      <c r="B48" s="5">
        <v>3500</v>
      </c>
      <c r="C48" s="5">
        <v>1162</v>
      </c>
      <c r="D48" s="5" t="s">
        <v>33</v>
      </c>
      <c r="E48" s="5" t="s">
        <v>34</v>
      </c>
      <c r="F48" s="13">
        <v>41</v>
      </c>
      <c r="G48" s="13" t="s">
        <v>77</v>
      </c>
      <c r="H48" s="13">
        <v>63</v>
      </c>
      <c r="I48" s="13">
        <v>31</v>
      </c>
      <c r="J48" s="13">
        <v>21</v>
      </c>
      <c r="K48" s="13">
        <v>11</v>
      </c>
      <c r="L48" s="13">
        <v>0</v>
      </c>
      <c r="M48" s="13">
        <f t="shared" si="0"/>
        <v>63</v>
      </c>
      <c r="N48" s="13">
        <v>27.57</v>
      </c>
      <c r="O48" s="14">
        <v>8.8982734944481994</v>
      </c>
      <c r="P48" s="14">
        <v>4</v>
      </c>
      <c r="Q48" s="14">
        <v>8</v>
      </c>
      <c r="R48" s="14">
        <v>3</v>
      </c>
      <c r="S48" s="14">
        <v>5</v>
      </c>
      <c r="T48" s="14">
        <f t="shared" si="1"/>
        <v>56.468273494448198</v>
      </c>
      <c r="V48" s="15">
        <f t="shared" si="2"/>
        <v>2.3094873390455219E-2</v>
      </c>
      <c r="W48" s="15">
        <f t="shared" si="3"/>
        <v>2.236175187681444E-2</v>
      </c>
      <c r="Y48" s="15">
        <f t="shared" si="4"/>
        <v>2.1286087490727086E-2</v>
      </c>
    </row>
    <row r="49" spans="1:25" x14ac:dyDescent="0.3">
      <c r="A49" s="5">
        <v>35</v>
      </c>
      <c r="B49" s="5">
        <v>3500</v>
      </c>
      <c r="C49" s="5">
        <v>1163</v>
      </c>
      <c r="D49" s="5" t="s">
        <v>33</v>
      </c>
      <c r="E49" s="5" t="s">
        <v>34</v>
      </c>
      <c r="F49" s="13">
        <v>42</v>
      </c>
      <c r="G49" s="13" t="s">
        <v>78</v>
      </c>
      <c r="H49" s="13">
        <v>70</v>
      </c>
      <c r="I49" s="13">
        <v>33</v>
      </c>
      <c r="J49" s="13">
        <v>20</v>
      </c>
      <c r="K49" s="13">
        <v>17</v>
      </c>
      <c r="L49" s="13">
        <v>0</v>
      </c>
      <c r="M49" s="13">
        <f t="shared" si="0"/>
        <v>70</v>
      </c>
      <c r="N49" s="13">
        <v>28.39</v>
      </c>
      <c r="O49" s="14">
        <v>9.4094500817980613</v>
      </c>
      <c r="P49" s="14">
        <v>5</v>
      </c>
      <c r="Q49" s="14">
        <v>8</v>
      </c>
      <c r="R49" s="14">
        <v>3</v>
      </c>
      <c r="S49" s="14">
        <v>5</v>
      </c>
      <c r="T49" s="14">
        <f t="shared" si="1"/>
        <v>58.799450081798064</v>
      </c>
      <c r="V49" s="15">
        <f t="shared" si="2"/>
        <v>2.6424191172168772E-2</v>
      </c>
      <c r="W49" s="15">
        <f t="shared" si="3"/>
        <v>2.6273734531850411E-2</v>
      </c>
      <c r="Y49" s="15">
        <f t="shared" si="4"/>
        <v>2.462759983800359E-2</v>
      </c>
    </row>
    <row r="50" spans="1:25" x14ac:dyDescent="0.3">
      <c r="A50" s="5">
        <v>35</v>
      </c>
      <c r="B50" s="5">
        <v>3500</v>
      </c>
      <c r="C50" s="5">
        <v>1164</v>
      </c>
      <c r="D50" s="5" t="s">
        <v>33</v>
      </c>
      <c r="E50" s="5" t="s">
        <v>34</v>
      </c>
      <c r="F50" s="13">
        <v>43</v>
      </c>
      <c r="G50" s="13" t="s">
        <v>79</v>
      </c>
      <c r="H50" s="13">
        <v>53</v>
      </c>
      <c r="I50" s="13">
        <v>0</v>
      </c>
      <c r="J50" s="13">
        <v>5</v>
      </c>
      <c r="K50" s="13">
        <v>28</v>
      </c>
      <c r="L50" s="13">
        <v>20</v>
      </c>
      <c r="M50" s="13">
        <f t="shared" si="0"/>
        <v>53</v>
      </c>
      <c r="N50" s="13">
        <v>22.16</v>
      </c>
      <c r="O50" s="14">
        <v>9.6926167715557927</v>
      </c>
      <c r="P50" s="14">
        <v>5</v>
      </c>
      <c r="Q50" s="14">
        <v>8</v>
      </c>
      <c r="R50" s="14">
        <v>3</v>
      </c>
      <c r="S50" s="14">
        <v>5</v>
      </c>
      <c r="T50" s="14">
        <f t="shared" si="1"/>
        <v>52.852616771555795</v>
      </c>
      <c r="V50" s="15">
        <f t="shared" si="2"/>
        <v>1.5616506842393589E-2</v>
      </c>
      <c r="W50" s="15">
        <f t="shared" si="3"/>
        <v>2.049162673290161E-2</v>
      </c>
      <c r="Y50" s="15">
        <f t="shared" si="4"/>
        <v>1.6760738409437422E-2</v>
      </c>
    </row>
    <row r="51" spans="1:25" x14ac:dyDescent="0.3">
      <c r="A51" s="5">
        <v>35</v>
      </c>
      <c r="B51" s="5">
        <v>3500</v>
      </c>
      <c r="C51" s="5">
        <v>1165</v>
      </c>
      <c r="D51" s="5" t="s">
        <v>33</v>
      </c>
      <c r="E51" s="5" t="s">
        <v>34</v>
      </c>
      <c r="F51" s="13">
        <v>44</v>
      </c>
      <c r="G51" s="13" t="s">
        <v>80</v>
      </c>
      <c r="H51" s="13">
        <v>193</v>
      </c>
      <c r="I51" s="13">
        <v>18</v>
      </c>
      <c r="J51" s="13">
        <v>25</v>
      </c>
      <c r="K51" s="13">
        <v>51</v>
      </c>
      <c r="L51" s="13">
        <v>99</v>
      </c>
      <c r="M51" s="13">
        <f t="shared" si="0"/>
        <v>193</v>
      </c>
      <c r="N51" s="13">
        <v>27.55</v>
      </c>
      <c r="O51" s="14">
        <v>9.755277181064935</v>
      </c>
      <c r="P51" s="14">
        <v>4</v>
      </c>
      <c r="Q51" s="14">
        <v>7.5</v>
      </c>
      <c r="R51" s="14">
        <v>2.5</v>
      </c>
      <c r="S51" s="14">
        <v>5</v>
      </c>
      <c r="T51" s="14">
        <f t="shared" si="1"/>
        <v>56.305277181064938</v>
      </c>
      <c r="V51" s="15">
        <f t="shared" si="2"/>
        <v>7.0699636738840221E-2</v>
      </c>
      <c r="W51" s="15">
        <f t="shared" si="3"/>
        <v>7.5102855134808147E-2</v>
      </c>
      <c r="Y51" s="15">
        <f t="shared" si="4"/>
        <v>6.502153137682215E-2</v>
      </c>
    </row>
    <row r="52" spans="1:25" x14ac:dyDescent="0.3">
      <c r="A52" s="5">
        <v>35</v>
      </c>
      <c r="B52" s="5">
        <v>3500</v>
      </c>
      <c r="C52" s="5">
        <v>1166</v>
      </c>
      <c r="D52" s="5" t="s">
        <v>33</v>
      </c>
      <c r="E52" s="5" t="s">
        <v>34</v>
      </c>
      <c r="F52" s="13">
        <v>45</v>
      </c>
      <c r="G52" s="13" t="s">
        <v>81</v>
      </c>
      <c r="H52" s="13">
        <v>455</v>
      </c>
      <c r="I52" s="13">
        <v>32</v>
      </c>
      <c r="J52" s="13">
        <v>38</v>
      </c>
      <c r="K52" s="13">
        <v>69</v>
      </c>
      <c r="L52" s="13">
        <v>316</v>
      </c>
      <c r="M52" s="13">
        <f t="shared" si="0"/>
        <v>455</v>
      </c>
      <c r="N52" s="14">
        <v>27</v>
      </c>
      <c r="O52" s="14">
        <v>9.7802197802197792</v>
      </c>
      <c r="P52" s="14">
        <v>4</v>
      </c>
      <c r="Q52" s="14">
        <v>7.5</v>
      </c>
      <c r="R52" s="14">
        <v>2.5</v>
      </c>
      <c r="S52" s="14">
        <v>5</v>
      </c>
      <c r="T52" s="14">
        <f t="shared" si="1"/>
        <v>55.780219780219781</v>
      </c>
      <c r="V52" s="15">
        <f t="shared" si="2"/>
        <v>0.16334785314250155</v>
      </c>
      <c r="W52" s="15">
        <f t="shared" si="3"/>
        <v>0.17750865604008104</v>
      </c>
      <c r="Y52" s="15">
        <f t="shared" si="4"/>
        <v>0.15185965248193001</v>
      </c>
    </row>
    <row r="53" spans="1:25" x14ac:dyDescent="0.3">
      <c r="A53" s="5">
        <v>35</v>
      </c>
      <c r="B53" s="5">
        <v>3500</v>
      </c>
      <c r="C53" s="5">
        <v>1167</v>
      </c>
      <c r="D53" s="5" t="s">
        <v>33</v>
      </c>
      <c r="E53" s="5" t="s">
        <v>34</v>
      </c>
      <c r="F53" s="13">
        <v>46</v>
      </c>
      <c r="G53" s="13" t="s">
        <v>82</v>
      </c>
      <c r="H53" s="13">
        <v>16</v>
      </c>
      <c r="I53" s="13">
        <v>0</v>
      </c>
      <c r="J53" s="13">
        <v>4</v>
      </c>
      <c r="K53" s="13">
        <v>12</v>
      </c>
      <c r="L53" s="13">
        <v>0</v>
      </c>
      <c r="M53" s="13">
        <f t="shared" si="0"/>
        <v>16</v>
      </c>
      <c r="N53" s="14">
        <v>27.18</v>
      </c>
      <c r="O53" s="14">
        <v>9.7895862827918787</v>
      </c>
      <c r="P53" s="14">
        <v>4</v>
      </c>
      <c r="Q53" s="14">
        <v>8</v>
      </c>
      <c r="R53" s="14">
        <v>3</v>
      </c>
      <c r="S53" s="14">
        <v>5</v>
      </c>
      <c r="T53" s="14">
        <f t="shared" si="1"/>
        <v>56.96958628279188</v>
      </c>
      <c r="V53" s="15">
        <f t="shared" si="2"/>
        <v>5.7823943324876743E-3</v>
      </c>
      <c r="W53" s="15">
        <f t="shared" si="3"/>
        <v>6.248040644482874E-3</v>
      </c>
      <c r="Y53" s="15">
        <f t="shared" si="4"/>
        <v>5.4539836563871407E-3</v>
      </c>
    </row>
    <row r="54" spans="1:25" x14ac:dyDescent="0.3">
      <c r="A54" s="5">
        <v>35</v>
      </c>
      <c r="B54" s="5">
        <v>3500</v>
      </c>
      <c r="C54" s="5">
        <v>1168</v>
      </c>
      <c r="D54" s="5" t="s">
        <v>33</v>
      </c>
      <c r="E54" s="5" t="s">
        <v>34</v>
      </c>
      <c r="F54" s="13">
        <v>47</v>
      </c>
      <c r="G54" s="13" t="s">
        <v>83</v>
      </c>
      <c r="H54" s="13">
        <v>32</v>
      </c>
      <c r="I54" s="13">
        <v>0</v>
      </c>
      <c r="J54" s="13">
        <v>0</v>
      </c>
      <c r="K54" s="13">
        <v>32</v>
      </c>
      <c r="L54" s="13">
        <v>0</v>
      </c>
      <c r="M54" s="13">
        <f t="shared" si="0"/>
        <v>32</v>
      </c>
      <c r="N54" s="14">
        <v>22.54</v>
      </c>
      <c r="O54" s="14">
        <v>9.375</v>
      </c>
      <c r="P54" s="14">
        <v>4</v>
      </c>
      <c r="Q54" s="14">
        <v>8</v>
      </c>
      <c r="R54" s="14">
        <v>3</v>
      </c>
      <c r="S54" s="14">
        <v>5</v>
      </c>
      <c r="T54" s="14">
        <f t="shared" si="1"/>
        <v>51.914999999999999</v>
      </c>
      <c r="V54" s="15">
        <f t="shared" si="2"/>
        <v>9.5905201070104595E-3</v>
      </c>
      <c r="W54" s="15">
        <f t="shared" si="3"/>
        <v>1.1966875688095352E-2</v>
      </c>
      <c r="Y54" s="15">
        <f t="shared" si="4"/>
        <v>9.9401656215595234E-3</v>
      </c>
    </row>
    <row r="55" spans="1:25" x14ac:dyDescent="0.3">
      <c r="A55" s="5">
        <v>35</v>
      </c>
      <c r="B55" s="5">
        <v>3500</v>
      </c>
      <c r="C55" s="5">
        <v>1169</v>
      </c>
      <c r="D55" s="5" t="s">
        <v>33</v>
      </c>
      <c r="E55" s="5" t="s">
        <v>34</v>
      </c>
      <c r="F55" s="13">
        <v>48</v>
      </c>
      <c r="G55" s="13" t="s">
        <v>84</v>
      </c>
      <c r="H55" s="13">
        <v>46</v>
      </c>
      <c r="I55" s="13">
        <v>0</v>
      </c>
      <c r="J55" s="13">
        <v>19</v>
      </c>
      <c r="K55" s="13">
        <v>27</v>
      </c>
      <c r="L55" s="13">
        <v>0</v>
      </c>
      <c r="M55" s="13">
        <f t="shared" si="0"/>
        <v>46</v>
      </c>
      <c r="N55" s="14">
        <v>27.43</v>
      </c>
      <c r="O55" s="14">
        <v>8.7005024838146809</v>
      </c>
      <c r="P55" s="14">
        <v>4</v>
      </c>
      <c r="Q55" s="14">
        <v>8</v>
      </c>
      <c r="R55" s="14">
        <v>3</v>
      </c>
      <c r="S55" s="14">
        <v>5</v>
      </c>
      <c r="T55" s="14">
        <f t="shared" si="1"/>
        <v>56.130502483814681</v>
      </c>
      <c r="V55" s="15">
        <f t="shared" si="2"/>
        <v>1.6777293784138836E-2</v>
      </c>
      <c r="W55" s="15">
        <f t="shared" si="3"/>
        <v>1.5964734185992188E-2</v>
      </c>
      <c r="Y55" s="15">
        <f t="shared" si="4"/>
        <v>1.5449255147285167E-2</v>
      </c>
    </row>
    <row r="56" spans="1:25" x14ac:dyDescent="0.3">
      <c r="A56" s="5">
        <v>35</v>
      </c>
      <c r="B56" s="5">
        <v>3500</v>
      </c>
      <c r="C56" s="5">
        <v>1170</v>
      </c>
      <c r="D56" s="5" t="s">
        <v>33</v>
      </c>
      <c r="E56" s="5" t="s">
        <v>34</v>
      </c>
      <c r="F56" s="13">
        <v>49</v>
      </c>
      <c r="G56" s="13" t="s">
        <v>220</v>
      </c>
      <c r="H56" s="13">
        <v>59</v>
      </c>
      <c r="I56" s="13">
        <v>35</v>
      </c>
      <c r="J56" s="13">
        <v>24</v>
      </c>
      <c r="K56" s="13">
        <v>0</v>
      </c>
      <c r="L56" s="13">
        <v>0</v>
      </c>
      <c r="M56" s="13">
        <f t="shared" si="0"/>
        <v>59</v>
      </c>
      <c r="N56" s="14">
        <v>21.83</v>
      </c>
      <c r="O56" s="14">
        <v>7.7617990125266818</v>
      </c>
      <c r="P56" s="14">
        <v>4</v>
      </c>
      <c r="Q56" s="14">
        <v>8</v>
      </c>
      <c r="R56" s="14">
        <v>3</v>
      </c>
      <c r="S56" s="14">
        <v>5</v>
      </c>
      <c r="T56" s="14">
        <f t="shared" si="1"/>
        <v>49.591799012526678</v>
      </c>
      <c r="V56" s="15">
        <f t="shared" si="2"/>
        <v>1.7125529866662409E-2</v>
      </c>
      <c r="W56" s="15">
        <f t="shared" si="3"/>
        <v>1.8267281833447984E-2</v>
      </c>
      <c r="Y56" s="15">
        <f t="shared" si="4"/>
        <v>1.7507037370991539E-2</v>
      </c>
    </row>
    <row r="57" spans="1:25" x14ac:dyDescent="0.3">
      <c r="A57" s="5">
        <v>35</v>
      </c>
      <c r="B57" s="5">
        <v>3500</v>
      </c>
      <c r="C57" s="5">
        <v>1171</v>
      </c>
      <c r="D57" s="5" t="s">
        <v>33</v>
      </c>
      <c r="E57" s="5" t="s">
        <v>34</v>
      </c>
      <c r="F57" s="13">
        <v>50</v>
      </c>
      <c r="G57" s="13" t="s">
        <v>86</v>
      </c>
      <c r="H57" s="13">
        <v>119</v>
      </c>
      <c r="I57" s="13">
        <v>0</v>
      </c>
      <c r="J57" s="13">
        <v>21</v>
      </c>
      <c r="K57" s="13">
        <v>53</v>
      </c>
      <c r="L57" s="13">
        <v>45</v>
      </c>
      <c r="M57" s="13">
        <f t="shared" si="0"/>
        <v>119</v>
      </c>
      <c r="N57" s="14">
        <v>28.83</v>
      </c>
      <c r="O57" s="14">
        <v>9.1239141591742854</v>
      </c>
      <c r="P57" s="14">
        <v>5</v>
      </c>
      <c r="Q57" s="14">
        <v>9</v>
      </c>
      <c r="R57" s="14">
        <v>2.5</v>
      </c>
      <c r="S57" s="14">
        <v>5</v>
      </c>
      <c r="T57" s="14">
        <f t="shared" si="1"/>
        <v>59.453914159174282</v>
      </c>
      <c r="V57" s="15">
        <f t="shared" si="2"/>
        <v>4.5617331227163209E-2</v>
      </c>
      <c r="W57" s="15">
        <f t="shared" si="3"/>
        <v>4.3309949457571044E-2</v>
      </c>
      <c r="Y57" s="15">
        <f t="shared" si="4"/>
        <v>4.2332917194855074E-2</v>
      </c>
    </row>
    <row r="58" spans="1:25" x14ac:dyDescent="0.3">
      <c r="A58" s="5">
        <v>35</v>
      </c>
      <c r="B58" s="5">
        <v>3500</v>
      </c>
      <c r="C58" s="5">
        <v>1172</v>
      </c>
      <c r="D58" s="5" t="s">
        <v>33</v>
      </c>
      <c r="E58" s="5" t="s">
        <v>34</v>
      </c>
      <c r="F58" s="13">
        <v>51</v>
      </c>
      <c r="G58" s="13" t="s">
        <v>87</v>
      </c>
      <c r="H58" s="13">
        <v>1926</v>
      </c>
      <c r="I58" s="13">
        <v>301</v>
      </c>
      <c r="J58" s="13">
        <v>636</v>
      </c>
      <c r="K58" s="13">
        <v>774</v>
      </c>
      <c r="L58" s="13">
        <v>215</v>
      </c>
      <c r="M58" s="13">
        <f t="shared" si="0"/>
        <v>1926</v>
      </c>
      <c r="N58" s="14">
        <v>25.99</v>
      </c>
      <c r="O58" s="14">
        <v>8.9494935804924651</v>
      </c>
      <c r="P58" s="14">
        <v>4</v>
      </c>
      <c r="Q58" s="14">
        <v>7.5</v>
      </c>
      <c r="R58" s="14">
        <v>2.5</v>
      </c>
      <c r="S58" s="14">
        <v>5</v>
      </c>
      <c r="T58" s="14">
        <f t="shared" si="1"/>
        <v>53.939493580492467</v>
      </c>
      <c r="V58" s="15">
        <f t="shared" si="2"/>
        <v>0.6655808721459</v>
      </c>
      <c r="W58" s="15">
        <f t="shared" si="3"/>
        <v>0.68756580329761163</v>
      </c>
      <c r="Y58" s="15">
        <f t="shared" si="4"/>
        <v>0.62160418742537749</v>
      </c>
    </row>
    <row r="59" spans="1:25" x14ac:dyDescent="0.3">
      <c r="A59" s="5">
        <v>35</v>
      </c>
      <c r="B59" s="5">
        <v>3500</v>
      </c>
      <c r="C59" s="5">
        <v>1173</v>
      </c>
      <c r="D59" s="5" t="s">
        <v>33</v>
      </c>
      <c r="E59" s="5" t="s">
        <v>34</v>
      </c>
      <c r="F59" s="13">
        <v>52</v>
      </c>
      <c r="G59" s="13" t="s">
        <v>88</v>
      </c>
      <c r="H59" s="13">
        <v>165</v>
      </c>
      <c r="I59" s="13">
        <v>23</v>
      </c>
      <c r="J59" s="13">
        <v>37</v>
      </c>
      <c r="K59" s="13">
        <v>54</v>
      </c>
      <c r="L59" s="13">
        <v>51</v>
      </c>
      <c r="M59" s="13">
        <f t="shared" si="0"/>
        <v>165</v>
      </c>
      <c r="N59" s="14">
        <v>21.53</v>
      </c>
      <c r="O59" s="14">
        <v>7.0083582917756821</v>
      </c>
      <c r="P59" s="14">
        <v>4</v>
      </c>
      <c r="Q59" s="14">
        <v>7.5</v>
      </c>
      <c r="R59" s="14">
        <v>2.5</v>
      </c>
      <c r="S59" s="14">
        <v>7</v>
      </c>
      <c r="T59" s="14">
        <f t="shared" si="1"/>
        <v>49.53835829177568</v>
      </c>
      <c r="V59" s="15">
        <f t="shared" si="2"/>
        <v>4.723525282019371E-2</v>
      </c>
      <c r="W59" s="15">
        <f t="shared" si="3"/>
        <v>4.6127483850421529E-2</v>
      </c>
      <c r="Y59" s="15">
        <f t="shared" si="4"/>
        <v>4.8907598476275592E-2</v>
      </c>
    </row>
    <row r="60" spans="1:25" x14ac:dyDescent="0.3">
      <c r="A60" s="5">
        <v>35</v>
      </c>
      <c r="B60" s="5">
        <v>3500</v>
      </c>
      <c r="C60" s="5">
        <v>1174</v>
      </c>
      <c r="D60" s="5" t="s">
        <v>33</v>
      </c>
      <c r="E60" s="5" t="s">
        <v>34</v>
      </c>
      <c r="F60" s="13">
        <v>53</v>
      </c>
      <c r="G60" s="13" t="s">
        <v>89</v>
      </c>
      <c r="H60" s="13">
        <v>551</v>
      </c>
      <c r="I60" s="13">
        <v>48</v>
      </c>
      <c r="J60" s="13">
        <v>98</v>
      </c>
      <c r="K60" s="13">
        <v>216</v>
      </c>
      <c r="L60" s="13">
        <v>189</v>
      </c>
      <c r="M60" s="13">
        <f t="shared" si="0"/>
        <v>551</v>
      </c>
      <c r="N60" s="14">
        <v>27</v>
      </c>
      <c r="O60" s="14">
        <v>9.2445069620926805</v>
      </c>
      <c r="P60" s="14">
        <v>5</v>
      </c>
      <c r="Q60" s="14">
        <v>8</v>
      </c>
      <c r="R60" s="14">
        <v>2.5</v>
      </c>
      <c r="S60" s="14">
        <v>5</v>
      </c>
      <c r="T60" s="14">
        <f t="shared" si="1"/>
        <v>56.744506962092679</v>
      </c>
      <c r="V60" s="15">
        <f t="shared" si="2"/>
        <v>0.19781245512421616</v>
      </c>
      <c r="W60" s="15">
        <f t="shared" si="3"/>
        <v>0.20318651317605135</v>
      </c>
      <c r="Y60" s="15">
        <f t="shared" si="4"/>
        <v>0.18707950394974551</v>
      </c>
    </row>
    <row r="61" spans="1:25" s="32" customFormat="1" x14ac:dyDescent="0.3">
      <c r="A61" s="32">
        <v>35</v>
      </c>
      <c r="B61" s="32">
        <v>3500</v>
      </c>
      <c r="C61" s="32">
        <v>1175</v>
      </c>
      <c r="D61" s="32" t="s">
        <v>33</v>
      </c>
      <c r="E61" s="32" t="s">
        <v>34</v>
      </c>
      <c r="F61" s="33">
        <v>54</v>
      </c>
      <c r="G61" s="33" t="s">
        <v>90</v>
      </c>
      <c r="H61" s="33">
        <v>2946</v>
      </c>
      <c r="I61" s="33">
        <v>345</v>
      </c>
      <c r="J61" s="33">
        <v>964</v>
      </c>
      <c r="K61" s="33">
        <v>784</v>
      </c>
      <c r="L61" s="33">
        <v>853</v>
      </c>
      <c r="M61" s="33">
        <f t="shared" si="0"/>
        <v>2946</v>
      </c>
      <c r="N61" s="34">
        <v>38.83</v>
      </c>
      <c r="O61" s="34">
        <v>11.46</v>
      </c>
      <c r="P61" s="34">
        <v>4.34</v>
      </c>
      <c r="Q61" s="34">
        <v>6.02</v>
      </c>
      <c r="R61" s="34">
        <v>2.9</v>
      </c>
      <c r="S61" s="34">
        <v>4.76</v>
      </c>
      <c r="T61" s="34">
        <f t="shared" si="1"/>
        <v>68.309999999999988</v>
      </c>
      <c r="V61" s="16">
        <f t="shared" si="2"/>
        <v>1.5210321829176836</v>
      </c>
      <c r="W61" s="16">
        <f t="shared" si="3"/>
        <v>1.3467186826863244</v>
      </c>
      <c r="Y61" s="16">
        <f t="shared" si="4"/>
        <v>1.2041145708678376</v>
      </c>
    </row>
    <row r="62" spans="1:25" x14ac:dyDescent="0.3">
      <c r="A62" s="5">
        <v>35</v>
      </c>
      <c r="B62" s="5">
        <v>3500</v>
      </c>
      <c r="C62" s="5">
        <v>1176</v>
      </c>
      <c r="D62" s="5" t="s">
        <v>33</v>
      </c>
      <c r="E62" s="5" t="s">
        <v>34</v>
      </c>
      <c r="F62" s="13">
        <v>55</v>
      </c>
      <c r="G62" s="13" t="s">
        <v>91</v>
      </c>
      <c r="H62" s="13">
        <v>69</v>
      </c>
      <c r="I62" s="13">
        <v>9</v>
      </c>
      <c r="J62" s="13">
        <v>17</v>
      </c>
      <c r="K62" s="13">
        <v>43</v>
      </c>
      <c r="L62" s="13">
        <v>0</v>
      </c>
      <c r="M62" s="13">
        <f t="shared" si="0"/>
        <v>69</v>
      </c>
      <c r="N62" s="14">
        <v>24.75</v>
      </c>
      <c r="O62" s="14">
        <v>11.92</v>
      </c>
      <c r="P62" s="14">
        <v>5.2</v>
      </c>
      <c r="Q62" s="14">
        <v>12.2</v>
      </c>
      <c r="R62" s="14">
        <v>3.2</v>
      </c>
      <c r="S62" s="14">
        <v>5</v>
      </c>
      <c r="T62" s="14">
        <f t="shared" si="1"/>
        <v>62.27000000000001</v>
      </c>
      <c r="V62" s="15">
        <f t="shared" si="2"/>
        <v>2.2707146618160933E-2</v>
      </c>
      <c r="W62" s="15">
        <f t="shared" si="3"/>
        <v>3.2808386386482216E-2</v>
      </c>
      <c r="Y62" s="15">
        <f t="shared" si="4"/>
        <v>2.5708618543870573E-2</v>
      </c>
    </row>
    <row r="63" spans="1:25" x14ac:dyDescent="0.3">
      <c r="A63" s="5">
        <v>35</v>
      </c>
      <c r="B63" s="5">
        <v>3500</v>
      </c>
      <c r="C63" s="5">
        <v>1177</v>
      </c>
      <c r="D63" s="5" t="s">
        <v>33</v>
      </c>
      <c r="E63" s="5" t="s">
        <v>34</v>
      </c>
      <c r="F63" s="13">
        <v>56</v>
      </c>
      <c r="G63" s="13" t="s">
        <v>92</v>
      </c>
      <c r="H63" s="13">
        <v>54</v>
      </c>
      <c r="I63" s="13">
        <v>35</v>
      </c>
      <c r="J63" s="13">
        <v>19</v>
      </c>
      <c r="K63" s="13">
        <v>0</v>
      </c>
      <c r="L63" s="13">
        <v>0</v>
      </c>
      <c r="M63" s="13">
        <f t="shared" si="0"/>
        <v>54</v>
      </c>
      <c r="N63" s="14">
        <v>29.82</v>
      </c>
      <c r="O63" s="14">
        <v>8.9123533705671658</v>
      </c>
      <c r="P63" s="14">
        <v>5</v>
      </c>
      <c r="Q63" s="14">
        <v>7.25</v>
      </c>
      <c r="R63" s="14">
        <v>2.7</v>
      </c>
      <c r="S63" s="14">
        <v>5</v>
      </c>
      <c r="T63" s="14">
        <f t="shared" si="1"/>
        <v>58.682353370567171</v>
      </c>
      <c r="V63" s="15">
        <f t="shared" si="2"/>
        <v>2.1411133981140206E-2</v>
      </c>
      <c r="W63" s="15">
        <f t="shared" si="3"/>
        <v>1.9197544477311878E-2</v>
      </c>
      <c r="Y63" s="15">
        <f t="shared" si="4"/>
        <v>1.8960599552502438E-2</v>
      </c>
    </row>
    <row r="64" spans="1:25" x14ac:dyDescent="0.3">
      <c r="A64" s="5">
        <v>35</v>
      </c>
      <c r="B64" s="5">
        <v>3500</v>
      </c>
      <c r="C64" s="5">
        <v>1178</v>
      </c>
      <c r="D64" s="5" t="s">
        <v>33</v>
      </c>
      <c r="E64" s="5" t="s">
        <v>34</v>
      </c>
      <c r="F64" s="13">
        <v>57</v>
      </c>
      <c r="G64" s="13" t="s">
        <v>93</v>
      </c>
      <c r="H64" s="13">
        <v>23</v>
      </c>
      <c r="I64" s="13">
        <v>16</v>
      </c>
      <c r="J64" s="13">
        <v>7</v>
      </c>
      <c r="K64" s="13">
        <v>0</v>
      </c>
      <c r="L64" s="13">
        <v>0</v>
      </c>
      <c r="M64" s="13">
        <f t="shared" si="0"/>
        <v>23</v>
      </c>
      <c r="N64" s="14">
        <v>29.66</v>
      </c>
      <c r="O64" s="14">
        <v>8.7451789398152293</v>
      </c>
      <c r="P64" s="14">
        <v>5</v>
      </c>
      <c r="Q64" s="14">
        <v>7.5</v>
      </c>
      <c r="R64" s="14">
        <v>3.2</v>
      </c>
      <c r="S64" s="14">
        <v>5</v>
      </c>
      <c r="T64" s="14">
        <f t="shared" si="1"/>
        <v>59.105178939815232</v>
      </c>
      <c r="V64" s="15">
        <f t="shared" si="2"/>
        <v>9.0706258410054308E-3</v>
      </c>
      <c r="W64" s="15">
        <f t="shared" si="3"/>
        <v>8.0233559752904068E-3</v>
      </c>
      <c r="Y64" s="15">
        <f t="shared" si="4"/>
        <v>8.1339997822971032E-3</v>
      </c>
    </row>
    <row r="65" spans="1:25" x14ac:dyDescent="0.3">
      <c r="A65" s="5">
        <v>35</v>
      </c>
      <c r="B65" s="5">
        <v>3500</v>
      </c>
      <c r="C65" s="5">
        <v>1179</v>
      </c>
      <c r="D65" s="5" t="s">
        <v>33</v>
      </c>
      <c r="E65" s="5" t="s">
        <v>34</v>
      </c>
      <c r="F65" s="13">
        <v>58</v>
      </c>
      <c r="G65" s="13" t="s">
        <v>94</v>
      </c>
      <c r="H65" s="13">
        <v>42</v>
      </c>
      <c r="I65" s="13">
        <v>22</v>
      </c>
      <c r="J65" s="13">
        <v>20</v>
      </c>
      <c r="K65" s="13">
        <v>0</v>
      </c>
      <c r="L65" s="13">
        <v>0</v>
      </c>
      <c r="M65" s="13">
        <f t="shared" si="0"/>
        <v>42</v>
      </c>
      <c r="N65" s="14">
        <v>28.87</v>
      </c>
      <c r="O65" s="14">
        <v>6.0771607504973666</v>
      </c>
      <c r="P65" s="14">
        <v>5</v>
      </c>
      <c r="Q65" s="14">
        <v>7.6</v>
      </c>
      <c r="R65" s="14">
        <v>3.2</v>
      </c>
      <c r="S65" s="14">
        <v>5</v>
      </c>
      <c r="T65" s="14">
        <f t="shared" si="1"/>
        <v>55.747160750497372</v>
      </c>
      <c r="V65" s="15">
        <f t="shared" si="2"/>
        <v>1.6122572718714596E-2</v>
      </c>
      <c r="W65" s="15">
        <f t="shared" si="3"/>
        <v>1.0181447813288395E-2</v>
      </c>
      <c r="Y65" s="15">
        <f t="shared" si="4"/>
        <v>1.4009506195974878E-2</v>
      </c>
    </row>
    <row r="66" spans="1:25" x14ac:dyDescent="0.3">
      <c r="A66" s="5">
        <v>35</v>
      </c>
      <c r="B66" s="5">
        <v>3500</v>
      </c>
      <c r="C66" s="5">
        <v>1180</v>
      </c>
      <c r="D66" s="5" t="s">
        <v>33</v>
      </c>
      <c r="E66" s="5" t="s">
        <v>34</v>
      </c>
      <c r="F66" s="13">
        <v>59</v>
      </c>
      <c r="G66" s="13" t="s">
        <v>95</v>
      </c>
      <c r="H66" s="13">
        <v>51</v>
      </c>
      <c r="I66" s="13">
        <v>24</v>
      </c>
      <c r="J66" s="13">
        <v>18</v>
      </c>
      <c r="K66" s="13">
        <v>9</v>
      </c>
      <c r="L66" s="13">
        <v>0</v>
      </c>
      <c r="M66" s="13">
        <f t="shared" si="0"/>
        <v>51</v>
      </c>
      <c r="N66" s="14">
        <v>12.66</v>
      </c>
      <c r="O66" s="14">
        <v>7</v>
      </c>
      <c r="P66" s="14">
        <v>5</v>
      </c>
      <c r="Q66" s="14">
        <v>10.6</v>
      </c>
      <c r="R66" s="14">
        <v>3.2</v>
      </c>
      <c r="S66" s="14">
        <v>5</v>
      </c>
      <c r="T66" s="14">
        <f t="shared" si="1"/>
        <v>43.46</v>
      </c>
      <c r="V66" s="15">
        <f t="shared" si="2"/>
        <v>8.5850366186396056E-3</v>
      </c>
      <c r="W66" s="15">
        <f t="shared" si="3"/>
        <v>1.4240582068833468E-2</v>
      </c>
      <c r="Y66" s="15">
        <f t="shared" si="4"/>
        <v>1.3262050643817913E-2</v>
      </c>
    </row>
    <row r="67" spans="1:25" x14ac:dyDescent="0.3">
      <c r="A67" s="5">
        <v>35</v>
      </c>
      <c r="B67" s="5">
        <v>3500</v>
      </c>
      <c r="C67" s="5">
        <v>1181</v>
      </c>
      <c r="D67" s="5" t="s">
        <v>33</v>
      </c>
      <c r="E67" s="5" t="s">
        <v>34</v>
      </c>
      <c r="F67" s="13">
        <v>60</v>
      </c>
      <c r="G67" s="13" t="s">
        <v>96</v>
      </c>
      <c r="H67" s="13">
        <v>82</v>
      </c>
      <c r="I67" s="13">
        <v>48</v>
      </c>
      <c r="J67" s="13">
        <v>34</v>
      </c>
      <c r="K67" s="13">
        <v>0</v>
      </c>
      <c r="L67" s="13">
        <v>0</v>
      </c>
      <c r="M67" s="13">
        <f t="shared" si="0"/>
        <v>82</v>
      </c>
      <c r="N67" s="14">
        <v>16.510000000000002</v>
      </c>
      <c r="O67" s="14">
        <v>8.0236961493757271</v>
      </c>
      <c r="P67" s="14">
        <v>5.2</v>
      </c>
      <c r="Q67" s="14">
        <v>12.2</v>
      </c>
      <c r="R67" s="14">
        <v>3.2</v>
      </c>
      <c r="S67" s="14">
        <v>5</v>
      </c>
      <c r="T67" s="14">
        <f t="shared" si="1"/>
        <v>50.13369614937573</v>
      </c>
      <c r="V67" s="15">
        <f t="shared" si="2"/>
        <v>1.8001106271174724E-2</v>
      </c>
      <c r="W67" s="15">
        <f t="shared" si="3"/>
        <v>2.6245076996825177E-2</v>
      </c>
      <c r="Y67" s="15">
        <f t="shared" si="4"/>
        <v>2.4597692093777282E-2</v>
      </c>
    </row>
    <row r="68" spans="1:25" x14ac:dyDescent="0.3">
      <c r="A68" s="5">
        <v>35</v>
      </c>
      <c r="B68" s="5">
        <v>3500</v>
      </c>
      <c r="C68" s="5">
        <v>1182</v>
      </c>
      <c r="D68" s="5" t="s">
        <v>33</v>
      </c>
      <c r="E68" s="5" t="s">
        <v>34</v>
      </c>
      <c r="F68" s="13">
        <v>61</v>
      </c>
      <c r="G68" s="13" t="s">
        <v>97</v>
      </c>
      <c r="H68" s="13">
        <v>62</v>
      </c>
      <c r="I68" s="13">
        <v>15</v>
      </c>
      <c r="J68" s="13">
        <v>19</v>
      </c>
      <c r="K68" s="13">
        <v>28</v>
      </c>
      <c r="L68" s="13">
        <v>0</v>
      </c>
      <c r="M68" s="13">
        <f t="shared" si="0"/>
        <v>62</v>
      </c>
      <c r="N68" s="14">
        <v>15.1</v>
      </c>
      <c r="O68" s="14">
        <v>6.5971000853616468</v>
      </c>
      <c r="P68" s="14">
        <v>5.2</v>
      </c>
      <c r="Q68" s="14">
        <v>12.2</v>
      </c>
      <c r="R68" s="14">
        <v>3.2</v>
      </c>
      <c r="S68" s="14">
        <v>5</v>
      </c>
      <c r="T68" s="14">
        <f t="shared" si="1"/>
        <v>47.297100085361649</v>
      </c>
      <c r="V68" s="15">
        <f t="shared" si="2"/>
        <v>1.2448210021327632E-2</v>
      </c>
      <c r="W68" s="15">
        <f t="shared" si="3"/>
        <v>1.6315646502178854E-2</v>
      </c>
      <c r="Y68" s="15">
        <f t="shared" si="4"/>
        <v>1.7545954030996732E-2</v>
      </c>
    </row>
    <row r="69" spans="1:25" x14ac:dyDescent="0.3">
      <c r="A69" s="5">
        <v>35</v>
      </c>
      <c r="B69" s="5">
        <v>3500</v>
      </c>
      <c r="C69" s="5">
        <v>1183</v>
      </c>
      <c r="D69" s="5" t="s">
        <v>33</v>
      </c>
      <c r="E69" s="5" t="s">
        <v>34</v>
      </c>
      <c r="F69" s="13">
        <v>62</v>
      </c>
      <c r="G69" s="13" t="s">
        <v>98</v>
      </c>
      <c r="H69" s="13">
        <v>56</v>
      </c>
      <c r="I69" s="13">
        <v>15</v>
      </c>
      <c r="J69" s="13">
        <v>12</v>
      </c>
      <c r="K69" s="13">
        <v>29</v>
      </c>
      <c r="L69" s="13">
        <v>0</v>
      </c>
      <c r="M69" s="13">
        <f t="shared" si="0"/>
        <v>56</v>
      </c>
      <c r="N69" s="14">
        <v>34</v>
      </c>
      <c r="O69" s="14">
        <v>7.0422234271181976</v>
      </c>
      <c r="P69" s="14">
        <v>5.2</v>
      </c>
      <c r="Q69" s="14">
        <v>12.45</v>
      </c>
      <c r="R69" s="14">
        <v>3.2</v>
      </c>
      <c r="S69" s="14">
        <v>5</v>
      </c>
      <c r="T69" s="14">
        <f t="shared" si="1"/>
        <v>66.892223427118196</v>
      </c>
      <c r="V69" s="15">
        <f t="shared" si="2"/>
        <v>2.5316590344592833E-2</v>
      </c>
      <c r="W69" s="15">
        <f t="shared" si="3"/>
        <v>1.573103696642171E-2</v>
      </c>
      <c r="Y69" s="15">
        <f t="shared" si="4"/>
        <v>2.2413745823073445E-2</v>
      </c>
    </row>
    <row r="70" spans="1:25" x14ac:dyDescent="0.3">
      <c r="A70" s="5">
        <v>35</v>
      </c>
      <c r="B70" s="5">
        <v>3500</v>
      </c>
      <c r="C70" s="5">
        <v>1184</v>
      </c>
      <c r="D70" s="5" t="s">
        <v>33</v>
      </c>
      <c r="E70" s="5" t="s">
        <v>34</v>
      </c>
      <c r="F70" s="13">
        <v>63</v>
      </c>
      <c r="G70" s="13" t="s">
        <v>99</v>
      </c>
      <c r="H70" s="13">
        <v>38</v>
      </c>
      <c r="I70" s="13">
        <v>9</v>
      </c>
      <c r="J70" s="13">
        <v>11</v>
      </c>
      <c r="K70" s="13">
        <v>18</v>
      </c>
      <c r="L70" s="13">
        <v>0</v>
      </c>
      <c r="M70" s="13">
        <f t="shared" si="0"/>
        <v>38</v>
      </c>
      <c r="N70" s="14">
        <v>17.25</v>
      </c>
      <c r="O70" s="14">
        <v>9.3786648821981675</v>
      </c>
      <c r="P70" s="14">
        <v>4</v>
      </c>
      <c r="Q70" s="14">
        <v>7.5</v>
      </c>
      <c r="R70" s="14">
        <v>2.5</v>
      </c>
      <c r="S70" s="14">
        <v>5</v>
      </c>
      <c r="T70" s="14">
        <f t="shared" si="1"/>
        <v>45.628664882198166</v>
      </c>
      <c r="V70" s="15">
        <f t="shared" si="2"/>
        <v>8.715874459496115E-3</v>
      </c>
      <c r="W70" s="15">
        <f t="shared" si="3"/>
        <v>1.4216220123638983E-2</v>
      </c>
      <c r="Y70" s="15">
        <f t="shared" si="4"/>
        <v>1.0374618648721521E-2</v>
      </c>
    </row>
    <row r="71" spans="1:25" x14ac:dyDescent="0.3">
      <c r="A71" s="5">
        <v>35</v>
      </c>
      <c r="B71" s="5">
        <v>3500</v>
      </c>
      <c r="C71" s="5">
        <v>1185</v>
      </c>
      <c r="D71" s="5" t="s">
        <v>33</v>
      </c>
      <c r="E71" s="5" t="s">
        <v>34</v>
      </c>
      <c r="F71" s="13">
        <v>64</v>
      </c>
      <c r="G71" s="13" t="s">
        <v>100</v>
      </c>
      <c r="H71" s="13">
        <v>45</v>
      </c>
      <c r="I71" s="13">
        <v>20</v>
      </c>
      <c r="J71" s="13">
        <v>17</v>
      </c>
      <c r="K71" s="13">
        <v>8</v>
      </c>
      <c r="L71" s="13">
        <v>0</v>
      </c>
      <c r="M71" s="13">
        <f t="shared" ref="M71:M134" si="5">SUM(I71:L71)</f>
        <v>45</v>
      </c>
      <c r="N71" s="14">
        <v>5.3</v>
      </c>
      <c r="O71" s="14">
        <v>9.8590413423124215</v>
      </c>
      <c r="P71" s="14">
        <v>4</v>
      </c>
      <c r="Q71" s="14">
        <v>7.5</v>
      </c>
      <c r="R71" s="14">
        <v>2.5</v>
      </c>
      <c r="S71" s="14">
        <v>5</v>
      </c>
      <c r="T71" s="14">
        <f t="shared" ref="T71:T134" si="6">SUM(N71:S71)</f>
        <v>34.15904134231242</v>
      </c>
      <c r="V71" s="15">
        <f t="shared" ref="V71:V134" si="7">(((N71/45)*100)*H71)/$H$190</f>
        <v>3.1712220573452683E-3</v>
      </c>
      <c r="W71" s="15">
        <f t="shared" ref="W71:W134" si="8">(((O71/15)*100)*H71)/$H$190</f>
        <v>1.7697288322086824E-2</v>
      </c>
      <c r="Y71" s="15">
        <f t="shared" ref="Y71:Y134" si="9">(T71*H71)/$H$190</f>
        <v>9.1974825307791566E-3</v>
      </c>
    </row>
    <row r="72" spans="1:25" x14ac:dyDescent="0.3">
      <c r="A72" s="5">
        <v>35</v>
      </c>
      <c r="B72" s="5">
        <v>3500</v>
      </c>
      <c r="C72" s="5">
        <v>1186</v>
      </c>
      <c r="D72" s="5" t="s">
        <v>33</v>
      </c>
      <c r="E72" s="5" t="s">
        <v>34</v>
      </c>
      <c r="F72" s="13">
        <v>65</v>
      </c>
      <c r="G72" s="13" t="s">
        <v>101</v>
      </c>
      <c r="H72" s="13">
        <v>461</v>
      </c>
      <c r="I72" s="13">
        <v>45</v>
      </c>
      <c r="J72" s="13">
        <v>100</v>
      </c>
      <c r="K72" s="13">
        <v>186</v>
      </c>
      <c r="L72" s="13">
        <v>130</v>
      </c>
      <c r="M72" s="13">
        <f t="shared" si="5"/>
        <v>461</v>
      </c>
      <c r="N72" s="14">
        <v>19.7</v>
      </c>
      <c r="O72" s="14">
        <v>12.18</v>
      </c>
      <c r="P72" s="14">
        <v>3.94</v>
      </c>
      <c r="Q72" s="14">
        <v>8.9</v>
      </c>
      <c r="R72" s="14">
        <v>2.85</v>
      </c>
      <c r="S72" s="14">
        <v>5</v>
      </c>
      <c r="T72" s="14">
        <f t="shared" si="6"/>
        <v>52.57</v>
      </c>
      <c r="V72" s="15">
        <f t="shared" si="7"/>
        <v>0.12075508326286173</v>
      </c>
      <c r="W72" s="15">
        <f t="shared" si="8"/>
        <v>0.22397922550380545</v>
      </c>
      <c r="Y72" s="15">
        <f t="shared" si="9"/>
        <v>0.14500723995979131</v>
      </c>
    </row>
    <row r="73" spans="1:25" x14ac:dyDescent="0.3">
      <c r="A73" s="5">
        <v>35</v>
      </c>
      <c r="B73" s="5">
        <v>3500</v>
      </c>
      <c r="C73" s="5">
        <v>1187</v>
      </c>
      <c r="D73" s="5" t="s">
        <v>33</v>
      </c>
      <c r="E73" s="5" t="s">
        <v>34</v>
      </c>
      <c r="F73" s="13">
        <v>66</v>
      </c>
      <c r="G73" s="13" t="s">
        <v>102</v>
      </c>
      <c r="H73" s="13">
        <v>369</v>
      </c>
      <c r="I73" s="13">
        <v>29</v>
      </c>
      <c r="J73" s="13">
        <v>43</v>
      </c>
      <c r="K73" s="13">
        <v>155</v>
      </c>
      <c r="L73" s="13">
        <v>142</v>
      </c>
      <c r="M73" s="13">
        <f t="shared" si="5"/>
        <v>369</v>
      </c>
      <c r="N73" s="14">
        <v>18.079999999999998</v>
      </c>
      <c r="O73" s="14">
        <v>14.66</v>
      </c>
      <c r="P73" s="14">
        <v>7.5</v>
      </c>
      <c r="Q73" s="14">
        <v>11.25</v>
      </c>
      <c r="R73" s="14">
        <v>3.8</v>
      </c>
      <c r="S73" s="14">
        <v>7</v>
      </c>
      <c r="T73" s="14">
        <f t="shared" si="6"/>
        <v>62.289999999999992</v>
      </c>
      <c r="V73" s="15">
        <f t="shared" si="7"/>
        <v>8.8708056100713209E-2</v>
      </c>
      <c r="W73" s="15">
        <f t="shared" si="8"/>
        <v>0.21578430903259777</v>
      </c>
      <c r="Y73" s="15">
        <f t="shared" si="9"/>
        <v>0.13752937867981427</v>
      </c>
    </row>
    <row r="74" spans="1:25" x14ac:dyDescent="0.3">
      <c r="A74" s="5">
        <v>35</v>
      </c>
      <c r="B74" s="5">
        <v>3500</v>
      </c>
      <c r="C74" s="5">
        <v>1188</v>
      </c>
      <c r="D74" s="5" t="s">
        <v>33</v>
      </c>
      <c r="E74" s="5" t="s">
        <v>34</v>
      </c>
      <c r="F74" s="13">
        <v>67</v>
      </c>
      <c r="G74" s="13" t="s">
        <v>103</v>
      </c>
      <c r="H74" s="13">
        <v>281</v>
      </c>
      <c r="I74" s="13">
        <v>0</v>
      </c>
      <c r="J74" s="13">
        <v>32</v>
      </c>
      <c r="K74" s="13">
        <v>59</v>
      </c>
      <c r="L74" s="13">
        <v>190</v>
      </c>
      <c r="M74" s="13">
        <f t="shared" si="5"/>
        <v>281</v>
      </c>
      <c r="N74" s="14">
        <v>13.45</v>
      </c>
      <c r="O74" s="14">
        <v>14.35</v>
      </c>
      <c r="P74" s="14">
        <v>7.59</v>
      </c>
      <c r="Q74" s="14">
        <v>11.07</v>
      </c>
      <c r="R74" s="14">
        <v>3.65</v>
      </c>
      <c r="S74" s="14">
        <v>7</v>
      </c>
      <c r="T74" s="14">
        <f t="shared" si="6"/>
        <v>57.11</v>
      </c>
      <c r="V74" s="15">
        <f t="shared" si="7"/>
        <v>5.0253564799302194E-2</v>
      </c>
      <c r="W74" s="15">
        <f t="shared" si="8"/>
        <v>0.16084877060297098</v>
      </c>
      <c r="Y74" s="15">
        <f t="shared" si="9"/>
        <v>9.6021672011871145E-2</v>
      </c>
    </row>
    <row r="75" spans="1:25" x14ac:dyDescent="0.3">
      <c r="A75" s="5">
        <v>35</v>
      </c>
      <c r="B75" s="5">
        <v>3500</v>
      </c>
      <c r="C75" s="5">
        <v>1189</v>
      </c>
      <c r="D75" s="5" t="s">
        <v>33</v>
      </c>
      <c r="E75" s="5" t="s">
        <v>34</v>
      </c>
      <c r="F75" s="13">
        <v>68</v>
      </c>
      <c r="G75" s="13" t="s">
        <v>104</v>
      </c>
      <c r="H75" s="13">
        <v>332</v>
      </c>
      <c r="I75" s="13">
        <v>0</v>
      </c>
      <c r="J75" s="13">
        <v>36</v>
      </c>
      <c r="K75" s="13">
        <v>101</v>
      </c>
      <c r="L75" s="13">
        <v>195</v>
      </c>
      <c r="M75" s="13">
        <f t="shared" si="5"/>
        <v>332</v>
      </c>
      <c r="N75" s="14">
        <v>23.79</v>
      </c>
      <c r="O75" s="14">
        <v>11.57</v>
      </c>
      <c r="P75" s="14">
        <v>8.4600000000000009</v>
      </c>
      <c r="Q75" s="14">
        <v>12.72</v>
      </c>
      <c r="R75" s="14">
        <v>4.03</v>
      </c>
      <c r="S75" s="14">
        <v>7.9</v>
      </c>
      <c r="T75" s="14">
        <f t="shared" si="6"/>
        <v>68.47</v>
      </c>
      <c r="V75" s="15">
        <f t="shared" si="7"/>
        <v>0.10501970545529971</v>
      </c>
      <c r="W75" s="15">
        <f t="shared" si="8"/>
        <v>0.15322547189379795</v>
      </c>
      <c r="Y75" s="15">
        <f t="shared" si="9"/>
        <v>0.13601574840840555</v>
      </c>
    </row>
    <row r="76" spans="1:25" x14ac:dyDescent="0.3">
      <c r="A76" s="5">
        <v>35</v>
      </c>
      <c r="B76" s="5">
        <v>3500</v>
      </c>
      <c r="C76" s="5">
        <v>1190</v>
      </c>
      <c r="D76" s="5" t="s">
        <v>33</v>
      </c>
      <c r="E76" s="5" t="s">
        <v>34</v>
      </c>
      <c r="F76" s="13">
        <v>69</v>
      </c>
      <c r="G76" s="13" t="s">
        <v>105</v>
      </c>
      <c r="H76" s="13">
        <v>108</v>
      </c>
      <c r="I76" s="13">
        <v>0</v>
      </c>
      <c r="J76" s="13">
        <v>35</v>
      </c>
      <c r="K76" s="13">
        <v>63</v>
      </c>
      <c r="L76" s="13">
        <v>10</v>
      </c>
      <c r="M76" s="13">
        <f t="shared" si="5"/>
        <v>108</v>
      </c>
      <c r="N76" s="14">
        <v>28.53</v>
      </c>
      <c r="O76" s="14">
        <v>10.52</v>
      </c>
      <c r="P76" s="14">
        <v>7.37</v>
      </c>
      <c r="Q76" s="14">
        <v>11.15</v>
      </c>
      <c r="R76" s="14">
        <v>3.8</v>
      </c>
      <c r="S76" s="14">
        <v>7</v>
      </c>
      <c r="T76" s="14">
        <f t="shared" si="6"/>
        <v>68.36999999999999</v>
      </c>
      <c r="V76" s="15">
        <f t="shared" si="7"/>
        <v>4.0969795605763248E-2</v>
      </c>
      <c r="W76" s="15">
        <f t="shared" si="8"/>
        <v>4.5320951605954715E-2</v>
      </c>
      <c r="Y76" s="15">
        <f t="shared" si="9"/>
        <v>4.4181465702934269E-2</v>
      </c>
    </row>
    <row r="77" spans="1:25" x14ac:dyDescent="0.3">
      <c r="A77" s="5">
        <v>35</v>
      </c>
      <c r="B77" s="5">
        <v>3500</v>
      </c>
      <c r="C77" s="5">
        <v>1191</v>
      </c>
      <c r="D77" s="5" t="s">
        <v>33</v>
      </c>
      <c r="E77" s="5" t="s">
        <v>34</v>
      </c>
      <c r="F77" s="13">
        <v>70</v>
      </c>
      <c r="G77" s="13" t="s">
        <v>106</v>
      </c>
      <c r="H77" s="13">
        <v>98</v>
      </c>
      <c r="I77" s="13">
        <v>32</v>
      </c>
      <c r="J77" s="13">
        <v>43</v>
      </c>
      <c r="K77" s="13">
        <v>23</v>
      </c>
      <c r="L77" s="13">
        <v>0</v>
      </c>
      <c r="M77" s="13">
        <f t="shared" si="5"/>
        <v>98</v>
      </c>
      <c r="N77" s="14">
        <v>24.05</v>
      </c>
      <c r="O77" s="14">
        <v>13.96</v>
      </c>
      <c r="P77" s="14">
        <v>7.62</v>
      </c>
      <c r="Q77" s="14">
        <v>11.06</v>
      </c>
      <c r="R77" s="14">
        <v>3.8</v>
      </c>
      <c r="S77" s="14">
        <v>7</v>
      </c>
      <c r="T77" s="14">
        <f t="shared" si="6"/>
        <v>67.490000000000009</v>
      </c>
      <c r="V77" s="15">
        <f t="shared" si="7"/>
        <v>3.1338588121413262E-2</v>
      </c>
      <c r="W77" s="15">
        <f t="shared" si="8"/>
        <v>5.4572144304564973E-2</v>
      </c>
      <c r="Y77" s="15">
        <f t="shared" si="9"/>
        <v>3.9574577569288213E-2</v>
      </c>
    </row>
    <row r="78" spans="1:25" x14ac:dyDescent="0.3">
      <c r="A78" s="5">
        <v>35</v>
      </c>
      <c r="B78" s="5">
        <v>3500</v>
      </c>
      <c r="C78" s="5">
        <v>1192</v>
      </c>
      <c r="D78" s="5" t="s">
        <v>33</v>
      </c>
      <c r="E78" s="5" t="s">
        <v>34</v>
      </c>
      <c r="F78" s="13">
        <v>71</v>
      </c>
      <c r="G78" s="13" t="s">
        <v>107</v>
      </c>
      <c r="H78" s="13">
        <v>245</v>
      </c>
      <c r="I78" s="13">
        <v>36</v>
      </c>
      <c r="J78" s="13">
        <v>0</v>
      </c>
      <c r="K78" s="13">
        <v>56</v>
      </c>
      <c r="L78" s="13">
        <v>153</v>
      </c>
      <c r="M78" s="13">
        <f t="shared" si="5"/>
        <v>245</v>
      </c>
      <c r="N78" s="14">
        <v>20.81</v>
      </c>
      <c r="O78" s="14">
        <v>14.04</v>
      </c>
      <c r="P78" s="14">
        <v>7.44</v>
      </c>
      <c r="Q78" s="14">
        <v>11.1</v>
      </c>
      <c r="R78" s="14">
        <v>3.88</v>
      </c>
      <c r="S78" s="14">
        <v>7</v>
      </c>
      <c r="T78" s="14">
        <f t="shared" si="6"/>
        <v>64.27</v>
      </c>
      <c r="V78" s="15">
        <f t="shared" si="7"/>
        <v>6.7791685946633054E-2</v>
      </c>
      <c r="W78" s="15">
        <f t="shared" si="8"/>
        <v>0.1372121966397013</v>
      </c>
      <c r="Y78" s="15">
        <f t="shared" si="9"/>
        <v>9.4216109808051313E-2</v>
      </c>
    </row>
    <row r="79" spans="1:25" x14ac:dyDescent="0.3">
      <c r="A79" s="5">
        <v>35</v>
      </c>
      <c r="B79" s="5">
        <v>3500</v>
      </c>
      <c r="C79" s="5">
        <v>1193</v>
      </c>
      <c r="D79" s="5" t="s">
        <v>33</v>
      </c>
      <c r="E79" s="5" t="s">
        <v>34</v>
      </c>
      <c r="F79" s="13">
        <v>72</v>
      </c>
      <c r="G79" s="13" t="s">
        <v>108</v>
      </c>
      <c r="H79" s="13">
        <v>113</v>
      </c>
      <c r="I79" s="13">
        <v>0</v>
      </c>
      <c r="J79" s="13">
        <v>21</v>
      </c>
      <c r="K79" s="13">
        <v>35</v>
      </c>
      <c r="L79" s="13">
        <v>57</v>
      </c>
      <c r="M79" s="13">
        <f t="shared" si="5"/>
        <v>113</v>
      </c>
      <c r="N79" s="14">
        <v>13.38</v>
      </c>
      <c r="O79" s="14">
        <v>14.63</v>
      </c>
      <c r="P79" s="14">
        <v>7.77</v>
      </c>
      <c r="Q79" s="14">
        <v>10.76</v>
      </c>
      <c r="R79" s="14">
        <v>3.73</v>
      </c>
      <c r="S79" s="14">
        <v>7</v>
      </c>
      <c r="T79" s="14">
        <f t="shared" si="6"/>
        <v>57.269999999999996</v>
      </c>
      <c r="V79" s="15">
        <f t="shared" si="7"/>
        <v>2.0103553364287652E-2</v>
      </c>
      <c r="W79" s="15">
        <f t="shared" si="8"/>
        <v>6.5945064062674516E-2</v>
      </c>
      <c r="Y79" s="15">
        <f t="shared" si="9"/>
        <v>3.8721877842132969E-2</v>
      </c>
    </row>
    <row r="80" spans="1:25" x14ac:dyDescent="0.3">
      <c r="A80" s="5">
        <v>35</v>
      </c>
      <c r="B80" s="5">
        <v>3500</v>
      </c>
      <c r="C80" s="5">
        <v>1194</v>
      </c>
      <c r="D80" s="5" t="s">
        <v>33</v>
      </c>
      <c r="E80" s="5" t="s">
        <v>34</v>
      </c>
      <c r="F80" s="13">
        <v>73</v>
      </c>
      <c r="G80" s="13" t="s">
        <v>109</v>
      </c>
      <c r="H80" s="13">
        <v>69</v>
      </c>
      <c r="I80" s="13">
        <v>0</v>
      </c>
      <c r="J80" s="13">
        <v>12</v>
      </c>
      <c r="K80" s="13">
        <v>45</v>
      </c>
      <c r="L80" s="13">
        <v>12</v>
      </c>
      <c r="M80" s="13">
        <f t="shared" si="5"/>
        <v>69</v>
      </c>
      <c r="N80" s="14">
        <v>23.57</v>
      </c>
      <c r="O80" s="14">
        <v>13.47</v>
      </c>
      <c r="P80" s="14">
        <v>7.59</v>
      </c>
      <c r="Q80" s="14">
        <v>11.34</v>
      </c>
      <c r="R80" s="14">
        <v>3.8</v>
      </c>
      <c r="S80" s="14">
        <v>7.45</v>
      </c>
      <c r="T80" s="14">
        <f t="shared" si="6"/>
        <v>67.22</v>
      </c>
      <c r="V80" s="15">
        <f t="shared" si="7"/>
        <v>2.162454326424457E-2</v>
      </c>
      <c r="W80" s="15">
        <f t="shared" si="8"/>
        <v>3.7074577569288211E-2</v>
      </c>
      <c r="Y80" s="15">
        <f t="shared" si="9"/>
        <v>2.7752261739505051E-2</v>
      </c>
    </row>
    <row r="81" spans="1:25" x14ac:dyDescent="0.3">
      <c r="A81" s="5">
        <v>35</v>
      </c>
      <c r="B81" s="5">
        <v>3500</v>
      </c>
      <c r="C81" s="5">
        <v>1195</v>
      </c>
      <c r="D81" s="5" t="s">
        <v>33</v>
      </c>
      <c r="E81" s="5" t="s">
        <v>34</v>
      </c>
      <c r="F81" s="13">
        <v>74</v>
      </c>
      <c r="G81" s="13" t="s">
        <v>110</v>
      </c>
      <c r="H81" s="13">
        <v>38</v>
      </c>
      <c r="I81" s="13">
        <v>0</v>
      </c>
      <c r="J81" s="13">
        <v>5</v>
      </c>
      <c r="K81" s="13">
        <v>8</v>
      </c>
      <c r="L81" s="13">
        <v>25</v>
      </c>
      <c r="M81" s="13">
        <f t="shared" si="5"/>
        <v>38</v>
      </c>
      <c r="N81" s="14">
        <v>24.48</v>
      </c>
      <c r="O81" s="14">
        <v>13.36</v>
      </c>
      <c r="P81" s="14">
        <v>7.54</v>
      </c>
      <c r="Q81" s="14">
        <v>11.4</v>
      </c>
      <c r="R81" s="14">
        <v>3.88</v>
      </c>
      <c r="S81" s="14">
        <v>7.6</v>
      </c>
      <c r="T81" s="14">
        <f t="shared" si="6"/>
        <v>68.260000000000005</v>
      </c>
      <c r="V81" s="15">
        <f t="shared" si="7"/>
        <v>1.2368962711215358E-2</v>
      </c>
      <c r="W81" s="15">
        <f t="shared" si="8"/>
        <v>2.0251144831107494E-2</v>
      </c>
      <c r="Y81" s="15">
        <f t="shared" si="9"/>
        <v>1.5520319754918386E-2</v>
      </c>
    </row>
    <row r="82" spans="1:25" x14ac:dyDescent="0.3">
      <c r="A82" s="5">
        <v>35</v>
      </c>
      <c r="B82" s="5">
        <v>3500</v>
      </c>
      <c r="C82" s="5">
        <v>1196</v>
      </c>
      <c r="D82" s="5" t="s">
        <v>33</v>
      </c>
      <c r="E82" s="5" t="s">
        <v>34</v>
      </c>
      <c r="F82" s="13">
        <v>75</v>
      </c>
      <c r="G82" s="13" t="s">
        <v>111</v>
      </c>
      <c r="H82" s="13">
        <v>445</v>
      </c>
      <c r="I82" s="13">
        <v>76</v>
      </c>
      <c r="J82" s="13">
        <v>167</v>
      </c>
      <c r="K82" s="13">
        <v>202</v>
      </c>
      <c r="L82" s="13">
        <v>0</v>
      </c>
      <c r="M82" s="13">
        <f t="shared" si="5"/>
        <v>445</v>
      </c>
      <c r="N82" s="14">
        <v>25.55</v>
      </c>
      <c r="O82" s="14">
        <v>13.22</v>
      </c>
      <c r="P82" s="14">
        <v>7.81</v>
      </c>
      <c r="Q82" s="14">
        <v>11.64</v>
      </c>
      <c r="R82" s="14">
        <v>3.8</v>
      </c>
      <c r="S82" s="14">
        <v>7</v>
      </c>
      <c r="T82" s="14">
        <f t="shared" si="6"/>
        <v>69.02000000000001</v>
      </c>
      <c r="V82" s="15">
        <f t="shared" si="7"/>
        <v>0.15117820539413571</v>
      </c>
      <c r="W82" s="15">
        <f t="shared" si="8"/>
        <v>0.23466644328498718</v>
      </c>
      <c r="Y82" s="15">
        <f t="shared" si="9"/>
        <v>0.18377471159829595</v>
      </c>
    </row>
    <row r="83" spans="1:25" x14ac:dyDescent="0.3">
      <c r="A83" s="5">
        <v>35</v>
      </c>
      <c r="B83" s="5">
        <v>3500</v>
      </c>
      <c r="C83" s="5">
        <v>1197</v>
      </c>
      <c r="D83" s="5" t="s">
        <v>33</v>
      </c>
      <c r="E83" s="5" t="s">
        <v>34</v>
      </c>
      <c r="F83" s="13">
        <v>76</v>
      </c>
      <c r="G83" s="13" t="s">
        <v>112</v>
      </c>
      <c r="H83" s="13">
        <v>62</v>
      </c>
      <c r="I83" s="13">
        <v>9</v>
      </c>
      <c r="J83" s="13">
        <v>15</v>
      </c>
      <c r="K83" s="13">
        <v>26</v>
      </c>
      <c r="L83" s="13">
        <v>12</v>
      </c>
      <c r="M83" s="13">
        <f t="shared" si="5"/>
        <v>62</v>
      </c>
      <c r="N83" s="14">
        <v>21.06</v>
      </c>
      <c r="O83" s="14">
        <v>12.8</v>
      </c>
      <c r="P83" s="14">
        <v>7.65</v>
      </c>
      <c r="Q83" s="14">
        <v>11.4</v>
      </c>
      <c r="R83" s="14">
        <v>3.88</v>
      </c>
      <c r="S83" s="14">
        <v>7.68</v>
      </c>
      <c r="T83" s="14">
        <f t="shared" si="6"/>
        <v>64.47</v>
      </c>
      <c r="V83" s="15">
        <f t="shared" si="7"/>
        <v>1.7361543248288737E-2</v>
      </c>
      <c r="W83" s="15">
        <f t="shared" si="8"/>
        <v>3.1656375153574903E-2</v>
      </c>
      <c r="Y83" s="15">
        <f t="shared" si="9"/>
        <v>2.3916638743956727E-2</v>
      </c>
    </row>
    <row r="84" spans="1:25" x14ac:dyDescent="0.3">
      <c r="A84" s="5">
        <v>35</v>
      </c>
      <c r="B84" s="5">
        <v>3500</v>
      </c>
      <c r="C84" s="5">
        <v>1198</v>
      </c>
      <c r="D84" s="5" t="s">
        <v>33</v>
      </c>
      <c r="E84" s="5" t="s">
        <v>34</v>
      </c>
      <c r="F84" s="13">
        <v>77</v>
      </c>
      <c r="G84" s="13" t="s">
        <v>113</v>
      </c>
      <c r="H84" s="13">
        <v>288</v>
      </c>
      <c r="I84" s="13">
        <v>34</v>
      </c>
      <c r="J84" s="13">
        <v>54</v>
      </c>
      <c r="K84" s="13">
        <v>118</v>
      </c>
      <c r="L84" s="13">
        <v>82</v>
      </c>
      <c r="M84" s="13">
        <f t="shared" si="5"/>
        <v>288</v>
      </c>
      <c r="N84" s="14">
        <v>21.67</v>
      </c>
      <c r="O84" s="14">
        <v>11.75</v>
      </c>
      <c r="P84" s="14">
        <v>7.71</v>
      </c>
      <c r="Q84" s="14">
        <v>11.64</v>
      </c>
      <c r="R84" s="14">
        <v>3.95</v>
      </c>
      <c r="S84" s="14">
        <v>7.24</v>
      </c>
      <c r="T84" s="14">
        <f t="shared" si="6"/>
        <v>63.960000000000008</v>
      </c>
      <c r="V84" s="15">
        <f t="shared" si="7"/>
        <v>8.2983102771528414E-2</v>
      </c>
      <c r="W84" s="15">
        <f t="shared" si="8"/>
        <v>0.13498635776171558</v>
      </c>
      <c r="Y84" s="15">
        <f t="shared" si="9"/>
        <v>0.11021779713752336</v>
      </c>
    </row>
    <row r="85" spans="1:25" x14ac:dyDescent="0.3">
      <c r="A85" s="5">
        <v>35</v>
      </c>
      <c r="B85" s="5">
        <v>3500</v>
      </c>
      <c r="C85" s="5">
        <v>1199</v>
      </c>
      <c r="D85" s="5" t="s">
        <v>33</v>
      </c>
      <c r="E85" s="5" t="s">
        <v>34</v>
      </c>
      <c r="F85" s="13">
        <v>78</v>
      </c>
      <c r="G85" s="13" t="s">
        <v>114</v>
      </c>
      <c r="H85" s="13">
        <v>69</v>
      </c>
      <c r="I85" s="13">
        <v>0</v>
      </c>
      <c r="J85" s="13">
        <v>12</v>
      </c>
      <c r="K85" s="13">
        <v>41</v>
      </c>
      <c r="L85" s="13">
        <v>16</v>
      </c>
      <c r="M85" s="13">
        <f t="shared" si="5"/>
        <v>69</v>
      </c>
      <c r="N85" s="14">
        <v>21.16</v>
      </c>
      <c r="O85" s="14">
        <v>13.72</v>
      </c>
      <c r="P85" s="14">
        <v>7.48</v>
      </c>
      <c r="Q85" s="14">
        <v>11.22</v>
      </c>
      <c r="R85" s="14">
        <v>3.8</v>
      </c>
      <c r="S85" s="14">
        <v>7.23</v>
      </c>
      <c r="T85" s="14">
        <f t="shared" si="6"/>
        <v>64.61</v>
      </c>
      <c r="V85" s="15">
        <f t="shared" si="7"/>
        <v>1.9413463532940819E-2</v>
      </c>
      <c r="W85" s="15">
        <f t="shared" si="8"/>
        <v>3.7762672921353692E-2</v>
      </c>
      <c r="Y85" s="15">
        <f t="shared" si="9"/>
        <v>2.6674704418170506E-2</v>
      </c>
    </row>
    <row r="86" spans="1:25" x14ac:dyDescent="0.3">
      <c r="A86" s="5">
        <v>35</v>
      </c>
      <c r="B86" s="5">
        <v>3500</v>
      </c>
      <c r="C86" s="5">
        <v>1200</v>
      </c>
      <c r="D86" s="5" t="s">
        <v>33</v>
      </c>
      <c r="E86" s="5" t="s">
        <v>34</v>
      </c>
      <c r="F86" s="13">
        <v>79</v>
      </c>
      <c r="G86" s="13" t="s">
        <v>115</v>
      </c>
      <c r="H86" s="13">
        <v>661</v>
      </c>
      <c r="I86" s="13">
        <v>45</v>
      </c>
      <c r="J86" s="13">
        <v>100</v>
      </c>
      <c r="K86" s="13">
        <v>423</v>
      </c>
      <c r="L86" s="13">
        <v>93</v>
      </c>
      <c r="M86" s="13">
        <f t="shared" si="5"/>
        <v>661</v>
      </c>
      <c r="N86" s="14">
        <v>26.4</v>
      </c>
      <c r="O86" s="14">
        <v>10.27</v>
      </c>
      <c r="P86" s="14">
        <v>7.75</v>
      </c>
      <c r="Q86" s="14">
        <v>11.27</v>
      </c>
      <c r="R86" s="14">
        <v>3.73</v>
      </c>
      <c r="S86" s="14">
        <v>7.53</v>
      </c>
      <c r="T86" s="14">
        <f t="shared" si="6"/>
        <v>66.949999999999989</v>
      </c>
      <c r="V86" s="15">
        <f t="shared" si="7"/>
        <v>0.23202974167504348</v>
      </c>
      <c r="W86" s="15">
        <f t="shared" si="8"/>
        <v>0.27078925534121551</v>
      </c>
      <c r="Y86" s="15">
        <f t="shared" si="9"/>
        <v>0.26479075917859357</v>
      </c>
    </row>
    <row r="87" spans="1:25" x14ac:dyDescent="0.3">
      <c r="A87" s="5">
        <v>35</v>
      </c>
      <c r="B87" s="5">
        <v>3500</v>
      </c>
      <c r="C87" s="5">
        <v>1201</v>
      </c>
      <c r="D87" s="5" t="s">
        <v>33</v>
      </c>
      <c r="E87" s="5" t="s">
        <v>34</v>
      </c>
      <c r="F87" s="13">
        <v>80</v>
      </c>
      <c r="G87" s="13" t="s">
        <v>116</v>
      </c>
      <c r="H87" s="13">
        <v>515</v>
      </c>
      <c r="I87" s="13">
        <v>69</v>
      </c>
      <c r="J87" s="13">
        <v>132</v>
      </c>
      <c r="K87" s="13">
        <v>314</v>
      </c>
      <c r="L87" s="13">
        <v>0</v>
      </c>
      <c r="M87" s="13">
        <f t="shared" si="5"/>
        <v>515</v>
      </c>
      <c r="N87" s="14">
        <v>25.04</v>
      </c>
      <c r="O87" s="14">
        <v>11.81</v>
      </c>
      <c r="P87" s="14">
        <v>4.34</v>
      </c>
      <c r="Q87" s="14">
        <v>7.54</v>
      </c>
      <c r="R87" s="14">
        <v>2.9</v>
      </c>
      <c r="S87" s="14">
        <v>4.24</v>
      </c>
      <c r="T87" s="14">
        <f t="shared" si="6"/>
        <v>55.87</v>
      </c>
      <c r="V87" s="15">
        <f t="shared" si="7"/>
        <v>0.17146671347044712</v>
      </c>
      <c r="W87" s="15">
        <f t="shared" si="8"/>
        <v>0.24261444322116379</v>
      </c>
      <c r="Y87" s="15">
        <f t="shared" si="9"/>
        <v>0.17216175625867597</v>
      </c>
    </row>
    <row r="88" spans="1:25" s="32" customFormat="1" x14ac:dyDescent="0.3">
      <c r="A88" s="32">
        <v>35</v>
      </c>
      <c r="B88" s="32">
        <v>3500</v>
      </c>
      <c r="C88" s="32">
        <v>1202</v>
      </c>
      <c r="D88" s="32" t="s">
        <v>33</v>
      </c>
      <c r="E88" s="32" t="s">
        <v>34</v>
      </c>
      <c r="F88" s="33">
        <v>81</v>
      </c>
      <c r="G88" s="33" t="s">
        <v>117</v>
      </c>
      <c r="H88" s="33">
        <v>293</v>
      </c>
      <c r="I88" s="33">
        <v>0</v>
      </c>
      <c r="J88" s="33">
        <v>24</v>
      </c>
      <c r="K88" s="33">
        <v>104</v>
      </c>
      <c r="L88" s="33">
        <v>165</v>
      </c>
      <c r="M88" s="33">
        <f t="shared" si="5"/>
        <v>293</v>
      </c>
      <c r="N88" s="34">
        <v>21.76</v>
      </c>
      <c r="O88" s="34">
        <v>12.03</v>
      </c>
      <c r="P88" s="34">
        <v>4.24</v>
      </c>
      <c r="Q88" s="34">
        <v>6.54</v>
      </c>
      <c r="R88" s="34">
        <v>3.5</v>
      </c>
      <c r="S88" s="34">
        <v>4.76</v>
      </c>
      <c r="T88" s="34">
        <f t="shared" si="6"/>
        <v>52.83</v>
      </c>
      <c r="V88" s="16">
        <f t="shared" si="7"/>
        <v>8.4774411096750851E-2</v>
      </c>
      <c r="W88" s="16">
        <f t="shared" si="8"/>
        <v>0.1406024125221387</v>
      </c>
      <c r="Y88" s="16">
        <f t="shared" si="9"/>
        <v>9.2618771241204337E-2</v>
      </c>
    </row>
    <row r="89" spans="1:25" x14ac:dyDescent="0.3">
      <c r="A89" s="5">
        <v>35</v>
      </c>
      <c r="B89" s="5">
        <v>3500</v>
      </c>
      <c r="C89" s="5">
        <v>1203</v>
      </c>
      <c r="D89" s="5" t="s">
        <v>33</v>
      </c>
      <c r="E89" s="5" t="s">
        <v>34</v>
      </c>
      <c r="F89" s="13">
        <v>82</v>
      </c>
      <c r="G89" s="13" t="s">
        <v>118</v>
      </c>
      <c r="H89" s="13">
        <v>971</v>
      </c>
      <c r="I89" s="13">
        <v>0</v>
      </c>
      <c r="J89" s="13">
        <v>34</v>
      </c>
      <c r="K89" s="13">
        <v>412</v>
      </c>
      <c r="L89" s="13">
        <v>525</v>
      </c>
      <c r="M89" s="13">
        <f t="shared" si="5"/>
        <v>971</v>
      </c>
      <c r="N89" s="14">
        <v>24.68</v>
      </c>
      <c r="O89" s="14">
        <v>11.79</v>
      </c>
      <c r="P89" s="14">
        <v>3.44</v>
      </c>
      <c r="Q89" s="14">
        <v>6.74</v>
      </c>
      <c r="R89" s="14">
        <v>2.7</v>
      </c>
      <c r="S89" s="14">
        <v>3.8</v>
      </c>
      <c r="T89" s="14">
        <f t="shared" si="6"/>
        <v>53.15</v>
      </c>
      <c r="V89" s="15">
        <f t="shared" si="7"/>
        <v>0.31864173301634408</v>
      </c>
      <c r="W89" s="15">
        <f t="shared" si="8"/>
        <v>0.45665956632042504</v>
      </c>
      <c r="Y89" s="15">
        <f t="shared" si="9"/>
        <v>0.30879714949021109</v>
      </c>
    </row>
    <row r="90" spans="1:25" x14ac:dyDescent="0.3">
      <c r="A90" s="5">
        <v>35</v>
      </c>
      <c r="B90" s="5">
        <v>3500</v>
      </c>
      <c r="C90" s="5">
        <v>1204</v>
      </c>
      <c r="D90" s="5" t="s">
        <v>33</v>
      </c>
      <c r="E90" s="5" t="s">
        <v>34</v>
      </c>
      <c r="F90" s="13">
        <v>83</v>
      </c>
      <c r="G90" s="13" t="s">
        <v>119</v>
      </c>
      <c r="H90" s="13">
        <v>638</v>
      </c>
      <c r="I90" s="13">
        <v>105</v>
      </c>
      <c r="J90" s="13">
        <v>174</v>
      </c>
      <c r="K90" s="13">
        <v>278</v>
      </c>
      <c r="L90" s="13">
        <v>81</v>
      </c>
      <c r="M90" s="13">
        <f t="shared" si="5"/>
        <v>638</v>
      </c>
      <c r="N90" s="14">
        <v>23.04</v>
      </c>
      <c r="O90" s="14">
        <v>8.9251021490420275</v>
      </c>
      <c r="P90" s="14">
        <v>6.95</v>
      </c>
      <c r="Q90" s="14">
        <v>10</v>
      </c>
      <c r="R90" s="14">
        <v>4</v>
      </c>
      <c r="S90" s="14">
        <v>6</v>
      </c>
      <c r="T90" s="14">
        <f t="shared" si="6"/>
        <v>58.915102149042028</v>
      </c>
      <c r="V90" s="15">
        <f t="shared" si="7"/>
        <v>0.19545258723852377</v>
      </c>
      <c r="W90" s="15">
        <f t="shared" si="8"/>
        <v>0.22713988364562146</v>
      </c>
      <c r="Y90" s="15">
        <f t="shared" si="9"/>
        <v>0.22490447543851907</v>
      </c>
    </row>
    <row r="91" spans="1:25" x14ac:dyDescent="0.3">
      <c r="A91" s="5">
        <v>35</v>
      </c>
      <c r="B91" s="5">
        <v>3500</v>
      </c>
      <c r="C91" s="5">
        <v>1205</v>
      </c>
      <c r="D91" s="5" t="s">
        <v>33</v>
      </c>
      <c r="E91" s="5" t="s">
        <v>34</v>
      </c>
      <c r="F91" s="13">
        <v>84</v>
      </c>
      <c r="G91" s="13" t="s">
        <v>120</v>
      </c>
      <c r="H91" s="13">
        <v>1911</v>
      </c>
      <c r="I91" s="13">
        <v>105</v>
      </c>
      <c r="J91" s="13">
        <v>245</v>
      </c>
      <c r="K91" s="13">
        <v>769</v>
      </c>
      <c r="L91" s="13">
        <v>792</v>
      </c>
      <c r="M91" s="13">
        <f t="shared" si="5"/>
        <v>1911</v>
      </c>
      <c r="N91" s="14">
        <v>22.58</v>
      </c>
      <c r="O91" s="14">
        <v>11.29</v>
      </c>
      <c r="P91" s="14">
        <v>4.74</v>
      </c>
      <c r="Q91" s="14">
        <v>8.1</v>
      </c>
      <c r="R91" s="14">
        <v>3.5</v>
      </c>
      <c r="S91" s="14">
        <v>4.4400000000000004</v>
      </c>
      <c r="T91" s="14">
        <f t="shared" si="6"/>
        <v>54.65</v>
      </c>
      <c r="V91" s="15">
        <f t="shared" si="7"/>
        <v>0.57375025928230661</v>
      </c>
      <c r="W91" s="15">
        <f t="shared" si="8"/>
        <v>0.86062538892345986</v>
      </c>
      <c r="Y91" s="15">
        <f t="shared" si="9"/>
        <v>0.62488721219663967</v>
      </c>
    </row>
    <row r="92" spans="1:25" x14ac:dyDescent="0.3">
      <c r="A92" s="5">
        <v>35</v>
      </c>
      <c r="B92" s="5">
        <v>3500</v>
      </c>
      <c r="C92" s="5">
        <v>1073</v>
      </c>
      <c r="D92" s="5" t="s">
        <v>33</v>
      </c>
      <c r="E92" s="5" t="s">
        <v>34</v>
      </c>
      <c r="F92" s="13">
        <v>85</v>
      </c>
      <c r="G92" s="13" t="s">
        <v>121</v>
      </c>
      <c r="H92" s="13">
        <v>1378</v>
      </c>
      <c r="I92" s="13">
        <v>248</v>
      </c>
      <c r="J92" s="13">
        <v>328</v>
      </c>
      <c r="K92" s="13">
        <v>638</v>
      </c>
      <c r="L92" s="13">
        <v>164</v>
      </c>
      <c r="M92" s="13">
        <f t="shared" si="5"/>
        <v>1378</v>
      </c>
      <c r="N92" s="14">
        <v>23.96</v>
      </c>
      <c r="O92" s="14">
        <v>9.3133397531593758</v>
      </c>
      <c r="P92" s="14">
        <v>4</v>
      </c>
      <c r="Q92" s="14">
        <v>7.5</v>
      </c>
      <c r="R92" s="14">
        <v>2.5</v>
      </c>
      <c r="S92" s="14">
        <v>5</v>
      </c>
      <c r="T92" s="14">
        <f t="shared" si="6"/>
        <v>52.273339753159377</v>
      </c>
      <c r="V92" s="15">
        <f t="shared" si="7"/>
        <v>0.43900988729862411</v>
      </c>
      <c r="W92" s="15">
        <f t="shared" si="8"/>
        <v>0.51193425318133889</v>
      </c>
      <c r="Y92" s="15">
        <f t="shared" si="9"/>
        <v>0.43100295689443791</v>
      </c>
    </row>
    <row r="93" spans="1:25" s="32" customFormat="1" x14ac:dyDescent="0.3">
      <c r="A93" s="32">
        <v>35</v>
      </c>
      <c r="B93" s="32">
        <v>3500</v>
      </c>
      <c r="C93" s="32">
        <v>1074</v>
      </c>
      <c r="D93" s="32" t="s">
        <v>33</v>
      </c>
      <c r="E93" s="32" t="s">
        <v>34</v>
      </c>
      <c r="F93" s="33">
        <v>86</v>
      </c>
      <c r="G93" s="33" t="s">
        <v>122</v>
      </c>
      <c r="H93" s="33">
        <v>1763</v>
      </c>
      <c r="I93" s="33">
        <v>0</v>
      </c>
      <c r="J93" s="33">
        <v>256</v>
      </c>
      <c r="K93" s="33">
        <v>564</v>
      </c>
      <c r="L93" s="33">
        <v>943</v>
      </c>
      <c r="M93" s="33">
        <f t="shared" si="5"/>
        <v>1763</v>
      </c>
      <c r="N93" s="34">
        <v>33.18</v>
      </c>
      <c r="O93" s="34">
        <v>14.47</v>
      </c>
      <c r="P93" s="34">
        <v>3</v>
      </c>
      <c r="Q93" s="34">
        <v>5.7</v>
      </c>
      <c r="R93" s="34">
        <v>3.3</v>
      </c>
      <c r="S93" s="34">
        <v>5</v>
      </c>
      <c r="T93" s="34">
        <f t="shared" si="6"/>
        <v>64.650000000000006</v>
      </c>
      <c r="V93" s="16">
        <f t="shared" si="7"/>
        <v>0.777798254431733</v>
      </c>
      <c r="W93" s="16">
        <f t="shared" si="8"/>
        <v>1.0176076619916072</v>
      </c>
      <c r="Y93" s="16">
        <f t="shared" si="9"/>
        <v>0.68197997941697386</v>
      </c>
    </row>
    <row r="94" spans="1:25" x14ac:dyDescent="0.3">
      <c r="A94" s="5">
        <v>35</v>
      </c>
      <c r="B94" s="5">
        <v>3500</v>
      </c>
      <c r="C94" s="5">
        <v>1075</v>
      </c>
      <c r="D94" s="5" t="s">
        <v>33</v>
      </c>
      <c r="E94" s="5" t="s">
        <v>34</v>
      </c>
      <c r="F94" s="13">
        <v>87</v>
      </c>
      <c r="G94" s="13" t="s">
        <v>123</v>
      </c>
      <c r="H94" s="13">
        <v>1637</v>
      </c>
      <c r="I94" s="13">
        <v>256</v>
      </c>
      <c r="J94" s="13">
        <v>572</v>
      </c>
      <c r="K94" s="13">
        <v>809</v>
      </c>
      <c r="L94" s="13">
        <v>0</v>
      </c>
      <c r="M94" s="13">
        <f t="shared" si="5"/>
        <v>1637</v>
      </c>
      <c r="N94" s="14">
        <v>32</v>
      </c>
      <c r="O94" s="14">
        <v>12.5</v>
      </c>
      <c r="P94" s="14">
        <v>7.29</v>
      </c>
      <c r="Q94" s="14">
        <v>11.49</v>
      </c>
      <c r="R94" s="14">
        <v>4.03</v>
      </c>
      <c r="S94" s="14">
        <v>7.68</v>
      </c>
      <c r="T94" s="14">
        <f t="shared" si="6"/>
        <v>74.990000000000009</v>
      </c>
      <c r="V94" s="15">
        <f t="shared" si="7"/>
        <v>0.69652535116131886</v>
      </c>
      <c r="W94" s="15">
        <f t="shared" si="8"/>
        <v>0.8162406458921706</v>
      </c>
      <c r="Y94" s="15">
        <f t="shared" si="9"/>
        <v>0.73451863242544646</v>
      </c>
    </row>
    <row r="95" spans="1:25" x14ac:dyDescent="0.3">
      <c r="A95" s="5">
        <v>35</v>
      </c>
      <c r="B95" s="5">
        <v>3500</v>
      </c>
      <c r="C95" s="5">
        <v>1076</v>
      </c>
      <c r="D95" s="5" t="s">
        <v>33</v>
      </c>
      <c r="E95" s="5" t="s">
        <v>34</v>
      </c>
      <c r="F95" s="13">
        <v>88</v>
      </c>
      <c r="G95" s="13" t="s">
        <v>124</v>
      </c>
      <c r="H95" s="13">
        <v>1086</v>
      </c>
      <c r="I95" s="13">
        <v>335</v>
      </c>
      <c r="J95" s="13">
        <v>386</v>
      </c>
      <c r="K95" s="13">
        <v>365</v>
      </c>
      <c r="L95" s="13">
        <v>0</v>
      </c>
      <c r="M95" s="13">
        <f t="shared" si="5"/>
        <v>1086</v>
      </c>
      <c r="N95" s="14">
        <v>29.28</v>
      </c>
      <c r="O95" s="14">
        <v>13.42</v>
      </c>
      <c r="P95" s="14">
        <v>7.71</v>
      </c>
      <c r="Q95" s="14">
        <v>11.42</v>
      </c>
      <c r="R95" s="14">
        <v>3.88</v>
      </c>
      <c r="S95" s="14">
        <v>7.39</v>
      </c>
      <c r="T95" s="14">
        <f t="shared" si="6"/>
        <v>73.100000000000009</v>
      </c>
      <c r="V95" s="15">
        <f t="shared" si="7"/>
        <v>0.42280407831123457</v>
      </c>
      <c r="W95" s="15">
        <f t="shared" si="8"/>
        <v>0.58135560767794736</v>
      </c>
      <c r="Y95" s="15">
        <f t="shared" si="9"/>
        <v>0.4750047867502753</v>
      </c>
    </row>
    <row r="96" spans="1:25" x14ac:dyDescent="0.3">
      <c r="A96" s="5">
        <v>35</v>
      </c>
      <c r="B96" s="5">
        <v>3500</v>
      </c>
      <c r="C96" s="5">
        <v>1117</v>
      </c>
      <c r="D96" s="5" t="s">
        <v>33</v>
      </c>
      <c r="E96" s="5" t="s">
        <v>34</v>
      </c>
      <c r="F96" s="13">
        <v>89</v>
      </c>
      <c r="G96" s="13" t="s">
        <v>125</v>
      </c>
      <c r="H96" s="13">
        <v>1211</v>
      </c>
      <c r="I96" s="13">
        <v>0</v>
      </c>
      <c r="J96" s="13">
        <v>105</v>
      </c>
      <c r="K96" s="13">
        <v>428</v>
      </c>
      <c r="L96" s="13">
        <v>678</v>
      </c>
      <c r="M96" s="13">
        <f t="shared" si="5"/>
        <v>1211</v>
      </c>
      <c r="N96" s="14">
        <v>23.37</v>
      </c>
      <c r="O96" s="14">
        <v>11.91</v>
      </c>
      <c r="P96" s="14">
        <v>4.4000000000000004</v>
      </c>
      <c r="Q96" s="14">
        <v>8.9</v>
      </c>
      <c r="R96" s="14">
        <v>3.18</v>
      </c>
      <c r="S96" s="14">
        <v>5.2</v>
      </c>
      <c r="T96" s="14">
        <f t="shared" si="6"/>
        <v>56.96</v>
      </c>
      <c r="V96" s="15">
        <f t="shared" si="7"/>
        <v>0.37630598503342744</v>
      </c>
      <c r="W96" s="15">
        <f t="shared" si="8"/>
        <v>0.57532789239385385</v>
      </c>
      <c r="Y96" s="15">
        <f t="shared" si="9"/>
        <v>0.41272892633191327</v>
      </c>
    </row>
    <row r="97" spans="1:25" x14ac:dyDescent="0.3">
      <c r="A97" s="5">
        <v>35</v>
      </c>
      <c r="B97" s="5">
        <v>3500</v>
      </c>
      <c r="C97" s="5">
        <v>1118</v>
      </c>
      <c r="D97" s="5" t="s">
        <v>33</v>
      </c>
      <c r="E97" s="5" t="s">
        <v>34</v>
      </c>
      <c r="F97" s="13">
        <v>90</v>
      </c>
      <c r="G97" s="13" t="s">
        <v>126</v>
      </c>
      <c r="H97" s="13">
        <v>1470</v>
      </c>
      <c r="I97" s="13">
        <v>356</v>
      </c>
      <c r="J97" s="13">
        <v>559</v>
      </c>
      <c r="K97" s="13">
        <v>368</v>
      </c>
      <c r="L97" s="13">
        <v>187</v>
      </c>
      <c r="M97" s="13">
        <f t="shared" si="5"/>
        <v>1470</v>
      </c>
      <c r="N97" s="14">
        <v>25.32</v>
      </c>
      <c r="O97" s="14">
        <v>11.24</v>
      </c>
      <c r="P97" s="14">
        <v>4.34</v>
      </c>
      <c r="Q97" s="14">
        <v>8.58</v>
      </c>
      <c r="R97" s="14">
        <v>2.9</v>
      </c>
      <c r="S97" s="14">
        <v>3.84</v>
      </c>
      <c r="T97" s="14">
        <f t="shared" si="6"/>
        <v>56.22</v>
      </c>
      <c r="V97" s="15">
        <f t="shared" si="7"/>
        <v>0.49490211095687137</v>
      </c>
      <c r="W97" s="15">
        <f t="shared" si="8"/>
        <v>0.6590876453975395</v>
      </c>
      <c r="Y97" s="15">
        <f t="shared" si="9"/>
        <v>0.49449164712076965</v>
      </c>
    </row>
    <row r="98" spans="1:25" x14ac:dyDescent="0.3">
      <c r="A98" s="5">
        <v>35</v>
      </c>
      <c r="B98" s="5">
        <v>3500</v>
      </c>
      <c r="C98" s="5">
        <v>1119</v>
      </c>
      <c r="D98" s="5" t="s">
        <v>33</v>
      </c>
      <c r="E98" s="5" t="s">
        <v>34</v>
      </c>
      <c r="F98" s="13">
        <v>91</v>
      </c>
      <c r="G98" s="13" t="s">
        <v>127</v>
      </c>
      <c r="H98" s="13">
        <v>1185</v>
      </c>
      <c r="I98" s="13">
        <v>295</v>
      </c>
      <c r="J98" s="13">
        <v>428</v>
      </c>
      <c r="K98" s="13">
        <v>297</v>
      </c>
      <c r="L98" s="13">
        <v>165</v>
      </c>
      <c r="M98" s="13">
        <f t="shared" si="5"/>
        <v>1185</v>
      </c>
      <c r="N98" s="14">
        <v>31.3</v>
      </c>
      <c r="O98" s="14">
        <v>8.6264261124644257</v>
      </c>
      <c r="P98" s="14">
        <v>4.28</v>
      </c>
      <c r="Q98" s="14">
        <v>9.5500000000000007</v>
      </c>
      <c r="R98" s="14">
        <v>2.65</v>
      </c>
      <c r="S98" s="14">
        <v>4.8499999999999996</v>
      </c>
      <c r="T98" s="14">
        <f t="shared" si="6"/>
        <v>61.256426112464425</v>
      </c>
      <c r="V98" s="15">
        <f t="shared" si="7"/>
        <v>0.49317489189922292</v>
      </c>
      <c r="W98" s="15">
        <f t="shared" si="8"/>
        <v>0.4077639072355857</v>
      </c>
      <c r="Y98" s="15">
        <f t="shared" si="9"/>
        <v>0.43433096155802942</v>
      </c>
    </row>
    <row r="99" spans="1:25" x14ac:dyDescent="0.3">
      <c r="A99" s="5">
        <v>35</v>
      </c>
      <c r="B99" s="5">
        <v>3500</v>
      </c>
      <c r="C99" s="5">
        <v>1114</v>
      </c>
      <c r="D99" s="5" t="s">
        <v>33</v>
      </c>
      <c r="E99" s="5" t="s">
        <v>34</v>
      </c>
      <c r="F99" s="13">
        <v>92</v>
      </c>
      <c r="G99" s="13" t="s">
        <v>128</v>
      </c>
      <c r="H99" s="13">
        <v>1055</v>
      </c>
      <c r="I99" s="13">
        <v>116</v>
      </c>
      <c r="J99" s="13">
        <v>168</v>
      </c>
      <c r="K99" s="13">
        <v>345</v>
      </c>
      <c r="L99" s="13">
        <v>426</v>
      </c>
      <c r="M99" s="13">
        <f t="shared" si="5"/>
        <v>1055</v>
      </c>
      <c r="N99" s="14">
        <v>21.5</v>
      </c>
      <c r="O99" s="14">
        <v>9.6379713317456854</v>
      </c>
      <c r="P99" s="14">
        <v>6.95</v>
      </c>
      <c r="Q99" s="14">
        <v>12.75</v>
      </c>
      <c r="R99" s="14">
        <v>4</v>
      </c>
      <c r="S99" s="14">
        <v>6</v>
      </c>
      <c r="T99" s="14">
        <f t="shared" si="6"/>
        <v>60.837971331745685</v>
      </c>
      <c r="V99" s="15">
        <f t="shared" si="7"/>
        <v>0.30159850866135868</v>
      </c>
      <c r="W99" s="15">
        <f t="shared" si="8"/>
        <v>0.40559969025703646</v>
      </c>
      <c r="Y99" s="15">
        <f t="shared" si="9"/>
        <v>0.38404133212263475</v>
      </c>
    </row>
    <row r="100" spans="1:25" x14ac:dyDescent="0.3">
      <c r="A100" s="5">
        <v>35</v>
      </c>
      <c r="B100" s="5">
        <v>3500</v>
      </c>
      <c r="C100" s="5">
        <v>1115</v>
      </c>
      <c r="D100" s="5" t="s">
        <v>33</v>
      </c>
      <c r="E100" s="5" t="s">
        <v>34</v>
      </c>
      <c r="F100" s="13">
        <v>93</v>
      </c>
      <c r="G100" s="13" t="s">
        <v>129</v>
      </c>
      <c r="H100" s="13">
        <v>1812</v>
      </c>
      <c r="I100" s="13">
        <v>267</v>
      </c>
      <c r="J100" s="13">
        <v>750</v>
      </c>
      <c r="K100" s="13">
        <v>562</v>
      </c>
      <c r="L100" s="13">
        <v>233</v>
      </c>
      <c r="M100" s="13">
        <f t="shared" si="5"/>
        <v>1812</v>
      </c>
      <c r="N100" s="14">
        <v>30.8</v>
      </c>
      <c r="O100" s="14">
        <v>14.34</v>
      </c>
      <c r="P100" s="14">
        <v>7.3</v>
      </c>
      <c r="Q100" s="14">
        <v>11.16</v>
      </c>
      <c r="R100" s="14">
        <v>4.03</v>
      </c>
      <c r="S100" s="14">
        <v>7.59</v>
      </c>
      <c r="T100" s="14">
        <f t="shared" si="6"/>
        <v>75.22</v>
      </c>
      <c r="V100" s="15">
        <f t="shared" si="7"/>
        <v>0.74207393933591814</v>
      </c>
      <c r="W100" s="15">
        <f t="shared" si="8"/>
        <v>1.0364941840984154</v>
      </c>
      <c r="Y100" s="15">
        <f t="shared" si="9"/>
        <v>0.81553444066823022</v>
      </c>
    </row>
    <row r="101" spans="1:25" x14ac:dyDescent="0.3">
      <c r="A101" s="5">
        <v>35</v>
      </c>
      <c r="B101" s="5">
        <v>3500</v>
      </c>
      <c r="C101" s="5">
        <v>1116</v>
      </c>
      <c r="D101" s="5" t="s">
        <v>33</v>
      </c>
      <c r="E101" s="5" t="s">
        <v>34</v>
      </c>
      <c r="F101" s="13">
        <v>94</v>
      </c>
      <c r="G101" s="13" t="s">
        <v>130</v>
      </c>
      <c r="H101" s="13">
        <v>1182</v>
      </c>
      <c r="I101" s="13">
        <v>345</v>
      </c>
      <c r="J101" s="13">
        <v>458</v>
      </c>
      <c r="K101" s="13">
        <v>379</v>
      </c>
      <c r="L101" s="13">
        <v>0</v>
      </c>
      <c r="M101" s="13">
        <f t="shared" si="5"/>
        <v>1182</v>
      </c>
      <c r="N101" s="14">
        <v>27.41</v>
      </c>
      <c r="O101" s="14">
        <v>13.17</v>
      </c>
      <c r="P101" s="14">
        <v>7.74</v>
      </c>
      <c r="Q101" s="14">
        <v>11.45</v>
      </c>
      <c r="R101" s="14">
        <v>3.8</v>
      </c>
      <c r="S101" s="14">
        <v>7.84</v>
      </c>
      <c r="T101" s="14">
        <f t="shared" si="6"/>
        <v>71.41</v>
      </c>
      <c r="V101" s="15">
        <f t="shared" si="7"/>
        <v>0.43078917556204438</v>
      </c>
      <c r="W101" s="15">
        <f t="shared" si="8"/>
        <v>0.62095878608013011</v>
      </c>
      <c r="Y101" s="15">
        <f t="shared" si="9"/>
        <v>0.50504176439615145</v>
      </c>
    </row>
    <row r="102" spans="1:25" x14ac:dyDescent="0.3">
      <c r="F102" s="13"/>
      <c r="G102" s="17" t="s">
        <v>131</v>
      </c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4"/>
      <c r="V102" s="15">
        <f t="shared" si="7"/>
        <v>0</v>
      </c>
      <c r="W102" s="15">
        <f t="shared" si="8"/>
        <v>0</v>
      </c>
      <c r="Y102" s="15">
        <f t="shared" si="9"/>
        <v>0</v>
      </c>
    </row>
    <row r="103" spans="1:25" x14ac:dyDescent="0.3">
      <c r="A103" s="5">
        <v>35</v>
      </c>
      <c r="B103" s="5">
        <v>3500</v>
      </c>
      <c r="C103" s="5">
        <v>1206</v>
      </c>
      <c r="D103" s="5" t="s">
        <v>33</v>
      </c>
      <c r="E103" s="5" t="s">
        <v>34</v>
      </c>
      <c r="F103" s="13">
        <v>95</v>
      </c>
      <c r="G103" s="13" t="s">
        <v>132</v>
      </c>
      <c r="H103" s="13">
        <v>1232</v>
      </c>
      <c r="I103" s="13">
        <v>267</v>
      </c>
      <c r="J103" s="13">
        <v>205</v>
      </c>
      <c r="K103" s="13">
        <v>456</v>
      </c>
      <c r="L103" s="13">
        <v>304</v>
      </c>
      <c r="M103" s="13">
        <f t="shared" si="5"/>
        <v>1232</v>
      </c>
      <c r="N103" s="14">
        <v>27.63</v>
      </c>
      <c r="O103" s="14">
        <v>11.6</v>
      </c>
      <c r="P103" s="14">
        <v>3</v>
      </c>
      <c r="Q103" s="14">
        <v>4.5</v>
      </c>
      <c r="R103" s="14">
        <v>1.9</v>
      </c>
      <c r="S103" s="14">
        <v>3</v>
      </c>
      <c r="T103" s="14">
        <f t="shared" si="6"/>
        <v>51.629999999999995</v>
      </c>
      <c r="V103" s="15">
        <f t="shared" si="7"/>
        <v>0.45261595902541768</v>
      </c>
      <c r="W103" s="15">
        <f t="shared" si="8"/>
        <v>0.5700700461123609</v>
      </c>
      <c r="Y103" s="15">
        <f t="shared" si="9"/>
        <v>0.38059547173423958</v>
      </c>
    </row>
    <row r="104" spans="1:25" x14ac:dyDescent="0.3">
      <c r="A104" s="5">
        <v>35</v>
      </c>
      <c r="B104" s="5">
        <v>3500</v>
      </c>
      <c r="C104" s="5">
        <v>1207</v>
      </c>
      <c r="D104" s="5" t="s">
        <v>33</v>
      </c>
      <c r="E104" s="5" t="s">
        <v>34</v>
      </c>
      <c r="F104" s="13">
        <v>96</v>
      </c>
      <c r="G104" s="13" t="s">
        <v>133</v>
      </c>
      <c r="H104" s="13">
        <v>50</v>
      </c>
      <c r="I104" s="13">
        <v>0</v>
      </c>
      <c r="J104" s="13">
        <v>0</v>
      </c>
      <c r="K104" s="13">
        <v>11</v>
      </c>
      <c r="L104" s="13">
        <v>39</v>
      </c>
      <c r="M104" s="13">
        <f t="shared" si="5"/>
        <v>50</v>
      </c>
      <c r="N104" s="14">
        <v>12.03</v>
      </c>
      <c r="O104" s="14">
        <v>9.94</v>
      </c>
      <c r="P104" s="14">
        <v>6.8</v>
      </c>
      <c r="Q104" s="14">
        <v>11.39</v>
      </c>
      <c r="R104" s="14">
        <v>3.4</v>
      </c>
      <c r="S104" s="14">
        <v>4.97</v>
      </c>
      <c r="T104" s="14">
        <f t="shared" si="6"/>
        <v>48.529999999999994</v>
      </c>
      <c r="V104" s="15">
        <f t="shared" si="7"/>
        <v>7.9978619182103933E-3</v>
      </c>
      <c r="W104" s="15">
        <f t="shared" si="8"/>
        <v>1.9825124056611302E-2</v>
      </c>
      <c r="Y104" s="15">
        <f t="shared" si="9"/>
        <v>1.4518811928581683E-2</v>
      </c>
    </row>
    <row r="105" spans="1:25" x14ac:dyDescent="0.3">
      <c r="A105" s="5">
        <v>35</v>
      </c>
      <c r="B105" s="5">
        <v>3500</v>
      </c>
      <c r="C105" s="5">
        <v>1208</v>
      </c>
      <c r="D105" s="5" t="s">
        <v>33</v>
      </c>
      <c r="E105" s="5" t="s">
        <v>34</v>
      </c>
      <c r="F105" s="13">
        <v>97</v>
      </c>
      <c r="G105" s="13" t="s">
        <v>134</v>
      </c>
      <c r="H105" s="13">
        <v>1155</v>
      </c>
      <c r="I105" s="13">
        <v>0</v>
      </c>
      <c r="J105" s="13">
        <v>321</v>
      </c>
      <c r="K105" s="13">
        <v>497</v>
      </c>
      <c r="L105" s="13">
        <v>337</v>
      </c>
      <c r="M105" s="13">
        <f t="shared" si="5"/>
        <v>1155</v>
      </c>
      <c r="N105" s="13">
        <v>20.7</v>
      </c>
      <c r="O105" s="14">
        <v>10.11</v>
      </c>
      <c r="P105" s="14">
        <v>7.39</v>
      </c>
      <c r="Q105" s="14">
        <v>9.84</v>
      </c>
      <c r="R105" s="14">
        <v>3.3</v>
      </c>
      <c r="S105" s="14">
        <v>8.0500000000000007</v>
      </c>
      <c r="T105" s="14">
        <f t="shared" si="6"/>
        <v>59.389999999999986</v>
      </c>
      <c r="V105" s="15">
        <f t="shared" si="7"/>
        <v>0.31790005265425303</v>
      </c>
      <c r="W105" s="15">
        <f t="shared" si="8"/>
        <v>0.46579268584557937</v>
      </c>
      <c r="Y105" s="15">
        <f t="shared" si="9"/>
        <v>0.41043661145948007</v>
      </c>
    </row>
    <row r="106" spans="1:25" x14ac:dyDescent="0.3">
      <c r="A106" s="5">
        <v>35</v>
      </c>
      <c r="B106" s="5">
        <v>3500</v>
      </c>
      <c r="C106" s="5">
        <v>1209</v>
      </c>
      <c r="D106" s="5" t="s">
        <v>33</v>
      </c>
      <c r="E106" s="5" t="s">
        <v>34</v>
      </c>
      <c r="F106" s="13">
        <v>98</v>
      </c>
      <c r="G106" s="13" t="s">
        <v>135</v>
      </c>
      <c r="H106" s="13">
        <v>422</v>
      </c>
      <c r="I106" s="13">
        <v>0</v>
      </c>
      <c r="J106" s="13">
        <v>47</v>
      </c>
      <c r="K106" s="13">
        <v>184</v>
      </c>
      <c r="L106" s="13">
        <v>191</v>
      </c>
      <c r="M106" s="13">
        <f t="shared" si="5"/>
        <v>422</v>
      </c>
      <c r="N106" s="14">
        <v>19.88</v>
      </c>
      <c r="O106" s="14">
        <v>12.15</v>
      </c>
      <c r="P106" s="14">
        <v>7.5</v>
      </c>
      <c r="Q106" s="14">
        <v>11.52</v>
      </c>
      <c r="R106" s="14">
        <v>3.8</v>
      </c>
      <c r="S106" s="14">
        <v>6.22</v>
      </c>
      <c r="T106" s="14">
        <f t="shared" si="6"/>
        <v>61.069999999999993</v>
      </c>
      <c r="V106" s="15">
        <f t="shared" si="7"/>
        <v>0.11154936469186624</v>
      </c>
      <c r="W106" s="15">
        <f t="shared" si="8"/>
        <v>0.20452587238523767</v>
      </c>
      <c r="Y106" s="15">
        <f t="shared" si="9"/>
        <v>0.15420240773538843</v>
      </c>
    </row>
    <row r="107" spans="1:25" s="32" customFormat="1" x14ac:dyDescent="0.3">
      <c r="A107" s="32">
        <v>35</v>
      </c>
      <c r="B107" s="32">
        <v>3500</v>
      </c>
      <c r="C107" s="32">
        <v>1210</v>
      </c>
      <c r="D107" s="32" t="s">
        <v>33</v>
      </c>
      <c r="E107" s="32" t="s">
        <v>34</v>
      </c>
      <c r="F107" s="33">
        <v>99</v>
      </c>
      <c r="G107" s="33" t="s">
        <v>136</v>
      </c>
      <c r="H107" s="33">
        <v>194</v>
      </c>
      <c r="I107" s="33">
        <v>0</v>
      </c>
      <c r="J107" s="33">
        <v>0</v>
      </c>
      <c r="K107" s="33">
        <v>0</v>
      </c>
      <c r="L107" s="33">
        <v>194</v>
      </c>
      <c r="M107" s="33">
        <f t="shared" si="5"/>
        <v>194</v>
      </c>
      <c r="N107" s="34">
        <v>17.02</v>
      </c>
      <c r="O107" s="34">
        <v>10.26</v>
      </c>
      <c r="P107" s="34">
        <v>5.6</v>
      </c>
      <c r="Q107" s="34">
        <v>9.2200000000000006</v>
      </c>
      <c r="R107" s="34">
        <v>3.5</v>
      </c>
      <c r="S107" s="34">
        <v>5.8</v>
      </c>
      <c r="T107" s="34">
        <f t="shared" si="6"/>
        <v>51.4</v>
      </c>
      <c r="V107" s="16">
        <f t="shared" si="7"/>
        <v>4.3903541663342531E-2</v>
      </c>
      <c r="W107" s="16">
        <f t="shared" si="8"/>
        <v>7.9397826815375036E-2</v>
      </c>
      <c r="Y107" s="16">
        <f t="shared" si="9"/>
        <v>5.9664448805705809E-2</v>
      </c>
    </row>
    <row r="108" spans="1:25" x14ac:dyDescent="0.3">
      <c r="A108" s="5">
        <v>35</v>
      </c>
      <c r="B108" s="5">
        <v>3500</v>
      </c>
      <c r="C108" s="5">
        <v>1211</v>
      </c>
      <c r="D108" s="5" t="s">
        <v>33</v>
      </c>
      <c r="E108" s="5" t="s">
        <v>34</v>
      </c>
      <c r="F108" s="13">
        <v>100</v>
      </c>
      <c r="G108" s="13" t="s">
        <v>137</v>
      </c>
      <c r="H108" s="13">
        <v>684</v>
      </c>
      <c r="I108" s="13">
        <v>0</v>
      </c>
      <c r="J108" s="13">
        <v>84</v>
      </c>
      <c r="K108" s="13">
        <v>293</v>
      </c>
      <c r="L108" s="13">
        <v>307</v>
      </c>
      <c r="M108" s="13">
        <f t="shared" si="5"/>
        <v>684</v>
      </c>
      <c r="N108" s="14">
        <v>22.09</v>
      </c>
      <c r="O108" s="14">
        <v>12.16</v>
      </c>
      <c r="P108" s="14">
        <v>5.14</v>
      </c>
      <c r="Q108" s="14">
        <v>7.1</v>
      </c>
      <c r="R108" s="14">
        <v>3.2</v>
      </c>
      <c r="S108" s="14">
        <v>6.64</v>
      </c>
      <c r="T108" s="14">
        <f t="shared" si="6"/>
        <v>56.330000000000005</v>
      </c>
      <c r="V108" s="15">
        <f t="shared" si="7"/>
        <v>0.20090469580202003</v>
      </c>
      <c r="W108" s="15">
        <f t="shared" si="8"/>
        <v>0.331779235077306</v>
      </c>
      <c r="Y108" s="15">
        <f t="shared" si="9"/>
        <v>0.23054018476856064</v>
      </c>
    </row>
    <row r="109" spans="1:25" x14ac:dyDescent="0.3">
      <c r="A109" s="5">
        <v>35</v>
      </c>
      <c r="B109" s="5">
        <v>3500</v>
      </c>
      <c r="C109" s="5">
        <v>1212</v>
      </c>
      <c r="D109" s="5" t="s">
        <v>33</v>
      </c>
      <c r="E109" s="5" t="s">
        <v>34</v>
      </c>
      <c r="F109" s="13">
        <v>101</v>
      </c>
      <c r="G109" s="13" t="s">
        <v>138</v>
      </c>
      <c r="H109" s="13">
        <v>461</v>
      </c>
      <c r="I109" s="13">
        <v>0</v>
      </c>
      <c r="J109" s="13">
        <v>93</v>
      </c>
      <c r="K109" s="13">
        <v>248</v>
      </c>
      <c r="L109" s="13">
        <v>120</v>
      </c>
      <c r="M109" s="13">
        <f t="shared" si="5"/>
        <v>461</v>
      </c>
      <c r="N109" s="14">
        <v>29.73</v>
      </c>
      <c r="O109" s="14">
        <v>10.18</v>
      </c>
      <c r="P109" s="14">
        <v>7.71</v>
      </c>
      <c r="Q109" s="14">
        <v>10.25</v>
      </c>
      <c r="R109" s="14">
        <v>3.5</v>
      </c>
      <c r="S109" s="14">
        <v>7.15</v>
      </c>
      <c r="T109" s="14">
        <f t="shared" si="6"/>
        <v>68.52</v>
      </c>
      <c r="V109" s="15">
        <f t="shared" si="7"/>
        <v>0.18223597083273496</v>
      </c>
      <c r="W109" s="15">
        <f t="shared" si="8"/>
        <v>0.18720102755572574</v>
      </c>
      <c r="Y109" s="15">
        <f t="shared" si="9"/>
        <v>0.18900315925518163</v>
      </c>
    </row>
    <row r="110" spans="1:25" x14ac:dyDescent="0.3">
      <c r="A110" s="5">
        <v>35</v>
      </c>
      <c r="B110" s="5">
        <v>3500</v>
      </c>
      <c r="C110" s="5">
        <v>1213</v>
      </c>
      <c r="D110" s="5" t="s">
        <v>33</v>
      </c>
      <c r="E110" s="5" t="s">
        <v>34</v>
      </c>
      <c r="F110" s="13">
        <v>102</v>
      </c>
      <c r="G110" s="13" t="s">
        <v>139</v>
      </c>
      <c r="H110" s="13">
        <v>1554</v>
      </c>
      <c r="I110" s="13">
        <v>216</v>
      </c>
      <c r="J110" s="13">
        <v>446</v>
      </c>
      <c r="K110" s="13">
        <v>675</v>
      </c>
      <c r="L110" s="13">
        <v>217</v>
      </c>
      <c r="M110" s="13">
        <f t="shared" si="5"/>
        <v>1554</v>
      </c>
      <c r="N110" s="14">
        <v>27.01</v>
      </c>
      <c r="O110" s="14">
        <v>10.130000000000001</v>
      </c>
      <c r="P110" s="14">
        <v>7.69</v>
      </c>
      <c r="Q110" s="14">
        <v>11.18</v>
      </c>
      <c r="R110" s="14">
        <v>3.5</v>
      </c>
      <c r="S110" s="14">
        <v>8.2799999999999994</v>
      </c>
      <c r="T110" s="14">
        <f t="shared" si="6"/>
        <v>67.789999999999992</v>
      </c>
      <c r="V110" s="15">
        <f t="shared" si="7"/>
        <v>0.55810237263255302</v>
      </c>
      <c r="W110" s="15">
        <f t="shared" si="8"/>
        <v>0.62794265473170263</v>
      </c>
      <c r="Y110" s="15">
        <f t="shared" si="9"/>
        <v>0.63032920875017939</v>
      </c>
    </row>
    <row r="111" spans="1:25" x14ac:dyDescent="0.3">
      <c r="A111" s="5">
        <v>35</v>
      </c>
      <c r="B111" s="5">
        <v>3500</v>
      </c>
      <c r="C111" s="5">
        <v>1214</v>
      </c>
      <c r="D111" s="5" t="s">
        <v>33</v>
      </c>
      <c r="E111" s="5" t="s">
        <v>34</v>
      </c>
      <c r="F111" s="13">
        <v>103</v>
      </c>
      <c r="G111" s="13" t="s">
        <v>140</v>
      </c>
      <c r="H111" s="13">
        <v>745</v>
      </c>
      <c r="I111" s="13">
        <v>104</v>
      </c>
      <c r="J111" s="13">
        <v>125</v>
      </c>
      <c r="K111" s="13">
        <v>321</v>
      </c>
      <c r="L111" s="13">
        <v>195</v>
      </c>
      <c r="M111" s="13">
        <f t="shared" si="5"/>
        <v>745</v>
      </c>
      <c r="N111" s="14">
        <v>28.63</v>
      </c>
      <c r="O111" s="14">
        <v>10.16</v>
      </c>
      <c r="P111" s="14">
        <v>5.34</v>
      </c>
      <c r="Q111" s="14">
        <v>11.53</v>
      </c>
      <c r="R111" s="14">
        <v>4.0999999999999996</v>
      </c>
      <c r="S111" s="14">
        <v>7</v>
      </c>
      <c r="T111" s="14">
        <f t="shared" si="6"/>
        <v>66.759999999999991</v>
      </c>
      <c r="V111" s="15">
        <f t="shared" si="7"/>
        <v>0.28360631106430739</v>
      </c>
      <c r="W111" s="15">
        <f t="shared" si="8"/>
        <v>0.30193225152777114</v>
      </c>
      <c r="Y111" s="15">
        <f t="shared" si="9"/>
        <v>0.29759346129912395</v>
      </c>
    </row>
    <row r="112" spans="1:25" x14ac:dyDescent="0.3">
      <c r="A112" s="5">
        <v>35</v>
      </c>
      <c r="B112" s="5">
        <v>3500</v>
      </c>
      <c r="C112" s="5">
        <v>1215</v>
      </c>
      <c r="D112" s="5" t="s">
        <v>33</v>
      </c>
      <c r="E112" s="5" t="s">
        <v>34</v>
      </c>
      <c r="F112" s="13">
        <v>104</v>
      </c>
      <c r="G112" s="13" t="s">
        <v>141</v>
      </c>
      <c r="H112" s="13">
        <v>230</v>
      </c>
      <c r="I112" s="13">
        <v>67</v>
      </c>
      <c r="J112" s="13">
        <v>88</v>
      </c>
      <c r="K112" s="13">
        <v>65</v>
      </c>
      <c r="L112" s="13">
        <v>10</v>
      </c>
      <c r="M112" s="13">
        <f t="shared" si="5"/>
        <v>230</v>
      </c>
      <c r="N112" s="14">
        <v>25.17</v>
      </c>
      <c r="O112" s="14">
        <v>9.0500000000000007</v>
      </c>
      <c r="P112" s="14">
        <v>8.31</v>
      </c>
      <c r="Q112" s="14">
        <v>12.08</v>
      </c>
      <c r="R112" s="14">
        <v>4.25</v>
      </c>
      <c r="S112" s="14">
        <v>7.38</v>
      </c>
      <c r="T112" s="14">
        <f t="shared" si="6"/>
        <v>66.239999999999995</v>
      </c>
      <c r="V112" s="15">
        <f t="shared" si="7"/>
        <v>7.6974933384392014E-2</v>
      </c>
      <c r="W112" s="15">
        <f t="shared" si="8"/>
        <v>8.3030172482568262E-2</v>
      </c>
      <c r="Y112" s="15">
        <f t="shared" si="9"/>
        <v>9.1158872241635144E-2</v>
      </c>
    </row>
    <row r="113" spans="1:25" x14ac:dyDescent="0.3">
      <c r="A113" s="5">
        <v>35</v>
      </c>
      <c r="B113" s="5">
        <v>3500</v>
      </c>
      <c r="C113" s="5">
        <v>122205</v>
      </c>
      <c r="D113" s="5" t="s">
        <v>33</v>
      </c>
      <c r="E113" s="5" t="s">
        <v>34</v>
      </c>
      <c r="F113" s="13">
        <v>105</v>
      </c>
      <c r="G113" s="13" t="s">
        <v>142</v>
      </c>
      <c r="H113" s="13">
        <v>367</v>
      </c>
      <c r="I113" s="13">
        <v>0</v>
      </c>
      <c r="J113" s="13">
        <v>0</v>
      </c>
      <c r="K113" s="13">
        <v>147</v>
      </c>
      <c r="L113" s="13">
        <v>220</v>
      </c>
      <c r="M113" s="13">
        <f t="shared" si="5"/>
        <v>367</v>
      </c>
      <c r="N113" s="14">
        <v>20.94</v>
      </c>
      <c r="O113" s="14">
        <v>11.4</v>
      </c>
      <c r="P113" s="14">
        <v>7</v>
      </c>
      <c r="Q113" s="14">
        <v>12.63</v>
      </c>
      <c r="R113" s="14">
        <v>3.5</v>
      </c>
      <c r="S113" s="14">
        <v>3</v>
      </c>
      <c r="T113" s="14">
        <f t="shared" si="6"/>
        <v>58.470000000000006</v>
      </c>
      <c r="V113" s="15">
        <f t="shared" si="7"/>
        <v>0.10218355591722113</v>
      </c>
      <c r="W113" s="15">
        <f t="shared" si="8"/>
        <v>0.16689004834617777</v>
      </c>
      <c r="Y113" s="15">
        <f t="shared" si="9"/>
        <v>0.12839554114211862</v>
      </c>
    </row>
    <row r="114" spans="1:25" x14ac:dyDescent="0.3">
      <c r="A114" s="5">
        <v>35</v>
      </c>
      <c r="B114" s="5">
        <v>3500</v>
      </c>
      <c r="C114" s="5">
        <v>1217</v>
      </c>
      <c r="D114" s="5" t="s">
        <v>33</v>
      </c>
      <c r="E114" s="5" t="s">
        <v>34</v>
      </c>
      <c r="F114" s="13">
        <v>106</v>
      </c>
      <c r="G114" s="13" t="s">
        <v>143</v>
      </c>
      <c r="H114" s="13">
        <v>215</v>
      </c>
      <c r="I114" s="13">
        <v>0</v>
      </c>
      <c r="J114" s="13">
        <v>57</v>
      </c>
      <c r="K114" s="13">
        <v>87</v>
      </c>
      <c r="L114" s="13">
        <v>71</v>
      </c>
      <c r="M114" s="13">
        <f t="shared" si="5"/>
        <v>215</v>
      </c>
      <c r="N114" s="14">
        <v>25.35</v>
      </c>
      <c r="O114" s="14">
        <v>5.77</v>
      </c>
      <c r="P114" s="14">
        <v>7</v>
      </c>
      <c r="Q114" s="14">
        <v>12.27</v>
      </c>
      <c r="R114" s="14">
        <v>3.5</v>
      </c>
      <c r="S114" s="14">
        <v>7</v>
      </c>
      <c r="T114" s="14">
        <f t="shared" si="6"/>
        <v>60.89</v>
      </c>
      <c r="V114" s="15">
        <f t="shared" si="7"/>
        <v>7.2469404687824104E-2</v>
      </c>
      <c r="W114" s="15">
        <f t="shared" si="8"/>
        <v>4.9485025449555631E-2</v>
      </c>
      <c r="Y114" s="15">
        <f t="shared" si="9"/>
        <v>7.8331279019673544E-2</v>
      </c>
    </row>
    <row r="115" spans="1:25" x14ac:dyDescent="0.3">
      <c r="A115" s="5">
        <v>35</v>
      </c>
      <c r="B115" s="5">
        <v>3500</v>
      </c>
      <c r="C115" s="5">
        <v>1218</v>
      </c>
      <c r="D115" s="5" t="s">
        <v>33</v>
      </c>
      <c r="E115" s="5" t="s">
        <v>34</v>
      </c>
      <c r="F115" s="13">
        <v>107</v>
      </c>
      <c r="G115" s="13" t="s">
        <v>144</v>
      </c>
      <c r="H115" s="13">
        <v>165</v>
      </c>
      <c r="I115" s="13">
        <v>0</v>
      </c>
      <c r="J115" s="13">
        <v>16</v>
      </c>
      <c r="K115" s="13">
        <v>57</v>
      </c>
      <c r="L115" s="13">
        <v>92</v>
      </c>
      <c r="M115" s="13">
        <f t="shared" si="5"/>
        <v>165</v>
      </c>
      <c r="N115" s="14">
        <v>20.22</v>
      </c>
      <c r="O115" s="14">
        <v>11.76</v>
      </c>
      <c r="P115" s="14">
        <v>7</v>
      </c>
      <c r="Q115" s="14">
        <v>12.63</v>
      </c>
      <c r="R115" s="14">
        <v>3.5</v>
      </c>
      <c r="S115" s="14">
        <v>7</v>
      </c>
      <c r="T115" s="14">
        <f t="shared" si="6"/>
        <v>62.11</v>
      </c>
      <c r="V115" s="15">
        <f t="shared" si="7"/>
        <v>4.4361208175769468E-2</v>
      </c>
      <c r="W115" s="15">
        <f t="shared" si="8"/>
        <v>7.7401751950600742E-2</v>
      </c>
      <c r="Y115" s="15">
        <f t="shared" si="9"/>
        <v>6.131916854147719E-2</v>
      </c>
    </row>
    <row r="116" spans="1:25" x14ac:dyDescent="0.3">
      <c r="A116" s="5">
        <v>35</v>
      </c>
      <c r="B116" s="5">
        <v>3500</v>
      </c>
      <c r="C116" s="5">
        <v>1219</v>
      </c>
      <c r="D116" s="5" t="s">
        <v>33</v>
      </c>
      <c r="E116" s="5" t="s">
        <v>34</v>
      </c>
      <c r="F116" s="13">
        <v>108</v>
      </c>
      <c r="G116" s="13" t="s">
        <v>145</v>
      </c>
      <c r="H116" s="13">
        <v>629</v>
      </c>
      <c r="I116" s="13">
        <v>0</v>
      </c>
      <c r="J116" s="13">
        <v>68</v>
      </c>
      <c r="K116" s="13">
        <v>206</v>
      </c>
      <c r="L116" s="13">
        <v>355</v>
      </c>
      <c r="M116" s="13">
        <f t="shared" si="5"/>
        <v>629</v>
      </c>
      <c r="N116" s="14">
        <v>19.66</v>
      </c>
      <c r="O116" s="14">
        <v>7.1</v>
      </c>
      <c r="P116" s="14">
        <v>5.75</v>
      </c>
      <c r="Q116" s="14">
        <v>10.050000000000001</v>
      </c>
      <c r="R116" s="14">
        <v>4.03</v>
      </c>
      <c r="S116" s="14">
        <v>7</v>
      </c>
      <c r="T116" s="14">
        <f t="shared" si="6"/>
        <v>53.59</v>
      </c>
      <c r="V116" s="15">
        <f t="shared" si="7"/>
        <v>0.16442673346842607</v>
      </c>
      <c r="W116" s="15">
        <f t="shared" si="8"/>
        <v>0.17814290045155012</v>
      </c>
      <c r="Y116" s="15">
        <f t="shared" si="9"/>
        <v>0.20169038102532191</v>
      </c>
    </row>
    <row r="117" spans="1:25" x14ac:dyDescent="0.3">
      <c r="A117" s="5">
        <v>35</v>
      </c>
      <c r="B117" s="5">
        <v>3500</v>
      </c>
      <c r="C117" s="5">
        <v>1220</v>
      </c>
      <c r="D117" s="5" t="s">
        <v>33</v>
      </c>
      <c r="E117" s="5" t="s">
        <v>34</v>
      </c>
      <c r="F117" s="13">
        <v>109</v>
      </c>
      <c r="G117" s="13" t="s">
        <v>146</v>
      </c>
      <c r="H117" s="13">
        <v>2340</v>
      </c>
      <c r="I117" s="13">
        <v>0</v>
      </c>
      <c r="J117" s="13">
        <v>412</v>
      </c>
      <c r="K117" s="13">
        <v>928</v>
      </c>
      <c r="L117" s="13">
        <v>1000</v>
      </c>
      <c r="M117" s="13">
        <f t="shared" si="5"/>
        <v>2340</v>
      </c>
      <c r="N117" s="14">
        <v>19.25</v>
      </c>
      <c r="O117" s="14">
        <v>11.26</v>
      </c>
      <c r="P117" s="14">
        <v>4</v>
      </c>
      <c r="Q117" s="14">
        <v>7.3</v>
      </c>
      <c r="R117" s="14">
        <v>3.58</v>
      </c>
      <c r="S117" s="14">
        <v>5.8</v>
      </c>
      <c r="T117" s="14">
        <f t="shared" si="6"/>
        <v>51.189999999999991</v>
      </c>
      <c r="V117" s="15">
        <f t="shared" si="7"/>
        <v>0.59894212818917236</v>
      </c>
      <c r="W117" s="15">
        <f t="shared" si="8"/>
        <v>1.0510267579340387</v>
      </c>
      <c r="Y117" s="15">
        <f t="shared" si="9"/>
        <v>0.71672370877411307</v>
      </c>
    </row>
    <row r="118" spans="1:25" x14ac:dyDescent="0.3">
      <c r="A118" s="5">
        <v>35</v>
      </c>
      <c r="B118" s="5">
        <v>3500</v>
      </c>
      <c r="C118" s="5">
        <v>1221</v>
      </c>
      <c r="D118" s="5" t="s">
        <v>33</v>
      </c>
      <c r="E118" s="5" t="s">
        <v>34</v>
      </c>
      <c r="F118" s="13">
        <v>110</v>
      </c>
      <c r="G118" s="13" t="s">
        <v>147</v>
      </c>
      <c r="H118" s="13">
        <v>789</v>
      </c>
      <c r="I118" s="13">
        <v>165</v>
      </c>
      <c r="J118" s="13">
        <v>263</v>
      </c>
      <c r="K118" s="13">
        <v>252</v>
      </c>
      <c r="L118" s="13">
        <v>109</v>
      </c>
      <c r="M118" s="13">
        <f t="shared" si="5"/>
        <v>789</v>
      </c>
      <c r="N118" s="14">
        <v>23.87</v>
      </c>
      <c r="O118" s="14">
        <v>10.99</v>
      </c>
      <c r="P118" s="14">
        <v>6.82</v>
      </c>
      <c r="Q118" s="14">
        <v>12.51</v>
      </c>
      <c r="R118" s="14">
        <v>4.25</v>
      </c>
      <c r="S118" s="14">
        <v>7</v>
      </c>
      <c r="T118" s="14">
        <f t="shared" si="6"/>
        <v>65.44</v>
      </c>
      <c r="V118" s="15">
        <f t="shared" si="7"/>
        <v>0.25041923954493966</v>
      </c>
      <c r="W118" s="15">
        <f t="shared" si="8"/>
        <v>0.34588698482600161</v>
      </c>
      <c r="Y118" s="15">
        <f t="shared" si="9"/>
        <v>0.30893782011392462</v>
      </c>
    </row>
    <row r="119" spans="1:25" x14ac:dyDescent="0.3">
      <c r="A119" s="5">
        <v>35</v>
      </c>
      <c r="B119" s="5">
        <v>3500</v>
      </c>
      <c r="C119" s="5">
        <v>1222</v>
      </c>
      <c r="D119" s="5" t="s">
        <v>33</v>
      </c>
      <c r="E119" s="5" t="s">
        <v>34</v>
      </c>
      <c r="F119" s="13">
        <v>111</v>
      </c>
      <c r="G119" s="13" t="s">
        <v>148</v>
      </c>
      <c r="H119" s="13">
        <v>209</v>
      </c>
      <c r="I119" s="13">
        <v>0</v>
      </c>
      <c r="J119" s="13">
        <v>0</v>
      </c>
      <c r="K119" s="13">
        <v>102</v>
      </c>
      <c r="L119" s="13">
        <v>107</v>
      </c>
      <c r="M119" s="13">
        <f t="shared" si="5"/>
        <v>209</v>
      </c>
      <c r="N119" s="14">
        <v>15.05</v>
      </c>
      <c r="O119" s="14">
        <v>11</v>
      </c>
      <c r="P119" s="14">
        <v>7</v>
      </c>
      <c r="Q119" s="14">
        <v>12.63</v>
      </c>
      <c r="R119" s="14">
        <v>3.5</v>
      </c>
      <c r="S119" s="14">
        <v>3</v>
      </c>
      <c r="T119" s="14">
        <f t="shared" si="6"/>
        <v>52.18</v>
      </c>
      <c r="V119" s="15">
        <f t="shared" si="7"/>
        <v>4.182356570346614E-2</v>
      </c>
      <c r="W119" s="15">
        <f t="shared" si="8"/>
        <v>9.1706157356437376E-2</v>
      </c>
      <c r="Y119" s="15">
        <f t="shared" si="9"/>
        <v>6.5253099420803221E-2</v>
      </c>
    </row>
    <row r="120" spans="1:25" x14ac:dyDescent="0.3">
      <c r="A120" s="5">
        <v>35</v>
      </c>
      <c r="B120" s="5">
        <v>3500</v>
      </c>
      <c r="C120" s="5">
        <v>1223</v>
      </c>
      <c r="D120" s="5" t="s">
        <v>33</v>
      </c>
      <c r="E120" s="5" t="s">
        <v>34</v>
      </c>
      <c r="F120" s="13">
        <v>112</v>
      </c>
      <c r="G120" s="13" t="s">
        <v>149</v>
      </c>
      <c r="H120" s="13">
        <v>13</v>
      </c>
      <c r="I120" s="13">
        <v>0</v>
      </c>
      <c r="J120" s="13">
        <v>0</v>
      </c>
      <c r="K120" s="13">
        <v>0</v>
      </c>
      <c r="L120" s="13">
        <v>13</v>
      </c>
      <c r="M120" s="13">
        <f t="shared" si="5"/>
        <v>13</v>
      </c>
      <c r="N120" s="14">
        <v>13.9</v>
      </c>
      <c r="O120" s="14">
        <v>14.25</v>
      </c>
      <c r="P120" s="14">
        <v>7.08</v>
      </c>
      <c r="Q120" s="14">
        <v>12.63</v>
      </c>
      <c r="R120" s="14">
        <v>3.5</v>
      </c>
      <c r="S120" s="14">
        <v>7</v>
      </c>
      <c r="T120" s="14">
        <f t="shared" si="6"/>
        <v>58.36</v>
      </c>
      <c r="V120" s="15">
        <f t="shared" si="7"/>
        <v>2.4026827075986999E-3</v>
      </c>
      <c r="W120" s="15">
        <f t="shared" si="8"/>
        <v>7.3895457373988798E-3</v>
      </c>
      <c r="Y120" s="15">
        <f t="shared" si="9"/>
        <v>4.5395146235220904E-3</v>
      </c>
    </row>
    <row r="121" spans="1:25" x14ac:dyDescent="0.3">
      <c r="A121" s="5">
        <v>35</v>
      </c>
      <c r="B121" s="5">
        <v>3500</v>
      </c>
      <c r="C121" s="5">
        <v>1224</v>
      </c>
      <c r="D121" s="5" t="s">
        <v>33</v>
      </c>
      <c r="E121" s="5" t="s">
        <v>34</v>
      </c>
      <c r="F121" s="13">
        <v>113</v>
      </c>
      <c r="G121" s="13" t="s">
        <v>150</v>
      </c>
      <c r="H121" s="13">
        <v>20</v>
      </c>
      <c r="I121" s="13">
        <v>4</v>
      </c>
      <c r="J121" s="13">
        <v>7</v>
      </c>
      <c r="K121" s="13">
        <v>9</v>
      </c>
      <c r="L121" s="13">
        <v>0</v>
      </c>
      <c r="M121" s="13">
        <f t="shared" si="5"/>
        <v>20</v>
      </c>
      <c r="N121" s="14">
        <v>28</v>
      </c>
      <c r="O121" s="14">
        <v>10</v>
      </c>
      <c r="P121" s="14">
        <v>4</v>
      </c>
      <c r="Q121" s="14">
        <v>7.5</v>
      </c>
      <c r="R121" s="14">
        <v>2.5</v>
      </c>
      <c r="S121" s="14">
        <v>5</v>
      </c>
      <c r="T121" s="14">
        <f t="shared" si="6"/>
        <v>57</v>
      </c>
      <c r="V121" s="15">
        <f t="shared" si="7"/>
        <v>7.4460559837037739E-3</v>
      </c>
      <c r="W121" s="15">
        <f t="shared" si="8"/>
        <v>7.9779171253968988E-3</v>
      </c>
      <c r="Y121" s="15">
        <f t="shared" si="9"/>
        <v>6.821119142214351E-3</v>
      </c>
    </row>
    <row r="122" spans="1:25" x14ac:dyDescent="0.3">
      <c r="A122" s="5">
        <v>35</v>
      </c>
      <c r="B122" s="5">
        <v>3500</v>
      </c>
      <c r="C122" s="5">
        <v>1225</v>
      </c>
      <c r="D122" s="5" t="s">
        <v>33</v>
      </c>
      <c r="E122" s="5" t="s">
        <v>34</v>
      </c>
      <c r="F122" s="13">
        <v>114</v>
      </c>
      <c r="G122" s="13" t="s">
        <v>151</v>
      </c>
      <c r="H122" s="13">
        <v>54</v>
      </c>
      <c r="I122" s="13">
        <v>12</v>
      </c>
      <c r="J122" s="13">
        <v>24</v>
      </c>
      <c r="K122" s="13">
        <v>18</v>
      </c>
      <c r="L122" s="13">
        <v>0</v>
      </c>
      <c r="M122" s="13">
        <f t="shared" si="5"/>
        <v>54</v>
      </c>
      <c r="N122" s="14">
        <v>24.26</v>
      </c>
      <c r="O122" s="14">
        <v>6.2</v>
      </c>
      <c r="P122" s="14">
        <v>7</v>
      </c>
      <c r="Q122" s="14">
        <v>10.42</v>
      </c>
      <c r="R122" s="14">
        <v>4.25</v>
      </c>
      <c r="S122" s="14">
        <v>7</v>
      </c>
      <c r="T122" s="14">
        <f t="shared" si="6"/>
        <v>59.13</v>
      </c>
      <c r="V122" s="15">
        <f t="shared" si="7"/>
        <v>1.7418984251591593E-2</v>
      </c>
      <c r="W122" s="15">
        <f t="shared" si="8"/>
        <v>1.3355033267914413E-2</v>
      </c>
      <c r="Y122" s="15">
        <f t="shared" si="9"/>
        <v>1.9105236704801111E-2</v>
      </c>
    </row>
    <row r="123" spans="1:25" x14ac:dyDescent="0.3">
      <c r="A123" s="5">
        <v>35</v>
      </c>
      <c r="B123" s="5">
        <v>3500</v>
      </c>
      <c r="C123" s="5">
        <v>1226</v>
      </c>
      <c r="D123" s="5" t="s">
        <v>33</v>
      </c>
      <c r="E123" s="5" t="s">
        <v>34</v>
      </c>
      <c r="F123" s="13">
        <v>115</v>
      </c>
      <c r="G123" s="13" t="s">
        <v>152</v>
      </c>
      <c r="H123" s="13">
        <v>2143</v>
      </c>
      <c r="I123" s="13">
        <v>254</v>
      </c>
      <c r="J123" s="13">
        <v>0</v>
      </c>
      <c r="K123" s="13">
        <v>658</v>
      </c>
      <c r="L123" s="13">
        <v>1231</v>
      </c>
      <c r="M123" s="13">
        <f t="shared" si="5"/>
        <v>2143</v>
      </c>
      <c r="N123" s="14">
        <v>20.46</v>
      </c>
      <c r="O123" s="14">
        <v>7.39</v>
      </c>
      <c r="P123" s="14">
        <v>7</v>
      </c>
      <c r="Q123" s="14">
        <v>11.27</v>
      </c>
      <c r="R123" s="14">
        <v>3.5</v>
      </c>
      <c r="S123" s="14">
        <v>7.54</v>
      </c>
      <c r="T123" s="14">
        <f t="shared" si="6"/>
        <v>57.160000000000004</v>
      </c>
      <c r="V123" s="15">
        <f t="shared" si="7"/>
        <v>0.58299666523064153</v>
      </c>
      <c r="W123" s="15">
        <f t="shared" si="8"/>
        <v>0.63172219296985943</v>
      </c>
      <c r="Y123" s="15">
        <f t="shared" si="9"/>
        <v>0.73293451725623482</v>
      </c>
    </row>
    <row r="124" spans="1:25" x14ac:dyDescent="0.3">
      <c r="A124" s="5">
        <v>35</v>
      </c>
      <c r="B124" s="5">
        <v>3500</v>
      </c>
      <c r="C124" s="5">
        <v>1227</v>
      </c>
      <c r="D124" s="5" t="s">
        <v>33</v>
      </c>
      <c r="E124" s="5" t="s">
        <v>34</v>
      </c>
      <c r="F124" s="13">
        <v>116</v>
      </c>
      <c r="G124" s="13" t="s">
        <v>153</v>
      </c>
      <c r="H124" s="13">
        <v>2721</v>
      </c>
      <c r="I124" s="13">
        <v>156</v>
      </c>
      <c r="J124" s="13">
        <v>456</v>
      </c>
      <c r="K124" s="13">
        <v>985</v>
      </c>
      <c r="L124" s="13">
        <v>1124</v>
      </c>
      <c r="M124" s="13">
        <f t="shared" si="5"/>
        <v>2721</v>
      </c>
      <c r="N124" s="14">
        <v>23.24</v>
      </c>
      <c r="O124" s="14">
        <v>13.42</v>
      </c>
      <c r="P124" s="14">
        <v>7.6</v>
      </c>
      <c r="Q124" s="14">
        <v>11.57</v>
      </c>
      <c r="R124" s="14">
        <v>3.95</v>
      </c>
      <c r="S124" s="14">
        <v>6.8</v>
      </c>
      <c r="T124" s="14">
        <f t="shared" si="6"/>
        <v>66.58</v>
      </c>
      <c r="V124" s="15">
        <f t="shared" si="7"/>
        <v>0.84081981076380574</v>
      </c>
      <c r="W124" s="15">
        <f t="shared" si="8"/>
        <v>1.4566009286295531</v>
      </c>
      <c r="Y124" s="15">
        <f t="shared" si="9"/>
        <v>1.083984610597865</v>
      </c>
    </row>
    <row r="125" spans="1:25" x14ac:dyDescent="0.3">
      <c r="A125" s="5">
        <v>35</v>
      </c>
      <c r="B125" s="5">
        <v>3500</v>
      </c>
      <c r="C125" s="5">
        <v>1228</v>
      </c>
      <c r="D125" s="5" t="s">
        <v>33</v>
      </c>
      <c r="E125" s="5" t="s">
        <v>34</v>
      </c>
      <c r="F125" s="13">
        <v>117</v>
      </c>
      <c r="G125" s="13" t="s">
        <v>154</v>
      </c>
      <c r="H125" s="13">
        <v>1146</v>
      </c>
      <c r="I125" s="13">
        <v>221</v>
      </c>
      <c r="J125" s="13">
        <v>145</v>
      </c>
      <c r="K125" s="13">
        <v>442</v>
      </c>
      <c r="L125" s="13">
        <v>338</v>
      </c>
      <c r="M125" s="13">
        <f t="shared" si="5"/>
        <v>1146</v>
      </c>
      <c r="N125" s="14">
        <v>23.24</v>
      </c>
      <c r="O125" s="14">
        <v>13.67</v>
      </c>
      <c r="P125" s="14">
        <v>7</v>
      </c>
      <c r="Q125" s="14">
        <v>10.5</v>
      </c>
      <c r="R125" s="14">
        <v>3.5</v>
      </c>
      <c r="S125" s="14">
        <v>7</v>
      </c>
      <c r="T125" s="14">
        <f t="shared" si="6"/>
        <v>64.91</v>
      </c>
      <c r="V125" s="15">
        <f t="shared" si="7"/>
        <v>0.3541269765289678</v>
      </c>
      <c r="W125" s="15">
        <f t="shared" si="8"/>
        <v>0.62490306830692632</v>
      </c>
      <c r="Y125" s="15">
        <f t="shared" si="9"/>
        <v>0.44508915322387632</v>
      </c>
    </row>
    <row r="126" spans="1:25" x14ac:dyDescent="0.3">
      <c r="A126" s="5">
        <v>35</v>
      </c>
      <c r="B126" s="5">
        <v>3500</v>
      </c>
      <c r="C126" s="5">
        <v>1120</v>
      </c>
      <c r="D126" s="5" t="s">
        <v>33</v>
      </c>
      <c r="E126" s="5" t="s">
        <v>34</v>
      </c>
      <c r="F126" s="13">
        <v>118</v>
      </c>
      <c r="G126" s="13" t="s">
        <v>155</v>
      </c>
      <c r="H126" s="13">
        <v>1058</v>
      </c>
      <c r="I126" s="13">
        <v>216</v>
      </c>
      <c r="J126" s="13">
        <v>342</v>
      </c>
      <c r="K126" s="13">
        <v>398</v>
      </c>
      <c r="L126" s="13">
        <v>102</v>
      </c>
      <c r="M126" s="13">
        <f t="shared" si="5"/>
        <v>1058</v>
      </c>
      <c r="N126" s="14">
        <v>27.41</v>
      </c>
      <c r="O126" s="14">
        <v>14.34</v>
      </c>
      <c r="P126" s="14">
        <v>6.48</v>
      </c>
      <c r="Q126" s="14">
        <v>10.51</v>
      </c>
      <c r="R126" s="14">
        <v>3.73</v>
      </c>
      <c r="S126" s="14">
        <v>6.2</v>
      </c>
      <c r="T126" s="14">
        <f t="shared" si="6"/>
        <v>68.67</v>
      </c>
      <c r="V126" s="15">
        <f t="shared" si="7"/>
        <v>0.38559640249123761</v>
      </c>
      <c r="W126" s="15">
        <f t="shared" si="8"/>
        <v>0.60519362404863331</v>
      </c>
      <c r="Y126" s="15">
        <f t="shared" si="9"/>
        <v>0.43471387200229766</v>
      </c>
    </row>
    <row r="127" spans="1:25" x14ac:dyDescent="0.3">
      <c r="A127" s="5">
        <v>35</v>
      </c>
      <c r="B127" s="5">
        <v>3500</v>
      </c>
      <c r="C127" s="5">
        <v>1121</v>
      </c>
      <c r="D127" s="5" t="s">
        <v>33</v>
      </c>
      <c r="E127" s="5" t="s">
        <v>34</v>
      </c>
      <c r="F127" s="13">
        <v>119</v>
      </c>
      <c r="G127" s="13" t="s">
        <v>156</v>
      </c>
      <c r="H127" s="13">
        <v>2433</v>
      </c>
      <c r="I127" s="13">
        <v>94</v>
      </c>
      <c r="J127" s="13">
        <v>518</v>
      </c>
      <c r="K127" s="13">
        <v>824</v>
      </c>
      <c r="L127" s="13">
        <v>997</v>
      </c>
      <c r="M127" s="13">
        <f t="shared" si="5"/>
        <v>2433</v>
      </c>
      <c r="N127" s="14">
        <v>21.97</v>
      </c>
      <c r="O127" s="14">
        <v>11.91</v>
      </c>
      <c r="P127" s="14">
        <v>4.46</v>
      </c>
      <c r="Q127" s="14">
        <v>8.02</v>
      </c>
      <c r="R127" s="14">
        <v>3.65</v>
      </c>
      <c r="S127" s="14">
        <v>5.56</v>
      </c>
      <c r="T127" s="14">
        <f t="shared" si="6"/>
        <v>55.57</v>
      </c>
      <c r="V127" s="15">
        <f t="shared" si="7"/>
        <v>0.71073947313835306</v>
      </c>
      <c r="W127" s="15">
        <f t="shared" si="8"/>
        <v>1.1558817194006989</v>
      </c>
      <c r="Y127" s="15">
        <f t="shared" si="9"/>
        <v>0.80897162653774346</v>
      </c>
    </row>
    <row r="128" spans="1:25" x14ac:dyDescent="0.3">
      <c r="A128" s="5">
        <v>35</v>
      </c>
      <c r="B128" s="5">
        <v>3500</v>
      </c>
      <c r="C128" s="5">
        <v>1122</v>
      </c>
      <c r="D128" s="5" t="s">
        <v>33</v>
      </c>
      <c r="E128" s="5" t="s">
        <v>34</v>
      </c>
      <c r="F128" s="13">
        <v>120</v>
      </c>
      <c r="G128" s="13" t="s">
        <v>157</v>
      </c>
      <c r="H128" s="13">
        <v>1273</v>
      </c>
      <c r="I128" s="13">
        <v>187</v>
      </c>
      <c r="J128" s="13">
        <v>198</v>
      </c>
      <c r="K128" s="13">
        <v>595</v>
      </c>
      <c r="L128" s="13">
        <v>293</v>
      </c>
      <c r="M128" s="13">
        <f t="shared" si="5"/>
        <v>1273</v>
      </c>
      <c r="N128" s="14">
        <v>23.58</v>
      </c>
      <c r="O128" s="14">
        <v>11.2</v>
      </c>
      <c r="P128" s="14">
        <v>7.71</v>
      </c>
      <c r="Q128" s="14">
        <v>11.75</v>
      </c>
      <c r="R128" s="14">
        <v>3.8</v>
      </c>
      <c r="S128" s="14">
        <v>7.24</v>
      </c>
      <c r="T128" s="14">
        <f t="shared" si="6"/>
        <v>65.28</v>
      </c>
      <c r="V128" s="15">
        <f t="shared" si="7"/>
        <v>0.39912641807476895</v>
      </c>
      <c r="W128" s="15">
        <f t="shared" si="8"/>
        <v>0.5687297560352943</v>
      </c>
      <c r="Y128" s="15">
        <f t="shared" si="9"/>
        <v>0.4972323009908573</v>
      </c>
    </row>
    <row r="129" spans="1:25" x14ac:dyDescent="0.3">
      <c r="A129" s="5">
        <v>35</v>
      </c>
      <c r="B129" s="5">
        <v>3500</v>
      </c>
      <c r="C129" s="5">
        <v>1123</v>
      </c>
      <c r="D129" s="5" t="s">
        <v>33</v>
      </c>
      <c r="E129" s="5" t="s">
        <v>34</v>
      </c>
      <c r="F129" s="13">
        <v>121</v>
      </c>
      <c r="G129" s="13" t="s">
        <v>158</v>
      </c>
      <c r="H129" s="13">
        <v>1332</v>
      </c>
      <c r="I129" s="13">
        <v>214</v>
      </c>
      <c r="J129" s="13">
        <v>245</v>
      </c>
      <c r="K129" s="13">
        <v>476</v>
      </c>
      <c r="L129" s="13">
        <v>397</v>
      </c>
      <c r="M129" s="13">
        <f t="shared" si="5"/>
        <v>1332</v>
      </c>
      <c r="N129" s="14">
        <v>23.17</v>
      </c>
      <c r="O129" s="14">
        <v>13.94</v>
      </c>
      <c r="P129" s="14">
        <v>5.7</v>
      </c>
      <c r="Q129" s="14">
        <v>8.8800000000000008</v>
      </c>
      <c r="R129" s="14">
        <v>1.5</v>
      </c>
      <c r="S129" s="14">
        <v>5.08</v>
      </c>
      <c r="T129" s="14">
        <f t="shared" si="6"/>
        <v>58.27</v>
      </c>
      <c r="V129" s="15">
        <f t="shared" si="7"/>
        <v>0.41036331434589063</v>
      </c>
      <c r="W129" s="15">
        <f t="shared" si="8"/>
        <v>0.74067301708869859</v>
      </c>
      <c r="Y129" s="15">
        <f t="shared" si="9"/>
        <v>0.46440835766598054</v>
      </c>
    </row>
    <row r="130" spans="1:25" x14ac:dyDescent="0.3">
      <c r="A130" s="5">
        <v>35</v>
      </c>
      <c r="B130" s="5">
        <v>3500</v>
      </c>
      <c r="C130" s="5">
        <v>1124</v>
      </c>
      <c r="D130" s="5" t="s">
        <v>33</v>
      </c>
      <c r="E130" s="5" t="s">
        <v>34</v>
      </c>
      <c r="F130" s="13">
        <v>122</v>
      </c>
      <c r="G130" s="13" t="s">
        <v>159</v>
      </c>
      <c r="H130" s="13">
        <v>1045</v>
      </c>
      <c r="I130" s="13">
        <v>96</v>
      </c>
      <c r="J130" s="13">
        <v>145</v>
      </c>
      <c r="K130" s="13">
        <v>406</v>
      </c>
      <c r="L130" s="13">
        <v>398</v>
      </c>
      <c r="M130" s="13">
        <f t="shared" si="5"/>
        <v>1045</v>
      </c>
      <c r="N130" s="14">
        <v>27.22</v>
      </c>
      <c r="O130" s="14">
        <v>13.31</v>
      </c>
      <c r="P130" s="14">
        <v>6</v>
      </c>
      <c r="Q130" s="14">
        <v>8.68</v>
      </c>
      <c r="R130" s="14">
        <v>4.03</v>
      </c>
      <c r="S130" s="14">
        <v>7.08</v>
      </c>
      <c r="T130" s="14">
        <f t="shared" si="6"/>
        <v>66.320000000000007</v>
      </c>
      <c r="V130" s="15">
        <f t="shared" si="7"/>
        <v>0.37821842473367051</v>
      </c>
      <c r="W130" s="15">
        <f t="shared" si="8"/>
        <v>0.55482225200644619</v>
      </c>
      <c r="Y130" s="15">
        <f t="shared" si="9"/>
        <v>0.41467856971901779</v>
      </c>
    </row>
    <row r="131" spans="1:25" x14ac:dyDescent="0.3">
      <c r="A131" s="5">
        <v>35</v>
      </c>
      <c r="B131" s="5">
        <v>3500</v>
      </c>
      <c r="C131" s="5">
        <v>1067</v>
      </c>
      <c r="D131" s="5" t="s">
        <v>33</v>
      </c>
      <c r="E131" s="5" t="s">
        <v>34</v>
      </c>
      <c r="F131" s="13">
        <v>123</v>
      </c>
      <c r="G131" s="13" t="s">
        <v>160</v>
      </c>
      <c r="H131" s="13">
        <v>1000</v>
      </c>
      <c r="I131" s="13">
        <v>354</v>
      </c>
      <c r="J131" s="13">
        <v>412</v>
      </c>
      <c r="K131" s="13">
        <v>212</v>
      </c>
      <c r="L131" s="13">
        <v>22</v>
      </c>
      <c r="M131" s="13">
        <f t="shared" si="5"/>
        <v>1000</v>
      </c>
      <c r="N131" s="14">
        <v>27.13</v>
      </c>
      <c r="O131" s="14">
        <v>9.6300000000000008</v>
      </c>
      <c r="P131" s="14">
        <v>7.23</v>
      </c>
      <c r="Q131" s="14">
        <v>11.72</v>
      </c>
      <c r="R131" s="14">
        <v>4.18</v>
      </c>
      <c r="S131" s="14">
        <v>7</v>
      </c>
      <c r="T131" s="14">
        <f t="shared" si="6"/>
        <v>66.889999999999986</v>
      </c>
      <c r="V131" s="15">
        <f t="shared" si="7"/>
        <v>0.36073481935336321</v>
      </c>
      <c r="W131" s="15">
        <f t="shared" si="8"/>
        <v>0.38413670958786078</v>
      </c>
      <c r="Y131" s="15">
        <f t="shared" si="9"/>
        <v>0.40023215738834894</v>
      </c>
    </row>
    <row r="132" spans="1:25" x14ac:dyDescent="0.3">
      <c r="A132" s="5">
        <v>35</v>
      </c>
      <c r="B132" s="5">
        <v>3500</v>
      </c>
      <c r="C132" s="5">
        <v>1068</v>
      </c>
      <c r="D132" s="5" t="s">
        <v>33</v>
      </c>
      <c r="E132" s="5" t="s">
        <v>34</v>
      </c>
      <c r="F132" s="13">
        <v>124</v>
      </c>
      <c r="G132" s="13" t="s">
        <v>161</v>
      </c>
      <c r="H132" s="13">
        <v>1403</v>
      </c>
      <c r="I132" s="13">
        <v>158</v>
      </c>
      <c r="J132" s="13">
        <v>262</v>
      </c>
      <c r="K132" s="13">
        <v>468</v>
      </c>
      <c r="L132" s="13">
        <v>515</v>
      </c>
      <c r="M132" s="13">
        <f t="shared" si="5"/>
        <v>1403</v>
      </c>
      <c r="N132" s="14">
        <v>21.53</v>
      </c>
      <c r="O132" s="14">
        <v>7.49</v>
      </c>
      <c r="P132" s="14">
        <v>7.23</v>
      </c>
      <c r="Q132" s="14">
        <v>11.72</v>
      </c>
      <c r="R132" s="14">
        <v>4.18</v>
      </c>
      <c r="S132" s="14">
        <v>7.75</v>
      </c>
      <c r="T132" s="14">
        <f t="shared" si="6"/>
        <v>59.9</v>
      </c>
      <c r="V132" s="15">
        <f t="shared" si="7"/>
        <v>0.40164278610140469</v>
      </c>
      <c r="W132" s="15">
        <f t="shared" si="8"/>
        <v>0.41917851387359795</v>
      </c>
      <c r="Y132" s="15">
        <f t="shared" si="9"/>
        <v>0.50284632138241347</v>
      </c>
    </row>
    <row r="133" spans="1:25" x14ac:dyDescent="0.3">
      <c r="A133" s="5">
        <v>35</v>
      </c>
      <c r="B133" s="5">
        <v>3500</v>
      </c>
      <c r="C133" s="5">
        <v>1069</v>
      </c>
      <c r="D133" s="5" t="s">
        <v>33</v>
      </c>
      <c r="E133" s="5" t="s">
        <v>34</v>
      </c>
      <c r="F133" s="13">
        <v>125</v>
      </c>
      <c r="G133" s="13" t="s">
        <v>162</v>
      </c>
      <c r="H133" s="13">
        <v>1370</v>
      </c>
      <c r="I133" s="13">
        <v>116</v>
      </c>
      <c r="J133" s="13">
        <v>275</v>
      </c>
      <c r="K133" s="13">
        <v>735</v>
      </c>
      <c r="L133" s="13">
        <v>244</v>
      </c>
      <c r="M133" s="13">
        <f t="shared" si="5"/>
        <v>1370</v>
      </c>
      <c r="N133" s="14">
        <v>30.94</v>
      </c>
      <c r="O133" s="14">
        <v>9.0554903336482848</v>
      </c>
      <c r="P133" s="14">
        <v>7</v>
      </c>
      <c r="Q133" s="14">
        <v>12.63</v>
      </c>
      <c r="R133" s="14">
        <v>3.5</v>
      </c>
      <c r="S133" s="14">
        <v>5</v>
      </c>
      <c r="T133" s="14">
        <f t="shared" si="6"/>
        <v>68.125490333648287</v>
      </c>
      <c r="V133" s="15">
        <f t="shared" si="7"/>
        <v>0.56361059254649803</v>
      </c>
      <c r="W133" s="15">
        <f t="shared" si="8"/>
        <v>0.49487106716999946</v>
      </c>
      <c r="Y133" s="15">
        <f t="shared" si="9"/>
        <v>0.55844575269911778</v>
      </c>
    </row>
    <row r="134" spans="1:25" x14ac:dyDescent="0.3">
      <c r="A134" s="5">
        <v>35</v>
      </c>
      <c r="B134" s="5">
        <v>3500</v>
      </c>
      <c r="C134" s="5">
        <v>1070</v>
      </c>
      <c r="D134" s="5" t="s">
        <v>33</v>
      </c>
      <c r="E134" s="5" t="s">
        <v>34</v>
      </c>
      <c r="F134" s="13">
        <v>126</v>
      </c>
      <c r="G134" s="13" t="s">
        <v>163</v>
      </c>
      <c r="H134" s="13">
        <v>1787</v>
      </c>
      <c r="I134" s="13">
        <v>215</v>
      </c>
      <c r="J134" s="13">
        <v>456</v>
      </c>
      <c r="K134" s="13">
        <v>735</v>
      </c>
      <c r="L134" s="13">
        <v>381</v>
      </c>
      <c r="M134" s="13">
        <f t="shared" si="5"/>
        <v>1787</v>
      </c>
      <c r="N134" s="14">
        <v>27.97</v>
      </c>
      <c r="O134" s="14">
        <v>12.78</v>
      </c>
      <c r="P134" s="14">
        <v>4.1399999999999997</v>
      </c>
      <c r="Q134" s="14">
        <v>7.22</v>
      </c>
      <c r="R134" s="14">
        <v>2.9</v>
      </c>
      <c r="S134" s="14">
        <v>4.96</v>
      </c>
      <c r="T134" s="14">
        <f t="shared" si="6"/>
        <v>59.97</v>
      </c>
      <c r="V134" s="15">
        <f t="shared" si="7"/>
        <v>0.66459227524877795</v>
      </c>
      <c r="W134" s="15">
        <f t="shared" si="8"/>
        <v>0.91099277200708439</v>
      </c>
      <c r="Y134" s="15">
        <f t="shared" si="9"/>
        <v>0.64122343353597244</v>
      </c>
    </row>
    <row r="135" spans="1:25" x14ac:dyDescent="0.3">
      <c r="A135" s="5">
        <v>35</v>
      </c>
      <c r="B135" s="5">
        <v>3500</v>
      </c>
      <c r="C135" s="5">
        <v>1071</v>
      </c>
      <c r="D135" s="5" t="s">
        <v>33</v>
      </c>
      <c r="E135" s="5" t="s">
        <v>34</v>
      </c>
      <c r="F135" s="13">
        <v>127</v>
      </c>
      <c r="G135" s="13" t="s">
        <v>164</v>
      </c>
      <c r="H135" s="13">
        <v>1096</v>
      </c>
      <c r="I135" s="13">
        <v>204</v>
      </c>
      <c r="J135" s="13">
        <v>245</v>
      </c>
      <c r="K135" s="13">
        <v>617</v>
      </c>
      <c r="L135" s="13">
        <v>30</v>
      </c>
      <c r="M135" s="13">
        <f t="shared" ref="M135:M188" si="10">SUM(I135:L135)</f>
        <v>1096</v>
      </c>
      <c r="N135" s="14">
        <v>25.69</v>
      </c>
      <c r="O135" s="14">
        <v>13</v>
      </c>
      <c r="P135" s="14">
        <v>6.15</v>
      </c>
      <c r="Q135" s="14">
        <v>9.64</v>
      </c>
      <c r="R135" s="14">
        <v>3.8</v>
      </c>
      <c r="S135" s="14">
        <v>7</v>
      </c>
      <c r="T135" s="14">
        <f t="shared" ref="T135:T188" si="11">SUM(N135:S135)</f>
        <v>65.28</v>
      </c>
      <c r="V135" s="15">
        <f t="shared" ref="V135:V188" si="12">(((N135/45)*100)*H135)/$H$190</f>
        <v>0.3743802488046421</v>
      </c>
      <c r="W135" s="15">
        <f t="shared" ref="W135:W188" si="13">(((O135/15)*100)*H135)/$H$190</f>
        <v>0.5683468160132753</v>
      </c>
      <c r="Y135" s="15">
        <f t="shared" ref="Y135:Y188" si="14">(T135*H135)/$H$190</f>
        <v>0.42809630941553783</v>
      </c>
    </row>
    <row r="136" spans="1:25" x14ac:dyDescent="0.3">
      <c r="A136" s="5">
        <v>35</v>
      </c>
      <c r="B136" s="5">
        <v>3500</v>
      </c>
      <c r="C136" s="5">
        <v>1072</v>
      </c>
      <c r="D136" s="5" t="s">
        <v>33</v>
      </c>
      <c r="E136" s="5" t="s">
        <v>34</v>
      </c>
      <c r="F136" s="13">
        <v>128</v>
      </c>
      <c r="G136" s="13" t="s">
        <v>165</v>
      </c>
      <c r="H136" s="13">
        <v>1727</v>
      </c>
      <c r="I136" s="13">
        <v>234</v>
      </c>
      <c r="J136" s="13">
        <v>256</v>
      </c>
      <c r="K136" s="13">
        <v>674</v>
      </c>
      <c r="L136" s="13">
        <v>563</v>
      </c>
      <c r="M136" s="13">
        <f t="shared" si="10"/>
        <v>1727</v>
      </c>
      <c r="N136" s="14">
        <v>20</v>
      </c>
      <c r="O136" s="14">
        <v>9.3138390272148239</v>
      </c>
      <c r="P136" s="14">
        <v>7</v>
      </c>
      <c r="Q136" s="14">
        <v>12.33</v>
      </c>
      <c r="R136" s="14">
        <v>3.5</v>
      </c>
      <c r="S136" s="14">
        <v>5</v>
      </c>
      <c r="T136" s="14">
        <f t="shared" si="11"/>
        <v>57.143839027214824</v>
      </c>
      <c r="V136" s="15">
        <f t="shared" si="12"/>
        <v>0.45926209585201488</v>
      </c>
      <c r="W136" s="15">
        <f t="shared" si="13"/>
        <v>0.6416239848100459</v>
      </c>
      <c r="Y136" s="15">
        <f t="shared" si="14"/>
        <v>0.59048998372504913</v>
      </c>
    </row>
    <row r="137" spans="1:25" x14ac:dyDescent="0.3">
      <c r="A137" s="5">
        <v>35</v>
      </c>
      <c r="B137" s="5">
        <v>3500</v>
      </c>
      <c r="C137" s="5">
        <v>1128</v>
      </c>
      <c r="D137" s="5" t="s">
        <v>33</v>
      </c>
      <c r="E137" s="5" t="s">
        <v>34</v>
      </c>
      <c r="F137" s="13">
        <v>129</v>
      </c>
      <c r="G137" s="13" t="s">
        <v>166</v>
      </c>
      <c r="H137" s="13">
        <v>1341</v>
      </c>
      <c r="I137" s="13">
        <v>105</v>
      </c>
      <c r="J137" s="13">
        <v>206</v>
      </c>
      <c r="K137" s="13">
        <v>534</v>
      </c>
      <c r="L137" s="13">
        <v>496</v>
      </c>
      <c r="M137" s="13">
        <f t="shared" si="10"/>
        <v>1341</v>
      </c>
      <c r="N137" s="14">
        <v>20.32</v>
      </c>
      <c r="O137" s="14">
        <v>11.61</v>
      </c>
      <c r="P137" s="14">
        <v>7</v>
      </c>
      <c r="Q137" s="14">
        <v>12.63</v>
      </c>
      <c r="R137" s="14">
        <v>3.5</v>
      </c>
      <c r="S137" s="14">
        <v>7.17</v>
      </c>
      <c r="T137" s="14">
        <f t="shared" si="11"/>
        <v>62.230000000000004</v>
      </c>
      <c r="V137" s="15">
        <f t="shared" si="12"/>
        <v>0.36231870183332532</v>
      </c>
      <c r="W137" s="15">
        <f t="shared" si="13"/>
        <v>0.62104135752237799</v>
      </c>
      <c r="Y137" s="15">
        <f t="shared" si="14"/>
        <v>0.49932046096405153</v>
      </c>
    </row>
    <row r="138" spans="1:25" x14ac:dyDescent="0.3">
      <c r="A138" s="5">
        <v>35</v>
      </c>
      <c r="B138" s="5">
        <v>3500</v>
      </c>
      <c r="C138" s="5">
        <v>122204</v>
      </c>
      <c r="D138" s="5" t="s">
        <v>33</v>
      </c>
      <c r="E138" s="5" t="s">
        <v>34</v>
      </c>
      <c r="F138" s="13">
        <v>130</v>
      </c>
      <c r="G138" s="13" t="s">
        <v>167</v>
      </c>
      <c r="H138" s="13">
        <v>1046</v>
      </c>
      <c r="I138" s="13">
        <v>201</v>
      </c>
      <c r="J138" s="13">
        <v>345</v>
      </c>
      <c r="K138" s="13">
        <v>500</v>
      </c>
      <c r="L138" s="13">
        <v>0</v>
      </c>
      <c r="M138" s="13">
        <f t="shared" si="10"/>
        <v>1046</v>
      </c>
      <c r="N138" s="14">
        <v>23.73</v>
      </c>
      <c r="O138" s="14">
        <v>9.64</v>
      </c>
      <c r="P138" s="14">
        <v>7</v>
      </c>
      <c r="Q138" s="14">
        <v>12.63</v>
      </c>
      <c r="R138" s="14">
        <v>3.5</v>
      </c>
      <c r="S138" s="14">
        <v>7</v>
      </c>
      <c r="T138" s="14">
        <f t="shared" si="11"/>
        <v>63.500000000000007</v>
      </c>
      <c r="V138" s="15">
        <f t="shared" si="12"/>
        <v>0.33004084693568203</v>
      </c>
      <c r="W138" s="15">
        <f t="shared" si="13"/>
        <v>0.40222424329456063</v>
      </c>
      <c r="Y138" s="15">
        <f t="shared" si="14"/>
        <v>0.39742592503949076</v>
      </c>
    </row>
    <row r="139" spans="1:25" x14ac:dyDescent="0.3">
      <c r="A139" s="5">
        <v>35</v>
      </c>
      <c r="B139" s="5">
        <v>3500</v>
      </c>
      <c r="C139" s="5">
        <v>1125</v>
      </c>
      <c r="D139" s="5" t="s">
        <v>33</v>
      </c>
      <c r="E139" s="5" t="s">
        <v>34</v>
      </c>
      <c r="F139" s="13">
        <v>131</v>
      </c>
      <c r="G139" s="13" t="s">
        <v>168</v>
      </c>
      <c r="H139" s="13">
        <v>1921</v>
      </c>
      <c r="I139" s="13">
        <v>165</v>
      </c>
      <c r="J139" s="13">
        <v>378</v>
      </c>
      <c r="K139" s="13">
        <v>742</v>
      </c>
      <c r="L139" s="13">
        <v>636</v>
      </c>
      <c r="M139" s="13">
        <f t="shared" si="10"/>
        <v>1921</v>
      </c>
      <c r="N139" s="14">
        <v>22.88</v>
      </c>
      <c r="O139" s="14">
        <v>13.76</v>
      </c>
      <c r="P139" s="14">
        <v>7</v>
      </c>
      <c r="Q139" s="14">
        <v>12.63</v>
      </c>
      <c r="R139" s="14">
        <v>3.5</v>
      </c>
      <c r="S139" s="14">
        <v>7</v>
      </c>
      <c r="T139" s="14">
        <f t="shared" si="11"/>
        <v>66.77000000000001</v>
      </c>
      <c r="V139" s="15">
        <f t="shared" si="12"/>
        <v>0.5844154048261081</v>
      </c>
      <c r="W139" s="15">
        <f t="shared" si="13"/>
        <v>1.0543998212946564</v>
      </c>
      <c r="Y139" s="15">
        <f t="shared" si="14"/>
        <v>0.76746667225120868</v>
      </c>
    </row>
    <row r="140" spans="1:25" x14ac:dyDescent="0.3">
      <c r="A140" s="5">
        <v>35</v>
      </c>
      <c r="B140" s="5">
        <v>3500</v>
      </c>
      <c r="C140" s="5">
        <v>1126</v>
      </c>
      <c r="D140" s="5" t="s">
        <v>33</v>
      </c>
      <c r="E140" s="5" t="s">
        <v>34</v>
      </c>
      <c r="F140" s="13">
        <v>132</v>
      </c>
      <c r="G140" s="13" t="s">
        <v>169</v>
      </c>
      <c r="H140" s="13">
        <v>1593</v>
      </c>
      <c r="I140" s="13">
        <v>148</v>
      </c>
      <c r="J140" s="13">
        <v>305</v>
      </c>
      <c r="K140" s="13">
        <v>592</v>
      </c>
      <c r="L140" s="13">
        <v>548</v>
      </c>
      <c r="M140" s="13">
        <f t="shared" si="10"/>
        <v>1593</v>
      </c>
      <c r="N140" s="14">
        <v>19.649999999999999</v>
      </c>
      <c r="O140" s="14">
        <v>9.86</v>
      </c>
      <c r="P140" s="14">
        <v>6.8</v>
      </c>
      <c r="Q140" s="14">
        <v>12.63</v>
      </c>
      <c r="R140" s="14">
        <v>3.5</v>
      </c>
      <c r="S140" s="14">
        <v>6.16</v>
      </c>
      <c r="T140" s="14">
        <f t="shared" si="11"/>
        <v>58.599999999999994</v>
      </c>
      <c r="V140" s="15">
        <f t="shared" si="12"/>
        <v>0.41621391986980039</v>
      </c>
      <c r="W140" s="15">
        <f t="shared" si="13"/>
        <v>0.62654492365133307</v>
      </c>
      <c r="Y140" s="15">
        <f t="shared" si="14"/>
        <v>0.55855272605428163</v>
      </c>
    </row>
    <row r="141" spans="1:25" x14ac:dyDescent="0.3">
      <c r="A141" s="5">
        <v>35</v>
      </c>
      <c r="B141" s="5">
        <v>3500</v>
      </c>
      <c r="C141" s="5">
        <v>1127</v>
      </c>
      <c r="D141" s="5" t="s">
        <v>33</v>
      </c>
      <c r="E141" s="5" t="s">
        <v>34</v>
      </c>
      <c r="F141" s="13">
        <v>133</v>
      </c>
      <c r="G141" s="13" t="s">
        <v>170</v>
      </c>
      <c r="H141" s="13">
        <v>1246</v>
      </c>
      <c r="I141" s="13">
        <v>95</v>
      </c>
      <c r="J141" s="13">
        <v>174</v>
      </c>
      <c r="K141" s="13">
        <v>483</v>
      </c>
      <c r="L141" s="13">
        <v>494</v>
      </c>
      <c r="M141" s="13">
        <f t="shared" si="10"/>
        <v>1246</v>
      </c>
      <c r="N141" s="14">
        <v>20.18</v>
      </c>
      <c r="O141" s="14">
        <v>14.63</v>
      </c>
      <c r="P141" s="14">
        <v>7</v>
      </c>
      <c r="Q141" s="14">
        <v>12.48</v>
      </c>
      <c r="R141" s="14">
        <v>3.5</v>
      </c>
      <c r="S141" s="14">
        <v>7</v>
      </c>
      <c r="T141" s="14">
        <f t="shared" si="11"/>
        <v>64.790000000000006</v>
      </c>
      <c r="V141" s="15">
        <f t="shared" si="12"/>
        <v>0.33433163669629129</v>
      </c>
      <c r="W141" s="15">
        <f t="shared" si="13"/>
        <v>0.72714645860258798</v>
      </c>
      <c r="Y141" s="15">
        <f t="shared" si="14"/>
        <v>0.48303300464314786</v>
      </c>
    </row>
    <row r="142" spans="1:25" x14ac:dyDescent="0.3">
      <c r="A142" s="5">
        <v>35</v>
      </c>
      <c r="B142" s="5">
        <v>3500</v>
      </c>
      <c r="C142" s="5">
        <v>1129</v>
      </c>
      <c r="D142" s="5" t="s">
        <v>33</v>
      </c>
      <c r="E142" s="5" t="s">
        <v>34</v>
      </c>
      <c r="F142" s="13">
        <v>134</v>
      </c>
      <c r="G142" s="13" t="s">
        <v>171</v>
      </c>
      <c r="H142" s="13">
        <v>1884</v>
      </c>
      <c r="I142" s="13">
        <v>326</v>
      </c>
      <c r="J142" s="13">
        <v>449</v>
      </c>
      <c r="K142" s="13">
        <v>715</v>
      </c>
      <c r="L142" s="13">
        <v>394</v>
      </c>
      <c r="M142" s="13">
        <f t="shared" si="10"/>
        <v>1884</v>
      </c>
      <c r="N142" s="14">
        <v>26.42</v>
      </c>
      <c r="O142" s="14">
        <v>11.41</v>
      </c>
      <c r="P142" s="14">
        <v>7</v>
      </c>
      <c r="Q142" s="14">
        <v>12.63</v>
      </c>
      <c r="R142" s="14">
        <v>3.5</v>
      </c>
      <c r="S142" s="14">
        <v>7</v>
      </c>
      <c r="T142" s="14">
        <f t="shared" si="11"/>
        <v>67.960000000000008</v>
      </c>
      <c r="V142" s="15">
        <f t="shared" si="12"/>
        <v>0.66183843122237651</v>
      </c>
      <c r="W142" s="15">
        <f t="shared" si="13"/>
        <v>0.85748408405533483</v>
      </c>
      <c r="Y142" s="15">
        <f t="shared" si="14"/>
        <v>0.76609927720070847</v>
      </c>
    </row>
    <row r="143" spans="1:25" x14ac:dyDescent="0.3">
      <c r="A143" s="5">
        <v>35</v>
      </c>
      <c r="B143" s="5">
        <v>3500</v>
      </c>
      <c r="C143" s="5">
        <v>1131</v>
      </c>
      <c r="D143" s="5" t="s">
        <v>33</v>
      </c>
      <c r="E143" s="5" t="s">
        <v>34</v>
      </c>
      <c r="F143" s="13">
        <v>135</v>
      </c>
      <c r="G143" s="13" t="s">
        <v>172</v>
      </c>
      <c r="H143" s="13">
        <v>1337</v>
      </c>
      <c r="I143" s="13">
        <v>235</v>
      </c>
      <c r="J143" s="13">
        <v>528</v>
      </c>
      <c r="K143" s="13">
        <v>515</v>
      </c>
      <c r="L143" s="13">
        <v>59</v>
      </c>
      <c r="M143" s="13">
        <f t="shared" si="10"/>
        <v>1337</v>
      </c>
      <c r="N143" s="14">
        <v>26.07</v>
      </c>
      <c r="O143" s="14">
        <v>7.49</v>
      </c>
      <c r="P143" s="14">
        <v>6.78</v>
      </c>
      <c r="Q143" s="14">
        <v>11.57</v>
      </c>
      <c r="R143" s="14">
        <v>4.18</v>
      </c>
      <c r="S143" s="14">
        <v>7.15</v>
      </c>
      <c r="T143" s="14">
        <f t="shared" si="11"/>
        <v>63.24</v>
      </c>
      <c r="V143" s="15">
        <f t="shared" si="12"/>
        <v>0.46345834729468832</v>
      </c>
      <c r="W143" s="15">
        <f t="shared" si="13"/>
        <v>0.3994594961147544</v>
      </c>
      <c r="Y143" s="15">
        <f t="shared" si="14"/>
        <v>0.5059109185773778</v>
      </c>
    </row>
    <row r="144" spans="1:25" x14ac:dyDescent="0.3">
      <c r="A144" s="5">
        <v>35</v>
      </c>
      <c r="B144" s="5">
        <v>3500</v>
      </c>
      <c r="C144" s="5">
        <v>122206</v>
      </c>
      <c r="D144" s="5" t="s">
        <v>33</v>
      </c>
      <c r="E144" s="5" t="s">
        <v>34</v>
      </c>
      <c r="F144" s="13">
        <v>136</v>
      </c>
      <c r="G144" s="13" t="s">
        <v>173</v>
      </c>
      <c r="H144" s="13">
        <v>1372</v>
      </c>
      <c r="I144" s="13">
        <v>195</v>
      </c>
      <c r="J144" s="13">
        <v>158</v>
      </c>
      <c r="K144" s="13">
        <v>542</v>
      </c>
      <c r="L144" s="13">
        <v>477</v>
      </c>
      <c r="M144" s="13">
        <f t="shared" si="10"/>
        <v>1372</v>
      </c>
      <c r="N144" s="14">
        <v>21.51</v>
      </c>
      <c r="O144" s="14">
        <v>8.18</v>
      </c>
      <c r="P144" s="14">
        <v>7</v>
      </c>
      <c r="Q144" s="14">
        <v>12.63</v>
      </c>
      <c r="R144" s="14">
        <v>3.5</v>
      </c>
      <c r="S144" s="14">
        <v>7</v>
      </c>
      <c r="T144" s="14">
        <f t="shared" si="11"/>
        <v>59.82</v>
      </c>
      <c r="V144" s="15">
        <f t="shared" si="12"/>
        <v>0.39240342731319711</v>
      </c>
      <c r="W144" s="15">
        <f t="shared" si="13"/>
        <v>0.44767922390822207</v>
      </c>
      <c r="Y144" s="15">
        <f t="shared" si="14"/>
        <v>0.49107893351203863</v>
      </c>
    </row>
    <row r="145" spans="1:25" x14ac:dyDescent="0.3">
      <c r="A145" s="5">
        <v>35</v>
      </c>
      <c r="B145" s="5">
        <v>3500</v>
      </c>
      <c r="C145" s="5">
        <v>1132</v>
      </c>
      <c r="D145" s="5" t="s">
        <v>33</v>
      </c>
      <c r="E145" s="5" t="s">
        <v>34</v>
      </c>
      <c r="F145" s="13">
        <v>137</v>
      </c>
      <c r="G145" s="13" t="s">
        <v>174</v>
      </c>
      <c r="H145" s="13">
        <v>1733</v>
      </c>
      <c r="I145" s="13">
        <v>345</v>
      </c>
      <c r="J145" s="13">
        <v>678</v>
      </c>
      <c r="K145" s="13">
        <v>710</v>
      </c>
      <c r="L145" s="13">
        <v>0</v>
      </c>
      <c r="M145" s="13">
        <f t="shared" si="10"/>
        <v>1733</v>
      </c>
      <c r="N145" s="14">
        <v>22.83</v>
      </c>
      <c r="O145" s="14">
        <v>13.37</v>
      </c>
      <c r="P145" s="14">
        <v>7.21</v>
      </c>
      <c r="Q145" s="14">
        <v>12.51</v>
      </c>
      <c r="R145" s="14">
        <v>3.5</v>
      </c>
      <c r="S145" s="14">
        <v>7</v>
      </c>
      <c r="T145" s="14">
        <f t="shared" si="11"/>
        <v>66.419999999999987</v>
      </c>
      <c r="V145" s="15">
        <f t="shared" si="12"/>
        <v>0.52606904089480311</v>
      </c>
      <c r="W145" s="15">
        <f t="shared" si="13"/>
        <v>0.92425007579021257</v>
      </c>
      <c r="Y145" s="15">
        <f t="shared" si="14"/>
        <v>0.68872875879565343</v>
      </c>
    </row>
    <row r="146" spans="1:25" x14ac:dyDescent="0.3">
      <c r="A146" s="5">
        <v>35</v>
      </c>
      <c r="B146" s="5">
        <v>3500</v>
      </c>
      <c r="C146" s="5">
        <v>1133</v>
      </c>
      <c r="D146" s="5" t="s">
        <v>33</v>
      </c>
      <c r="E146" s="5" t="s">
        <v>34</v>
      </c>
      <c r="F146" s="13">
        <v>138</v>
      </c>
      <c r="G146" s="13" t="s">
        <v>175</v>
      </c>
      <c r="H146" s="13">
        <v>1347</v>
      </c>
      <c r="I146" s="13">
        <v>345</v>
      </c>
      <c r="J146" s="13">
        <v>671</v>
      </c>
      <c r="K146" s="13">
        <v>331</v>
      </c>
      <c r="L146" s="13">
        <v>0</v>
      </c>
      <c r="M146" s="13">
        <f t="shared" si="10"/>
        <v>1347</v>
      </c>
      <c r="N146" s="14">
        <v>26.6</v>
      </c>
      <c r="O146" s="14">
        <v>11.74</v>
      </c>
      <c r="P146" s="14">
        <v>7.21</v>
      </c>
      <c r="Q146" s="14">
        <v>12.63</v>
      </c>
      <c r="R146" s="14">
        <v>3.5</v>
      </c>
      <c r="S146" s="14">
        <v>7</v>
      </c>
      <c r="T146" s="14">
        <f t="shared" si="11"/>
        <v>68.680000000000007</v>
      </c>
      <c r="V146" s="15">
        <f t="shared" si="12"/>
        <v>0.47641727697732678</v>
      </c>
      <c r="W146" s="15">
        <f t="shared" si="13"/>
        <v>0.63080513139629513</v>
      </c>
      <c r="Y146" s="15">
        <f t="shared" si="14"/>
        <v>0.55353956249102487</v>
      </c>
    </row>
    <row r="147" spans="1:25" x14ac:dyDescent="0.3">
      <c r="A147" s="5">
        <v>35</v>
      </c>
      <c r="B147" s="5">
        <v>3500</v>
      </c>
      <c r="C147" s="5">
        <v>1134</v>
      </c>
      <c r="D147" s="5" t="s">
        <v>33</v>
      </c>
      <c r="E147" s="5" t="s">
        <v>34</v>
      </c>
      <c r="F147" s="13">
        <v>139</v>
      </c>
      <c r="G147" s="13" t="s">
        <v>176</v>
      </c>
      <c r="H147" s="13">
        <v>1144</v>
      </c>
      <c r="I147" s="13">
        <v>221</v>
      </c>
      <c r="J147" s="13">
        <v>321</v>
      </c>
      <c r="K147" s="13">
        <v>365</v>
      </c>
      <c r="L147" s="13">
        <v>237</v>
      </c>
      <c r="M147" s="13">
        <f t="shared" si="10"/>
        <v>1144</v>
      </c>
      <c r="N147" s="14">
        <v>20.57</v>
      </c>
      <c r="O147" s="14">
        <v>11.16</v>
      </c>
      <c r="P147" s="14">
        <v>7</v>
      </c>
      <c r="Q147" s="14">
        <v>12.66</v>
      </c>
      <c r="R147" s="14">
        <v>3.8</v>
      </c>
      <c r="S147" s="14">
        <v>7</v>
      </c>
      <c r="T147" s="14">
        <f t="shared" si="11"/>
        <v>62.19</v>
      </c>
      <c r="V147" s="15">
        <f t="shared" si="12"/>
        <v>0.31289497338034988</v>
      </c>
      <c r="W147" s="15">
        <f t="shared" si="13"/>
        <v>0.5092719352831363</v>
      </c>
      <c r="Y147" s="15">
        <f t="shared" si="14"/>
        <v>0.42569383945239575</v>
      </c>
    </row>
    <row r="148" spans="1:25" s="32" customFormat="1" x14ac:dyDescent="0.3">
      <c r="A148" s="32">
        <v>35</v>
      </c>
      <c r="B148" s="32">
        <v>3500</v>
      </c>
      <c r="C148" s="32">
        <v>1135</v>
      </c>
      <c r="D148" s="32" t="s">
        <v>33</v>
      </c>
      <c r="E148" s="32" t="s">
        <v>34</v>
      </c>
      <c r="F148" s="33">
        <v>140</v>
      </c>
      <c r="G148" s="33" t="s">
        <v>177</v>
      </c>
      <c r="H148" s="33">
        <v>2522</v>
      </c>
      <c r="I148" s="33">
        <v>562</v>
      </c>
      <c r="J148" s="33">
        <v>452</v>
      </c>
      <c r="K148" s="33">
        <v>865</v>
      </c>
      <c r="L148" s="33">
        <v>643</v>
      </c>
      <c r="M148" s="33">
        <f t="shared" si="10"/>
        <v>2522</v>
      </c>
      <c r="N148" s="34">
        <v>34.270000000000003</v>
      </c>
      <c r="O148" s="34">
        <v>12.25</v>
      </c>
      <c r="P148" s="34">
        <v>4.8</v>
      </c>
      <c r="Q148" s="34">
        <v>8.1</v>
      </c>
      <c r="R148" s="34">
        <v>3.65</v>
      </c>
      <c r="S148" s="34">
        <v>4.96</v>
      </c>
      <c r="T148" s="34">
        <f t="shared" si="11"/>
        <v>68.03</v>
      </c>
      <c r="V148" s="16">
        <f t="shared" si="12"/>
        <v>1.149204867593169</v>
      </c>
      <c r="W148" s="16">
        <f t="shared" si="13"/>
        <v>1.232368803152873</v>
      </c>
      <c r="Y148" s="16">
        <f t="shared" si="14"/>
        <v>1.026588363410081</v>
      </c>
    </row>
    <row r="149" spans="1:25" x14ac:dyDescent="0.3">
      <c r="A149" s="5">
        <v>35</v>
      </c>
      <c r="B149" s="5">
        <v>3500</v>
      </c>
      <c r="C149" s="5">
        <v>1136</v>
      </c>
      <c r="D149" s="5" t="s">
        <v>33</v>
      </c>
      <c r="E149" s="5" t="s">
        <v>34</v>
      </c>
      <c r="F149" s="13">
        <v>141</v>
      </c>
      <c r="G149" s="13" t="s">
        <v>178</v>
      </c>
      <c r="H149" s="13">
        <v>1229</v>
      </c>
      <c r="I149" s="13">
        <v>195</v>
      </c>
      <c r="J149" s="13">
        <v>205</v>
      </c>
      <c r="K149" s="13">
        <v>458</v>
      </c>
      <c r="L149" s="13">
        <v>371</v>
      </c>
      <c r="M149" s="13">
        <f t="shared" si="10"/>
        <v>1229</v>
      </c>
      <c r="N149" s="14">
        <v>24.5</v>
      </c>
      <c r="O149" s="14">
        <v>8.98</v>
      </c>
      <c r="P149" s="14">
        <v>7.21</v>
      </c>
      <c r="Q149" s="14">
        <v>12.63</v>
      </c>
      <c r="R149" s="14">
        <v>3.5</v>
      </c>
      <c r="S149" s="14">
        <v>4.43</v>
      </c>
      <c r="T149" s="14">
        <f t="shared" si="11"/>
        <v>61.250000000000007</v>
      </c>
      <c r="V149" s="15">
        <f t="shared" si="12"/>
        <v>0.40036512267377233</v>
      </c>
      <c r="W149" s="15">
        <f t="shared" si="13"/>
        <v>0.44023822060536433</v>
      </c>
      <c r="Y149" s="15">
        <f t="shared" si="14"/>
        <v>0.45041076300799399</v>
      </c>
    </row>
    <row r="150" spans="1:25" x14ac:dyDescent="0.3">
      <c r="A150" s="5">
        <v>35</v>
      </c>
      <c r="B150" s="5">
        <v>3500</v>
      </c>
      <c r="C150" s="5">
        <v>1137</v>
      </c>
      <c r="D150" s="5" t="s">
        <v>33</v>
      </c>
      <c r="E150" s="5" t="s">
        <v>34</v>
      </c>
      <c r="F150" s="13">
        <v>142</v>
      </c>
      <c r="G150" s="13" t="s">
        <v>179</v>
      </c>
      <c r="H150" s="13">
        <v>1475</v>
      </c>
      <c r="I150" s="13">
        <v>255</v>
      </c>
      <c r="J150" s="13">
        <v>296</v>
      </c>
      <c r="K150" s="13">
        <v>434</v>
      </c>
      <c r="L150" s="13">
        <v>490</v>
      </c>
      <c r="M150" s="13">
        <f t="shared" si="10"/>
        <v>1475</v>
      </c>
      <c r="N150" s="14">
        <v>11.3</v>
      </c>
      <c r="O150" s="14">
        <v>12.23</v>
      </c>
      <c r="P150" s="14">
        <v>7.21</v>
      </c>
      <c r="Q150" s="14">
        <v>12.63</v>
      </c>
      <c r="R150" s="14">
        <v>3.5</v>
      </c>
      <c r="S150" s="14">
        <v>7.76</v>
      </c>
      <c r="T150" s="14">
        <f t="shared" si="11"/>
        <v>54.63</v>
      </c>
      <c r="V150" s="15">
        <f t="shared" si="12"/>
        <v>0.22161988947925476</v>
      </c>
      <c r="W150" s="15">
        <f t="shared" si="13"/>
        <v>0.71957820752158019</v>
      </c>
      <c r="Y150" s="15">
        <f t="shared" si="14"/>
        <v>0.4821409338949787</v>
      </c>
    </row>
    <row r="151" spans="1:25" x14ac:dyDescent="0.3">
      <c r="A151" s="5">
        <v>35</v>
      </c>
      <c r="B151" s="5">
        <v>3500</v>
      </c>
      <c r="C151" s="5">
        <v>1138</v>
      </c>
      <c r="D151" s="5" t="s">
        <v>33</v>
      </c>
      <c r="E151" s="5" t="s">
        <v>34</v>
      </c>
      <c r="F151" s="13">
        <v>143</v>
      </c>
      <c r="G151" s="13" t="s">
        <v>180</v>
      </c>
      <c r="H151" s="13">
        <v>1292</v>
      </c>
      <c r="I151" s="13">
        <v>382</v>
      </c>
      <c r="J151" s="13">
        <v>225</v>
      </c>
      <c r="K151" s="13">
        <v>416</v>
      </c>
      <c r="L151" s="13">
        <v>269</v>
      </c>
      <c r="M151" s="13">
        <f t="shared" si="10"/>
        <v>1292</v>
      </c>
      <c r="N151" s="14">
        <v>27.87</v>
      </c>
      <c r="O151" s="14">
        <v>13.87</v>
      </c>
      <c r="P151" s="14">
        <v>5.18</v>
      </c>
      <c r="Q151" s="14">
        <v>11.01</v>
      </c>
      <c r="R151" s="14">
        <v>3.5</v>
      </c>
      <c r="S151" s="14">
        <v>6.11</v>
      </c>
      <c r="T151" s="14">
        <f t="shared" si="11"/>
        <v>67.540000000000006</v>
      </c>
      <c r="V151" s="15">
        <f t="shared" si="12"/>
        <v>0.47878193161329441</v>
      </c>
      <c r="W151" s="15">
        <f t="shared" si="13"/>
        <v>0.71482297001898742</v>
      </c>
      <c r="Y151" s="15">
        <f t="shared" si="14"/>
        <v>0.52212483844717827</v>
      </c>
    </row>
    <row r="152" spans="1:25" x14ac:dyDescent="0.3">
      <c r="A152" s="5">
        <v>35</v>
      </c>
      <c r="B152" s="5">
        <v>3500</v>
      </c>
      <c r="C152" s="5">
        <v>1139</v>
      </c>
      <c r="D152" s="5" t="s">
        <v>33</v>
      </c>
      <c r="E152" s="5" t="s">
        <v>34</v>
      </c>
      <c r="F152" s="13">
        <v>144</v>
      </c>
      <c r="G152" s="13" t="s">
        <v>181</v>
      </c>
      <c r="H152" s="13">
        <v>1274</v>
      </c>
      <c r="I152" s="13">
        <v>95</v>
      </c>
      <c r="J152" s="13">
        <v>196</v>
      </c>
      <c r="K152" s="13">
        <v>387</v>
      </c>
      <c r="L152" s="13">
        <v>596</v>
      </c>
      <c r="M152" s="13">
        <f t="shared" si="10"/>
        <v>1274</v>
      </c>
      <c r="N152" s="14">
        <v>19.809999999999999</v>
      </c>
      <c r="O152" s="14">
        <v>9.1199999999999992</v>
      </c>
      <c r="P152" s="14">
        <v>7</v>
      </c>
      <c r="Q152" s="14">
        <v>10.5</v>
      </c>
      <c r="R152" s="14">
        <v>3.5</v>
      </c>
      <c r="S152" s="14">
        <v>7.23</v>
      </c>
      <c r="T152" s="14">
        <f t="shared" si="11"/>
        <v>57.16</v>
      </c>
      <c r="V152" s="15">
        <f t="shared" si="12"/>
        <v>0.33557698955956577</v>
      </c>
      <c r="W152" s="15">
        <f t="shared" si="13"/>
        <v>0.46347230864965772</v>
      </c>
      <c r="Y152" s="15">
        <f t="shared" si="14"/>
        <v>0.43572495332918482</v>
      </c>
    </row>
    <row r="153" spans="1:25" x14ac:dyDescent="0.3">
      <c r="A153" s="5">
        <v>35</v>
      </c>
      <c r="B153" s="5">
        <v>3500</v>
      </c>
      <c r="C153" s="5">
        <v>1140</v>
      </c>
      <c r="D153" s="5" t="s">
        <v>33</v>
      </c>
      <c r="E153" s="5" t="s">
        <v>34</v>
      </c>
      <c r="F153" s="13">
        <v>145</v>
      </c>
      <c r="G153" s="13" t="s">
        <v>182</v>
      </c>
      <c r="H153" s="13">
        <v>1779</v>
      </c>
      <c r="I153" s="13">
        <v>0</v>
      </c>
      <c r="J153" s="13">
        <v>298</v>
      </c>
      <c r="K153" s="13">
        <v>585</v>
      </c>
      <c r="L153" s="13">
        <v>896</v>
      </c>
      <c r="M153" s="13">
        <f t="shared" si="10"/>
        <v>1779</v>
      </c>
      <c r="N153" s="14">
        <v>14.54</v>
      </c>
      <c r="O153" s="14">
        <v>9.64</v>
      </c>
      <c r="P153" s="14">
        <v>7</v>
      </c>
      <c r="Q153" s="14">
        <v>11.31</v>
      </c>
      <c r="R153" s="14">
        <v>3.5</v>
      </c>
      <c r="S153" s="14">
        <v>7.23</v>
      </c>
      <c r="T153" s="14">
        <f t="shared" si="11"/>
        <v>53.22</v>
      </c>
      <c r="V153" s="15">
        <f t="shared" si="12"/>
        <v>0.34393678298469837</v>
      </c>
      <c r="W153" s="15">
        <f t="shared" si="13"/>
        <v>0.68408884208510834</v>
      </c>
      <c r="Y153" s="15">
        <f t="shared" si="14"/>
        <v>0.56650220190512668</v>
      </c>
    </row>
    <row r="154" spans="1:25" x14ac:dyDescent="0.3">
      <c r="A154" s="5">
        <v>35</v>
      </c>
      <c r="B154" s="5">
        <v>3500</v>
      </c>
      <c r="C154" s="5">
        <v>1141</v>
      </c>
      <c r="D154" s="5" t="s">
        <v>33</v>
      </c>
      <c r="E154" s="5" t="s">
        <v>34</v>
      </c>
      <c r="F154" s="13">
        <v>146</v>
      </c>
      <c r="G154" s="13" t="s">
        <v>183</v>
      </c>
      <c r="H154" s="13">
        <v>1661</v>
      </c>
      <c r="I154" s="13">
        <v>0</v>
      </c>
      <c r="J154" s="13">
        <v>145</v>
      </c>
      <c r="K154" s="13">
        <v>562</v>
      </c>
      <c r="L154" s="13">
        <v>954</v>
      </c>
      <c r="M154" s="13">
        <f t="shared" si="10"/>
        <v>1661</v>
      </c>
      <c r="N154" s="14">
        <v>21.26</v>
      </c>
      <c r="O154" s="14">
        <v>10.44</v>
      </c>
      <c r="P154" s="14">
        <v>7</v>
      </c>
      <c r="Q154" s="14">
        <v>10.5</v>
      </c>
      <c r="R154" s="14">
        <v>3.5</v>
      </c>
      <c r="S154" s="14">
        <v>6.4</v>
      </c>
      <c r="T154" s="14">
        <f t="shared" si="11"/>
        <v>59.1</v>
      </c>
      <c r="V154" s="15">
        <f t="shared" si="12"/>
        <v>0.46953845090123869</v>
      </c>
      <c r="W154" s="15">
        <f t="shared" si="13"/>
        <v>0.691718922023838</v>
      </c>
      <c r="Y154" s="15">
        <f t="shared" si="14"/>
        <v>0.58736477430472456</v>
      </c>
    </row>
    <row r="155" spans="1:25" x14ac:dyDescent="0.3">
      <c r="A155" s="5">
        <v>35</v>
      </c>
      <c r="B155" s="5">
        <v>3500</v>
      </c>
      <c r="C155" s="5">
        <v>1142</v>
      </c>
      <c r="D155" s="5" t="s">
        <v>33</v>
      </c>
      <c r="E155" s="5" t="s">
        <v>34</v>
      </c>
      <c r="F155" s="13">
        <v>147</v>
      </c>
      <c r="G155" s="13" t="s">
        <v>184</v>
      </c>
      <c r="H155" s="13">
        <v>1044</v>
      </c>
      <c r="I155" s="13">
        <v>124</v>
      </c>
      <c r="J155" s="13">
        <v>254</v>
      </c>
      <c r="K155" s="13">
        <v>287</v>
      </c>
      <c r="L155" s="13">
        <v>379</v>
      </c>
      <c r="M155" s="13">
        <f t="shared" si="10"/>
        <v>1044</v>
      </c>
      <c r="N155" s="14">
        <v>20.72</v>
      </c>
      <c r="O155" s="14">
        <v>10.77</v>
      </c>
      <c r="P155" s="14">
        <v>8.5</v>
      </c>
      <c r="Q155" s="14">
        <v>12.31</v>
      </c>
      <c r="R155" s="14">
        <v>4.25</v>
      </c>
      <c r="S155" s="14">
        <v>7.4</v>
      </c>
      <c r="T155" s="14">
        <f t="shared" si="11"/>
        <v>63.949999999999996</v>
      </c>
      <c r="V155" s="15">
        <f t="shared" si="12"/>
        <v>0.28762625053850943</v>
      </c>
      <c r="W155" s="15">
        <f t="shared" si="13"/>
        <v>0.44851371403953855</v>
      </c>
      <c r="Y155" s="15">
        <f t="shared" si="14"/>
        <v>0.39947704753243019</v>
      </c>
    </row>
    <row r="156" spans="1:25" x14ac:dyDescent="0.3">
      <c r="A156" s="5">
        <v>35</v>
      </c>
      <c r="B156" s="5">
        <v>3500</v>
      </c>
      <c r="C156" s="5">
        <v>1145</v>
      </c>
      <c r="D156" s="5" t="s">
        <v>33</v>
      </c>
      <c r="E156" s="5" t="s">
        <v>34</v>
      </c>
      <c r="F156" s="13">
        <v>148</v>
      </c>
      <c r="G156" s="13" t="s">
        <v>185</v>
      </c>
      <c r="H156" s="13">
        <v>1476</v>
      </c>
      <c r="I156" s="13">
        <v>584</v>
      </c>
      <c r="J156" s="13">
        <v>639</v>
      </c>
      <c r="K156" s="13">
        <v>253</v>
      </c>
      <c r="L156" s="13">
        <v>0</v>
      </c>
      <c r="M156" s="13">
        <f t="shared" si="10"/>
        <v>1476</v>
      </c>
      <c r="N156" s="14">
        <v>12.06</v>
      </c>
      <c r="O156" s="14">
        <v>7.0414362434762596</v>
      </c>
      <c r="P156" s="14">
        <v>4</v>
      </c>
      <c r="Q156" s="14">
        <v>7.5</v>
      </c>
      <c r="R156" s="14">
        <v>2.5</v>
      </c>
      <c r="S156" s="14">
        <v>7</v>
      </c>
      <c r="T156" s="14">
        <f t="shared" si="11"/>
        <v>40.101436243476257</v>
      </c>
      <c r="V156" s="15">
        <f t="shared" si="12"/>
        <v>0.23668565410942513</v>
      </c>
      <c r="W156" s="15">
        <f t="shared" si="13"/>
        <v>0.41457884158134117</v>
      </c>
      <c r="Y156" s="15">
        <f t="shared" si="14"/>
        <v>0.35415801000054425</v>
      </c>
    </row>
    <row r="157" spans="1:25" x14ac:dyDescent="0.3">
      <c r="A157" s="5">
        <v>35</v>
      </c>
      <c r="B157" s="5">
        <v>3500</v>
      </c>
      <c r="C157" s="5">
        <v>1146</v>
      </c>
      <c r="D157" s="5" t="s">
        <v>33</v>
      </c>
      <c r="E157" s="5" t="s">
        <v>34</v>
      </c>
      <c r="F157" s="13">
        <v>149</v>
      </c>
      <c r="G157" s="13" t="s">
        <v>186</v>
      </c>
      <c r="H157" s="13">
        <v>1054</v>
      </c>
      <c r="I157" s="13">
        <v>387</v>
      </c>
      <c r="J157" s="13">
        <v>242</v>
      </c>
      <c r="K157" s="13">
        <v>425</v>
      </c>
      <c r="L157" s="13">
        <v>0</v>
      </c>
      <c r="M157" s="13">
        <f t="shared" si="10"/>
        <v>1054</v>
      </c>
      <c r="N157" s="14">
        <v>13.04</v>
      </c>
      <c r="O157" s="14">
        <v>9.996206332105702</v>
      </c>
      <c r="P157" s="14">
        <v>4</v>
      </c>
      <c r="Q157" s="14">
        <v>7.5</v>
      </c>
      <c r="R157" s="14">
        <v>2.5</v>
      </c>
      <c r="S157" s="14">
        <v>5</v>
      </c>
      <c r="T157" s="14">
        <f t="shared" si="11"/>
        <v>42.036206332105699</v>
      </c>
      <c r="V157" s="15">
        <f t="shared" si="12"/>
        <v>0.18274961573032511</v>
      </c>
      <c r="W157" s="15">
        <f t="shared" si="13"/>
        <v>0.42027673296473012</v>
      </c>
      <c r="Y157" s="15">
        <f t="shared" si="14"/>
        <v>0.26510316328825456</v>
      </c>
    </row>
    <row r="158" spans="1:25" x14ac:dyDescent="0.3">
      <c r="A158" s="5">
        <v>35</v>
      </c>
      <c r="B158" s="5">
        <v>3500</v>
      </c>
      <c r="C158" s="5">
        <v>1147</v>
      </c>
      <c r="D158" s="5" t="s">
        <v>33</v>
      </c>
      <c r="E158" s="5" t="s">
        <v>34</v>
      </c>
      <c r="F158" s="13">
        <v>150</v>
      </c>
      <c r="G158" s="13" t="s">
        <v>187</v>
      </c>
      <c r="H158" s="13">
        <v>1430</v>
      </c>
      <c r="I158" s="13">
        <v>958</v>
      </c>
      <c r="J158" s="13">
        <v>472</v>
      </c>
      <c r="K158" s="13">
        <v>0</v>
      </c>
      <c r="L158" s="13">
        <v>0</v>
      </c>
      <c r="M158" s="13">
        <f t="shared" si="10"/>
        <v>1430</v>
      </c>
      <c r="N158" s="14">
        <v>19.53</v>
      </c>
      <c r="O158" s="14">
        <v>8.0322155099118735</v>
      </c>
      <c r="P158" s="14">
        <v>4</v>
      </c>
      <c r="Q158" s="14">
        <v>7.5</v>
      </c>
      <c r="R158" s="14">
        <v>2.5</v>
      </c>
      <c r="S158" s="14">
        <v>5</v>
      </c>
      <c r="T158" s="14">
        <f t="shared" si="11"/>
        <v>46.562215509911873</v>
      </c>
      <c r="V158" s="15">
        <f t="shared" si="12"/>
        <v>0.3713441194772869</v>
      </c>
      <c r="W158" s="15">
        <f t="shared" si="13"/>
        <v>0.45817450015054251</v>
      </c>
      <c r="Y158" s="15">
        <f t="shared" si="14"/>
        <v>0.3984010350101358</v>
      </c>
    </row>
    <row r="159" spans="1:25" x14ac:dyDescent="0.3">
      <c r="A159" s="5">
        <v>35</v>
      </c>
      <c r="B159" s="5">
        <v>3500</v>
      </c>
      <c r="C159" s="5">
        <v>1143</v>
      </c>
      <c r="D159" s="5" t="s">
        <v>33</v>
      </c>
      <c r="E159" s="5" t="s">
        <v>34</v>
      </c>
      <c r="F159" s="13">
        <v>151</v>
      </c>
      <c r="G159" s="13" t="s">
        <v>188</v>
      </c>
      <c r="H159" s="13">
        <v>1185</v>
      </c>
      <c r="I159" s="13">
        <v>115</v>
      </c>
      <c r="J159" s="13">
        <v>196</v>
      </c>
      <c r="K159" s="13">
        <v>542</v>
      </c>
      <c r="L159" s="13">
        <v>332</v>
      </c>
      <c r="M159" s="13">
        <f t="shared" si="10"/>
        <v>1185</v>
      </c>
      <c r="N159" s="14">
        <v>26</v>
      </c>
      <c r="O159" s="14">
        <v>8</v>
      </c>
      <c r="P159" s="14">
        <v>6</v>
      </c>
      <c r="Q159" s="14">
        <v>8</v>
      </c>
      <c r="R159" s="14">
        <v>3</v>
      </c>
      <c r="S159" s="14">
        <v>6</v>
      </c>
      <c r="T159" s="14">
        <f t="shared" si="11"/>
        <v>57</v>
      </c>
      <c r="V159" s="15">
        <f t="shared" si="12"/>
        <v>0.40966604438913085</v>
      </c>
      <c r="W159" s="15">
        <f t="shared" si="13"/>
        <v>0.37815327174381314</v>
      </c>
      <c r="Y159" s="15">
        <f t="shared" si="14"/>
        <v>0.40415130917620029</v>
      </c>
    </row>
    <row r="160" spans="1:25" x14ac:dyDescent="0.3">
      <c r="A160" s="5">
        <v>35</v>
      </c>
      <c r="B160" s="5">
        <v>3500</v>
      </c>
      <c r="C160" s="5">
        <v>1144</v>
      </c>
      <c r="D160" s="5" t="s">
        <v>33</v>
      </c>
      <c r="E160" s="5" t="s">
        <v>34</v>
      </c>
      <c r="F160" s="13">
        <v>152</v>
      </c>
      <c r="G160" s="13" t="s">
        <v>189</v>
      </c>
      <c r="H160" s="13">
        <v>1120</v>
      </c>
      <c r="I160" s="13">
        <v>55</v>
      </c>
      <c r="J160" s="13">
        <v>245</v>
      </c>
      <c r="K160" s="13">
        <v>525</v>
      </c>
      <c r="L160" s="13">
        <v>295</v>
      </c>
      <c r="M160" s="13">
        <f t="shared" si="10"/>
        <v>1120</v>
      </c>
      <c r="N160" s="14">
        <v>12.44</v>
      </c>
      <c r="O160" s="14">
        <v>9</v>
      </c>
      <c r="P160" s="14">
        <v>6</v>
      </c>
      <c r="Q160" s="14">
        <v>8</v>
      </c>
      <c r="R160" s="14">
        <v>3</v>
      </c>
      <c r="S160" s="14">
        <v>6</v>
      </c>
      <c r="T160" s="14">
        <f t="shared" si="11"/>
        <v>44.44</v>
      </c>
      <c r="V160" s="15">
        <f t="shared" si="12"/>
        <v>0.18525787287454989</v>
      </c>
      <c r="W160" s="15">
        <f t="shared" si="13"/>
        <v>0.40208702312000383</v>
      </c>
      <c r="Y160" s="15">
        <f t="shared" si="14"/>
        <v>0.29781245512421617</v>
      </c>
    </row>
    <row r="161" spans="1:25" x14ac:dyDescent="0.3">
      <c r="F161" s="13"/>
      <c r="G161" s="17" t="s">
        <v>190</v>
      </c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4"/>
      <c r="V161" s="15">
        <f t="shared" si="12"/>
        <v>0</v>
      </c>
      <c r="W161" s="15">
        <f t="shared" si="13"/>
        <v>0</v>
      </c>
      <c r="Y161" s="15">
        <f t="shared" si="14"/>
        <v>0</v>
      </c>
    </row>
    <row r="162" spans="1:25" x14ac:dyDescent="0.3">
      <c r="A162" s="5">
        <v>35</v>
      </c>
      <c r="B162" s="5">
        <v>3500</v>
      </c>
      <c r="C162" s="5">
        <v>1229</v>
      </c>
      <c r="D162" s="5" t="s">
        <v>33</v>
      </c>
      <c r="E162" s="5" t="s">
        <v>34</v>
      </c>
      <c r="F162" s="13">
        <v>153</v>
      </c>
      <c r="G162" s="13" t="s">
        <v>191</v>
      </c>
      <c r="H162" s="13">
        <v>1151</v>
      </c>
      <c r="I162" s="13">
        <v>0</v>
      </c>
      <c r="J162" s="13">
        <v>196</v>
      </c>
      <c r="K162" s="13">
        <v>414</v>
      </c>
      <c r="L162" s="13">
        <v>541</v>
      </c>
      <c r="M162" s="13">
        <f t="shared" si="10"/>
        <v>1151</v>
      </c>
      <c r="N162" s="14">
        <v>24.5</v>
      </c>
      <c r="O162" s="14">
        <v>11.8</v>
      </c>
      <c r="P162" s="14">
        <v>3.38</v>
      </c>
      <c r="Q162" s="14">
        <v>7.99</v>
      </c>
      <c r="R162" s="14">
        <v>2.5</v>
      </c>
      <c r="S162" s="14">
        <v>5.96</v>
      </c>
      <c r="T162" s="14">
        <f t="shared" si="11"/>
        <v>56.13</v>
      </c>
      <c r="V162" s="15">
        <f t="shared" si="12"/>
        <v>0.37495545662938318</v>
      </c>
      <c r="W162" s="15">
        <f t="shared" si="13"/>
        <v>0.54177237406857826</v>
      </c>
      <c r="Y162" s="15">
        <f t="shared" si="14"/>
        <v>0.38656377148054188</v>
      </c>
    </row>
    <row r="163" spans="1:25" x14ac:dyDescent="0.3">
      <c r="A163" s="5">
        <v>35</v>
      </c>
      <c r="B163" s="5">
        <v>3500</v>
      </c>
      <c r="C163" s="5">
        <v>1230</v>
      </c>
      <c r="D163" s="5" t="s">
        <v>33</v>
      </c>
      <c r="E163" s="5" t="s">
        <v>34</v>
      </c>
      <c r="F163" s="13">
        <v>154</v>
      </c>
      <c r="G163" s="13" t="s">
        <v>192</v>
      </c>
      <c r="H163" s="13">
        <v>319</v>
      </c>
      <c r="I163" s="13">
        <v>115</v>
      </c>
      <c r="J163" s="13">
        <v>67</v>
      </c>
      <c r="K163" s="13">
        <v>116</v>
      </c>
      <c r="L163" s="13">
        <v>21</v>
      </c>
      <c r="M163" s="13">
        <f t="shared" si="10"/>
        <v>319</v>
      </c>
      <c r="N163" s="14">
        <v>22.33</v>
      </c>
      <c r="O163" s="14">
        <v>11.96</v>
      </c>
      <c r="P163" s="14">
        <v>5.0599999999999996</v>
      </c>
      <c r="Q163" s="14">
        <v>10.71</v>
      </c>
      <c r="R163" s="14">
        <v>3.5</v>
      </c>
      <c r="S163" s="14">
        <v>7.95</v>
      </c>
      <c r="T163" s="14">
        <f t="shared" si="11"/>
        <v>61.510000000000005</v>
      </c>
      <c r="V163" s="15">
        <f t="shared" si="12"/>
        <v>9.4714762869709979E-2</v>
      </c>
      <c r="W163" s="15">
        <f t="shared" si="13"/>
        <v>0.15218834266749637</v>
      </c>
      <c r="Y163" s="15">
        <f t="shared" si="14"/>
        <v>0.11740516251017186</v>
      </c>
    </row>
    <row r="164" spans="1:25" x14ac:dyDescent="0.3">
      <c r="A164" s="5">
        <v>35</v>
      </c>
      <c r="B164" s="5">
        <v>3500</v>
      </c>
      <c r="C164" s="5">
        <v>1231</v>
      </c>
      <c r="D164" s="5" t="s">
        <v>33</v>
      </c>
      <c r="E164" s="5" t="s">
        <v>34</v>
      </c>
      <c r="F164" s="13">
        <v>155</v>
      </c>
      <c r="G164" s="13" t="s">
        <v>193</v>
      </c>
      <c r="H164" s="13">
        <v>309</v>
      </c>
      <c r="I164" s="13">
        <v>123</v>
      </c>
      <c r="J164" s="13">
        <v>96</v>
      </c>
      <c r="K164" s="13">
        <v>90</v>
      </c>
      <c r="L164" s="13">
        <v>0</v>
      </c>
      <c r="M164" s="13">
        <f t="shared" si="10"/>
        <v>309</v>
      </c>
      <c r="N164" s="14">
        <v>26.08</v>
      </c>
      <c r="O164" s="14">
        <v>14.97</v>
      </c>
      <c r="P164" s="14">
        <v>6.31</v>
      </c>
      <c r="Q164" s="14">
        <v>13.15</v>
      </c>
      <c r="R164" s="14">
        <v>4.25</v>
      </c>
      <c r="S164" s="14">
        <v>7.46</v>
      </c>
      <c r="T164" s="14">
        <f t="shared" si="11"/>
        <v>72.219999999999985</v>
      </c>
      <c r="V164" s="15">
        <f t="shared" si="12"/>
        <v>0.10715300049463083</v>
      </c>
      <c r="W164" s="15">
        <f t="shared" si="13"/>
        <v>0.18451845292231106</v>
      </c>
      <c r="Y164" s="15">
        <f t="shared" si="14"/>
        <v>0.13352627925901103</v>
      </c>
    </row>
    <row r="165" spans="1:25" x14ac:dyDescent="0.3">
      <c r="A165" s="5">
        <v>35</v>
      </c>
      <c r="B165" s="5">
        <v>3500</v>
      </c>
      <c r="C165" s="5">
        <v>1232</v>
      </c>
      <c r="D165" s="5" t="s">
        <v>33</v>
      </c>
      <c r="E165" s="5" t="s">
        <v>34</v>
      </c>
      <c r="F165" s="13">
        <v>156</v>
      </c>
      <c r="G165" s="13" t="s">
        <v>194</v>
      </c>
      <c r="H165" s="13">
        <v>350</v>
      </c>
      <c r="I165" s="13">
        <v>0</v>
      </c>
      <c r="J165" s="13">
        <v>15</v>
      </c>
      <c r="K165" s="13">
        <v>107</v>
      </c>
      <c r="L165" s="13">
        <v>228</v>
      </c>
      <c r="M165" s="13">
        <f t="shared" si="10"/>
        <v>350</v>
      </c>
      <c r="N165" s="14">
        <v>19.32</v>
      </c>
      <c r="O165" s="14">
        <v>4.95</v>
      </c>
      <c r="P165" s="14">
        <v>7.66</v>
      </c>
      <c r="Q165" s="14">
        <v>12.75</v>
      </c>
      <c r="R165" s="14">
        <v>4.25</v>
      </c>
      <c r="S165" s="14">
        <v>8.41</v>
      </c>
      <c r="T165" s="14">
        <f t="shared" si="11"/>
        <v>57.34</v>
      </c>
      <c r="V165" s="15">
        <f t="shared" si="12"/>
        <v>8.9911126003223082E-2</v>
      </c>
      <c r="W165" s="15">
        <f t="shared" si="13"/>
        <v>6.9108707098750652E-2</v>
      </c>
      <c r="Y165" s="15">
        <f t="shared" si="14"/>
        <v>0.12008161409219281</v>
      </c>
    </row>
    <row r="166" spans="1:25" x14ac:dyDescent="0.3">
      <c r="A166" s="5">
        <v>35</v>
      </c>
      <c r="B166" s="5">
        <v>3500</v>
      </c>
      <c r="C166" s="5">
        <v>1233</v>
      </c>
      <c r="D166" s="5" t="s">
        <v>33</v>
      </c>
      <c r="E166" s="5" t="s">
        <v>34</v>
      </c>
      <c r="F166" s="13">
        <v>157</v>
      </c>
      <c r="G166" s="13" t="s">
        <v>195</v>
      </c>
      <c r="H166" s="13">
        <v>63</v>
      </c>
      <c r="I166" s="13">
        <v>16</v>
      </c>
      <c r="J166" s="13">
        <v>32</v>
      </c>
      <c r="K166" s="13">
        <v>15</v>
      </c>
      <c r="L166" s="13">
        <v>0</v>
      </c>
      <c r="M166" s="13">
        <f t="shared" si="10"/>
        <v>63</v>
      </c>
      <c r="N166" s="14">
        <v>24.78</v>
      </c>
      <c r="O166" s="14">
        <v>14.94</v>
      </c>
      <c r="P166" s="14">
        <v>8.6999999999999993</v>
      </c>
      <c r="Q166" s="14">
        <v>12.75</v>
      </c>
      <c r="R166" s="14">
        <v>4.75</v>
      </c>
      <c r="S166" s="14">
        <v>7.7</v>
      </c>
      <c r="T166" s="14">
        <f t="shared" si="11"/>
        <v>73.62</v>
      </c>
      <c r="V166" s="15">
        <f t="shared" si="12"/>
        <v>2.0757742568570197E-2</v>
      </c>
      <c r="W166" s="15">
        <f t="shared" si="13"/>
        <v>3.7544875783830353E-2</v>
      </c>
      <c r="Y166" s="15">
        <f t="shared" si="14"/>
        <v>2.7751543726963767E-2</v>
      </c>
    </row>
    <row r="167" spans="1:25" x14ac:dyDescent="0.3">
      <c r="A167" s="5">
        <v>35</v>
      </c>
      <c r="B167" s="5">
        <v>3500</v>
      </c>
      <c r="C167" s="5">
        <v>1234</v>
      </c>
      <c r="D167" s="5" t="s">
        <v>33</v>
      </c>
      <c r="E167" s="5" t="s">
        <v>34</v>
      </c>
      <c r="F167" s="13">
        <v>158</v>
      </c>
      <c r="G167" s="13" t="s">
        <v>196</v>
      </c>
      <c r="H167" s="13">
        <v>777</v>
      </c>
      <c r="I167" s="13">
        <v>167</v>
      </c>
      <c r="J167" s="13">
        <v>265</v>
      </c>
      <c r="K167" s="13">
        <v>345</v>
      </c>
      <c r="L167" s="13">
        <v>0</v>
      </c>
      <c r="M167" s="13">
        <f t="shared" si="10"/>
        <v>777</v>
      </c>
      <c r="N167" s="14">
        <v>26.2</v>
      </c>
      <c r="O167" s="14">
        <v>4.6399999999999997</v>
      </c>
      <c r="P167" s="14">
        <v>5.75</v>
      </c>
      <c r="Q167" s="14">
        <v>12.75</v>
      </c>
      <c r="R167" s="14">
        <v>4.25</v>
      </c>
      <c r="S167" s="14">
        <v>7.74</v>
      </c>
      <c r="T167" s="14">
        <f t="shared" si="11"/>
        <v>61.330000000000005</v>
      </c>
      <c r="V167" s="15">
        <f t="shared" si="12"/>
        <v>0.27068275014759147</v>
      </c>
      <c r="W167" s="15">
        <f t="shared" si="13"/>
        <v>0.14381312526925469</v>
      </c>
      <c r="Y167" s="15">
        <f t="shared" si="14"/>
        <v>0.28513121679191999</v>
      </c>
    </row>
    <row r="168" spans="1:25" x14ac:dyDescent="0.3">
      <c r="A168" s="5">
        <v>35</v>
      </c>
      <c r="B168" s="5">
        <v>3500</v>
      </c>
      <c r="C168" s="5">
        <v>1235</v>
      </c>
      <c r="D168" s="5" t="s">
        <v>33</v>
      </c>
      <c r="E168" s="5" t="s">
        <v>34</v>
      </c>
      <c r="F168" s="13">
        <v>159</v>
      </c>
      <c r="G168" s="13" t="s">
        <v>197</v>
      </c>
      <c r="H168" s="13">
        <v>80</v>
      </c>
      <c r="I168" s="13">
        <v>0</v>
      </c>
      <c r="J168" s="13">
        <v>0</v>
      </c>
      <c r="K168" s="13">
        <v>15</v>
      </c>
      <c r="L168" s="13">
        <v>65</v>
      </c>
      <c r="M168" s="13">
        <f t="shared" si="10"/>
        <v>80</v>
      </c>
      <c r="N168" s="14">
        <v>4.5199999999999996</v>
      </c>
      <c r="O168" s="14">
        <v>5.29</v>
      </c>
      <c r="P168" s="14">
        <v>3.8</v>
      </c>
      <c r="Q168" s="14">
        <v>12.75</v>
      </c>
      <c r="R168" s="14">
        <v>4.25</v>
      </c>
      <c r="S168" s="14">
        <v>6.7</v>
      </c>
      <c r="T168" s="14">
        <f t="shared" si="11"/>
        <v>37.31</v>
      </c>
      <c r="V168" s="15">
        <f t="shared" si="12"/>
        <v>4.8080247209058655E-3</v>
      </c>
      <c r="W168" s="15">
        <f t="shared" si="13"/>
        <v>1.688127263733984E-2</v>
      </c>
      <c r="Y168" s="15">
        <f t="shared" si="14"/>
        <v>1.7859365276913505E-2</v>
      </c>
    </row>
    <row r="169" spans="1:25" s="32" customFormat="1" x14ac:dyDescent="0.3">
      <c r="A169" s="32">
        <v>35</v>
      </c>
      <c r="B169" s="32">
        <v>3500</v>
      </c>
      <c r="C169" s="32">
        <v>1090</v>
      </c>
      <c r="D169" s="32" t="s">
        <v>33</v>
      </c>
      <c r="E169" s="32" t="s">
        <v>34</v>
      </c>
      <c r="F169" s="33">
        <v>160</v>
      </c>
      <c r="G169" s="33" t="s">
        <v>198</v>
      </c>
      <c r="H169" s="33">
        <v>1523</v>
      </c>
      <c r="I169" s="33">
        <v>412</v>
      </c>
      <c r="J169" s="33">
        <v>300</v>
      </c>
      <c r="K169" s="33">
        <v>451</v>
      </c>
      <c r="L169" s="33">
        <v>360</v>
      </c>
      <c r="M169" s="33">
        <f t="shared" si="10"/>
        <v>1523</v>
      </c>
      <c r="N169" s="34">
        <v>32.229999999999997</v>
      </c>
      <c r="O169" s="34">
        <v>5.47</v>
      </c>
      <c r="P169" s="34">
        <v>4.24</v>
      </c>
      <c r="Q169" s="34">
        <v>8.58</v>
      </c>
      <c r="R169" s="34">
        <v>3.5</v>
      </c>
      <c r="S169" s="34">
        <v>5.8</v>
      </c>
      <c r="T169" s="34">
        <f t="shared" si="11"/>
        <v>59.819999999999993</v>
      </c>
      <c r="V169" s="16">
        <f t="shared" si="12"/>
        <v>0.65267725602199778</v>
      </c>
      <c r="W169" s="16">
        <f t="shared" si="13"/>
        <v>0.33231255883713873</v>
      </c>
      <c r="Y169" s="16">
        <f t="shared" si="14"/>
        <v>0.54512625053850927</v>
      </c>
    </row>
    <row r="170" spans="1:25" x14ac:dyDescent="0.3">
      <c r="A170" s="5">
        <v>35</v>
      </c>
      <c r="B170" s="5">
        <v>3500</v>
      </c>
      <c r="C170" s="5">
        <v>1091</v>
      </c>
      <c r="D170" s="5" t="s">
        <v>33</v>
      </c>
      <c r="E170" s="5" t="s">
        <v>34</v>
      </c>
      <c r="F170" s="13">
        <v>161</v>
      </c>
      <c r="G170" s="13" t="s">
        <v>199</v>
      </c>
      <c r="H170" s="13">
        <v>1736</v>
      </c>
      <c r="I170" s="13">
        <v>975</v>
      </c>
      <c r="J170" s="13">
        <v>346</v>
      </c>
      <c r="K170" s="13">
        <v>415</v>
      </c>
      <c r="L170" s="13">
        <v>0</v>
      </c>
      <c r="M170" s="13">
        <f t="shared" si="10"/>
        <v>1736</v>
      </c>
      <c r="N170" s="14">
        <v>24.43</v>
      </c>
      <c r="O170" s="14">
        <v>11.81</v>
      </c>
      <c r="P170" s="14">
        <v>4.2</v>
      </c>
      <c r="Q170" s="14">
        <v>7.3</v>
      </c>
      <c r="R170" s="14">
        <v>3.58</v>
      </c>
      <c r="S170" s="14">
        <v>4.16</v>
      </c>
      <c r="T170" s="14">
        <f t="shared" si="11"/>
        <v>55.480000000000004</v>
      </c>
      <c r="V170" s="15">
        <f t="shared" si="12"/>
        <v>0.56391215781383797</v>
      </c>
      <c r="W170" s="15">
        <f t="shared" si="13"/>
        <v>0.81782266685813676</v>
      </c>
      <c r="Y170" s="15">
        <f t="shared" si="14"/>
        <v>0.57628452443636025</v>
      </c>
    </row>
    <row r="171" spans="1:25" x14ac:dyDescent="0.3">
      <c r="A171" s="5">
        <v>35</v>
      </c>
      <c r="B171" s="5">
        <v>3500</v>
      </c>
      <c r="C171" s="5">
        <v>1092</v>
      </c>
      <c r="D171" s="5" t="s">
        <v>33</v>
      </c>
      <c r="E171" s="5" t="s">
        <v>34</v>
      </c>
      <c r="F171" s="13">
        <v>162</v>
      </c>
      <c r="G171" s="13" t="s">
        <v>200</v>
      </c>
      <c r="H171" s="13">
        <v>1074</v>
      </c>
      <c r="I171" s="13">
        <v>451</v>
      </c>
      <c r="J171" s="13">
        <v>552</v>
      </c>
      <c r="K171" s="13">
        <v>71</v>
      </c>
      <c r="L171" s="13">
        <v>0</v>
      </c>
      <c r="M171" s="13">
        <f t="shared" si="10"/>
        <v>1074</v>
      </c>
      <c r="N171" s="14">
        <v>26.12</v>
      </c>
      <c r="O171" s="14">
        <v>13.99</v>
      </c>
      <c r="P171" s="14">
        <v>6.63</v>
      </c>
      <c r="Q171" s="14">
        <v>11.4</v>
      </c>
      <c r="R171" s="14">
        <v>3.63</v>
      </c>
      <c r="S171" s="14">
        <v>7.03</v>
      </c>
      <c r="T171" s="14">
        <f t="shared" si="11"/>
        <v>68.8</v>
      </c>
      <c r="V171" s="15">
        <f t="shared" si="12"/>
        <v>0.37300591961450702</v>
      </c>
      <c r="W171" s="15">
        <f t="shared" si="13"/>
        <v>0.59935139533770521</v>
      </c>
      <c r="Y171" s="15">
        <f t="shared" si="14"/>
        <v>0.44212340242209563</v>
      </c>
    </row>
    <row r="172" spans="1:25" x14ac:dyDescent="0.3">
      <c r="A172" s="5">
        <v>35</v>
      </c>
      <c r="B172" s="5">
        <v>3500</v>
      </c>
      <c r="C172" s="5">
        <v>1093</v>
      </c>
      <c r="D172" s="5" t="s">
        <v>33</v>
      </c>
      <c r="E172" s="5" t="s">
        <v>34</v>
      </c>
      <c r="F172" s="13">
        <v>163</v>
      </c>
      <c r="G172" s="13" t="s">
        <v>201</v>
      </c>
      <c r="H172" s="13">
        <v>1074</v>
      </c>
      <c r="I172" s="13">
        <v>221</v>
      </c>
      <c r="J172" s="13">
        <v>269</v>
      </c>
      <c r="K172" s="13">
        <v>584</v>
      </c>
      <c r="L172" s="13">
        <v>0</v>
      </c>
      <c r="M172" s="13">
        <f t="shared" si="10"/>
        <v>1074</v>
      </c>
      <c r="N172" s="14">
        <v>23.65</v>
      </c>
      <c r="O172" s="14">
        <v>2.54</v>
      </c>
      <c r="P172" s="14">
        <v>8.5</v>
      </c>
      <c r="Q172" s="14">
        <v>12.21</v>
      </c>
      <c r="R172" s="14">
        <v>4.25</v>
      </c>
      <c r="S172" s="14">
        <v>8.34</v>
      </c>
      <c r="T172" s="14">
        <f t="shared" si="11"/>
        <v>59.489999999999995</v>
      </c>
      <c r="V172" s="15">
        <f t="shared" si="12"/>
        <v>0.33773315462798975</v>
      </c>
      <c r="W172" s="15">
        <f t="shared" si="13"/>
        <v>0.10881719400698867</v>
      </c>
      <c r="Y172" s="15">
        <f t="shared" si="14"/>
        <v>0.38229536642573353</v>
      </c>
    </row>
    <row r="173" spans="1:25" x14ac:dyDescent="0.3">
      <c r="A173" s="5">
        <v>35</v>
      </c>
      <c r="B173" s="5">
        <v>3500</v>
      </c>
      <c r="C173" s="5">
        <v>1094</v>
      </c>
      <c r="D173" s="5" t="s">
        <v>33</v>
      </c>
      <c r="E173" s="5" t="s">
        <v>34</v>
      </c>
      <c r="F173" s="13">
        <v>164</v>
      </c>
      <c r="G173" s="13" t="s">
        <v>202</v>
      </c>
      <c r="H173" s="13">
        <v>1499</v>
      </c>
      <c r="I173" s="13">
        <v>345</v>
      </c>
      <c r="J173" s="13">
        <v>372</v>
      </c>
      <c r="K173" s="13">
        <v>782</v>
      </c>
      <c r="L173" s="13">
        <v>0</v>
      </c>
      <c r="M173" s="13">
        <f t="shared" si="10"/>
        <v>1499</v>
      </c>
      <c r="N173" s="14">
        <v>27.53</v>
      </c>
      <c r="O173" s="14">
        <v>15</v>
      </c>
      <c r="P173" s="14">
        <v>7.14</v>
      </c>
      <c r="Q173" s="14">
        <v>11.57</v>
      </c>
      <c r="R173" s="14">
        <v>4.25</v>
      </c>
      <c r="S173" s="14">
        <v>8.11</v>
      </c>
      <c r="T173" s="14">
        <f t="shared" si="11"/>
        <v>73.600000000000009</v>
      </c>
      <c r="V173" s="15">
        <f t="shared" si="12"/>
        <v>0.54871409272467142</v>
      </c>
      <c r="W173" s="15">
        <f t="shared" si="13"/>
        <v>0.89691733282274666</v>
      </c>
      <c r="Y173" s="15">
        <f t="shared" si="14"/>
        <v>0.66013115695754154</v>
      </c>
    </row>
    <row r="174" spans="1:25" x14ac:dyDescent="0.3">
      <c r="A174" s="5">
        <v>35</v>
      </c>
      <c r="B174" s="5">
        <v>3500</v>
      </c>
      <c r="C174" s="5">
        <v>1095</v>
      </c>
      <c r="D174" s="5" t="s">
        <v>33</v>
      </c>
      <c r="E174" s="5" t="s">
        <v>34</v>
      </c>
      <c r="F174" s="13">
        <v>165</v>
      </c>
      <c r="G174" s="13" t="s">
        <v>203</v>
      </c>
      <c r="H174" s="13">
        <v>2184</v>
      </c>
      <c r="I174" s="13">
        <v>356</v>
      </c>
      <c r="J174" s="13">
        <v>458</v>
      </c>
      <c r="K174" s="13">
        <v>642</v>
      </c>
      <c r="L174" s="13">
        <v>728</v>
      </c>
      <c r="M174" s="13">
        <f t="shared" si="10"/>
        <v>2184</v>
      </c>
      <c r="N174" s="14">
        <v>27.6</v>
      </c>
      <c r="O174" s="14">
        <v>12.67</v>
      </c>
      <c r="P174" s="14">
        <v>4.4000000000000004</v>
      </c>
      <c r="Q174" s="14">
        <v>7.62</v>
      </c>
      <c r="R174" s="14">
        <v>3.1</v>
      </c>
      <c r="S174" s="14">
        <v>5.56</v>
      </c>
      <c r="T174" s="14">
        <f t="shared" si="11"/>
        <v>60.95</v>
      </c>
      <c r="V174" s="15">
        <f t="shared" si="12"/>
        <v>0.80149346608587446</v>
      </c>
      <c r="W174" s="15">
        <f t="shared" si="13"/>
        <v>1.1037958929682639</v>
      </c>
      <c r="Y174" s="15">
        <f t="shared" si="14"/>
        <v>0.79648413192283773</v>
      </c>
    </row>
    <row r="175" spans="1:25" x14ac:dyDescent="0.3">
      <c r="F175" s="13"/>
      <c r="G175" s="17" t="s">
        <v>204</v>
      </c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4"/>
      <c r="V175" s="15">
        <f t="shared" si="12"/>
        <v>0</v>
      </c>
      <c r="W175" s="15">
        <f t="shared" si="13"/>
        <v>0</v>
      </c>
      <c r="Y175" s="15">
        <f t="shared" si="14"/>
        <v>0</v>
      </c>
    </row>
    <row r="176" spans="1:25" x14ac:dyDescent="0.3">
      <c r="A176" s="5">
        <v>35</v>
      </c>
      <c r="B176" s="5">
        <v>3500</v>
      </c>
      <c r="C176" s="5">
        <v>1083</v>
      </c>
      <c r="D176" s="5" t="s">
        <v>33</v>
      </c>
      <c r="E176" s="5" t="s">
        <v>34</v>
      </c>
      <c r="F176" s="13">
        <v>166</v>
      </c>
      <c r="G176" s="13" t="s">
        <v>205</v>
      </c>
      <c r="H176" s="13">
        <v>1239</v>
      </c>
      <c r="I176" s="13">
        <v>0</v>
      </c>
      <c r="J176" s="13">
        <v>214</v>
      </c>
      <c r="K176" s="13">
        <v>564</v>
      </c>
      <c r="L176" s="13">
        <v>461</v>
      </c>
      <c r="M176" s="13">
        <f t="shared" si="10"/>
        <v>1239</v>
      </c>
      <c r="N176" s="14">
        <v>24.92</v>
      </c>
      <c r="O176" s="14">
        <v>14.53</v>
      </c>
      <c r="P176" s="14">
        <v>7.65</v>
      </c>
      <c r="Q176" s="14">
        <v>11.61</v>
      </c>
      <c r="R176" s="14">
        <v>3.8</v>
      </c>
      <c r="S176" s="14">
        <v>7.23</v>
      </c>
      <c r="T176" s="14">
        <f t="shared" si="11"/>
        <v>69.739999999999995</v>
      </c>
      <c r="V176" s="15">
        <f t="shared" si="12"/>
        <v>0.41054201968949944</v>
      </c>
      <c r="W176" s="15">
        <f t="shared" si="13"/>
        <v>0.71811904647934521</v>
      </c>
      <c r="Y176" s="15">
        <f t="shared" si="14"/>
        <v>0.51701605954717345</v>
      </c>
    </row>
    <row r="177" spans="1:25" x14ac:dyDescent="0.3">
      <c r="A177" s="5">
        <v>35</v>
      </c>
      <c r="B177" s="5">
        <v>3500</v>
      </c>
      <c r="C177" s="5">
        <v>1084</v>
      </c>
      <c r="D177" s="5" t="s">
        <v>33</v>
      </c>
      <c r="E177" s="5" t="s">
        <v>34</v>
      </c>
      <c r="F177" s="13">
        <v>167</v>
      </c>
      <c r="G177" s="13" t="s">
        <v>206</v>
      </c>
      <c r="H177" s="13">
        <v>2323</v>
      </c>
      <c r="I177" s="13">
        <v>345</v>
      </c>
      <c r="J177" s="13">
        <v>746</v>
      </c>
      <c r="K177" s="13">
        <v>896</v>
      </c>
      <c r="L177" s="13">
        <v>336</v>
      </c>
      <c r="M177" s="13">
        <f t="shared" si="10"/>
        <v>2323</v>
      </c>
      <c r="N177" s="14">
        <v>20.18</v>
      </c>
      <c r="O177" s="14">
        <v>12.05</v>
      </c>
      <c r="P177" s="14">
        <v>7.56</v>
      </c>
      <c r="Q177" s="14">
        <v>11.37</v>
      </c>
      <c r="R177" s="14">
        <v>3.65</v>
      </c>
      <c r="S177" s="14">
        <v>8.0500000000000007</v>
      </c>
      <c r="T177" s="14">
        <f t="shared" si="11"/>
        <v>62.86</v>
      </c>
      <c r="V177" s="15">
        <f t="shared" si="12"/>
        <v>0.6233165265212558</v>
      </c>
      <c r="W177" s="15">
        <f t="shared" si="13"/>
        <v>1.1165952643083943</v>
      </c>
      <c r="Y177" s="15">
        <f t="shared" si="14"/>
        <v>0.87372421138289214</v>
      </c>
    </row>
    <row r="178" spans="1:25" x14ac:dyDescent="0.3">
      <c r="A178" s="5">
        <v>35</v>
      </c>
      <c r="B178" s="5">
        <v>3500</v>
      </c>
      <c r="C178" s="5">
        <v>1085</v>
      </c>
      <c r="D178" s="5" t="s">
        <v>33</v>
      </c>
      <c r="E178" s="5" t="s">
        <v>34</v>
      </c>
      <c r="F178" s="13">
        <v>168</v>
      </c>
      <c r="G178" s="13" t="s">
        <v>207</v>
      </c>
      <c r="H178" s="13">
        <v>1447</v>
      </c>
      <c r="I178" s="13">
        <v>235</v>
      </c>
      <c r="J178" s="13">
        <v>486</v>
      </c>
      <c r="K178" s="13">
        <v>567</v>
      </c>
      <c r="L178" s="13">
        <v>159</v>
      </c>
      <c r="M178" s="13">
        <f t="shared" si="10"/>
        <v>1447</v>
      </c>
      <c r="N178" s="14">
        <v>28.1</v>
      </c>
      <c r="O178" s="14">
        <v>11.53</v>
      </c>
      <c r="P178" s="14">
        <v>7.56</v>
      </c>
      <c r="Q178" s="14">
        <v>11.25</v>
      </c>
      <c r="R178" s="14">
        <v>3.73</v>
      </c>
      <c r="S178" s="14">
        <v>7.53</v>
      </c>
      <c r="T178" s="14">
        <f t="shared" si="11"/>
        <v>69.7</v>
      </c>
      <c r="V178" s="15">
        <f t="shared" si="12"/>
        <v>0.54064615810104311</v>
      </c>
      <c r="W178" s="15">
        <f t="shared" si="13"/>
        <v>0.66551425653790297</v>
      </c>
      <c r="Y178" s="15">
        <f t="shared" si="14"/>
        <v>0.60346500885548804</v>
      </c>
    </row>
    <row r="179" spans="1:25" x14ac:dyDescent="0.3">
      <c r="A179" s="5">
        <v>35</v>
      </c>
      <c r="B179" s="5">
        <v>3500</v>
      </c>
      <c r="C179" s="5">
        <v>1086</v>
      </c>
      <c r="D179" s="5" t="s">
        <v>33</v>
      </c>
      <c r="E179" s="5" t="s">
        <v>34</v>
      </c>
      <c r="F179" s="13">
        <v>169</v>
      </c>
      <c r="G179" s="13" t="s">
        <v>208</v>
      </c>
      <c r="H179" s="13">
        <v>2056</v>
      </c>
      <c r="I179" s="13">
        <v>364</v>
      </c>
      <c r="J179" s="13">
        <v>463</v>
      </c>
      <c r="K179" s="13">
        <v>750</v>
      </c>
      <c r="L179" s="13">
        <v>479</v>
      </c>
      <c r="M179" s="13">
        <f t="shared" si="10"/>
        <v>2056</v>
      </c>
      <c r="N179" s="14">
        <v>28.8</v>
      </c>
      <c r="O179" s="14">
        <v>10.56</v>
      </c>
      <c r="P179" s="14">
        <v>7.8</v>
      </c>
      <c r="Q179" s="14">
        <v>11.61</v>
      </c>
      <c r="R179" s="14">
        <v>3.8</v>
      </c>
      <c r="S179" s="14">
        <v>7</v>
      </c>
      <c r="T179" s="14">
        <f t="shared" si="11"/>
        <v>69.569999999999993</v>
      </c>
      <c r="V179" s="15">
        <f t="shared" si="12"/>
        <v>0.78732468527116939</v>
      </c>
      <c r="W179" s="15">
        <f t="shared" si="13"/>
        <v>0.86605715379828652</v>
      </c>
      <c r="Y179" s="15">
        <f t="shared" si="14"/>
        <v>0.85584653678617573</v>
      </c>
    </row>
    <row r="180" spans="1:25" x14ac:dyDescent="0.3">
      <c r="A180" s="5">
        <v>35</v>
      </c>
      <c r="B180" s="5">
        <v>3500</v>
      </c>
      <c r="C180" s="5">
        <v>1087</v>
      </c>
      <c r="D180" s="5" t="s">
        <v>33</v>
      </c>
      <c r="E180" s="5" t="s">
        <v>34</v>
      </c>
      <c r="F180" s="13">
        <v>170</v>
      </c>
      <c r="G180" s="13" t="s">
        <v>209</v>
      </c>
      <c r="H180" s="13">
        <v>1879</v>
      </c>
      <c r="I180" s="13">
        <v>296</v>
      </c>
      <c r="J180" s="13">
        <v>282</v>
      </c>
      <c r="K180" s="13">
        <v>587</v>
      </c>
      <c r="L180" s="13">
        <v>714</v>
      </c>
      <c r="M180" s="13">
        <f t="shared" si="10"/>
        <v>1879</v>
      </c>
      <c r="N180" s="14">
        <v>21.81</v>
      </c>
      <c r="O180" s="14">
        <v>11.42</v>
      </c>
      <c r="P180" s="14">
        <v>7</v>
      </c>
      <c r="Q180" s="14">
        <v>10.5</v>
      </c>
      <c r="R180" s="14">
        <v>3.5</v>
      </c>
      <c r="S180" s="14">
        <v>3</v>
      </c>
      <c r="T180" s="14">
        <f t="shared" si="11"/>
        <v>57.23</v>
      </c>
      <c r="V180" s="15">
        <f t="shared" si="12"/>
        <v>0.54490490322786522</v>
      </c>
      <c r="W180" s="15">
        <f t="shared" si="13"/>
        <v>0.85595790850924636</v>
      </c>
      <c r="Y180" s="15">
        <f t="shared" si="14"/>
        <v>0.64343000574410036</v>
      </c>
    </row>
    <row r="181" spans="1:25" s="32" customFormat="1" x14ac:dyDescent="0.3">
      <c r="A181" s="32">
        <v>35</v>
      </c>
      <c r="B181" s="32">
        <v>3500</v>
      </c>
      <c r="C181" s="32">
        <v>1088</v>
      </c>
      <c r="D181" s="32" t="s">
        <v>33</v>
      </c>
      <c r="E181" s="32" t="s">
        <v>34</v>
      </c>
      <c r="F181" s="33">
        <v>171</v>
      </c>
      <c r="G181" s="33" t="s">
        <v>210</v>
      </c>
      <c r="H181" s="33">
        <v>1244</v>
      </c>
      <c r="I181" s="33">
        <v>138</v>
      </c>
      <c r="J181" s="33">
        <v>285</v>
      </c>
      <c r="K181" s="33">
        <v>495</v>
      </c>
      <c r="L181" s="33">
        <v>326</v>
      </c>
      <c r="M181" s="33">
        <f t="shared" si="10"/>
        <v>1244</v>
      </c>
      <c r="N181" s="34">
        <v>32.25</v>
      </c>
      <c r="O181" s="34">
        <v>14.66</v>
      </c>
      <c r="P181" s="34">
        <v>7.88</v>
      </c>
      <c r="Q181" s="34">
        <v>11.58</v>
      </c>
      <c r="R181" s="34">
        <v>4.03</v>
      </c>
      <c r="S181" s="34">
        <v>7.53</v>
      </c>
      <c r="T181" s="34">
        <f t="shared" si="11"/>
        <v>77.930000000000007</v>
      </c>
      <c r="V181" s="16">
        <f t="shared" si="12"/>
        <v>0.53344342858966387</v>
      </c>
      <c r="W181" s="16">
        <f t="shared" si="13"/>
        <v>0.72746796866274155</v>
      </c>
      <c r="Y181" s="16">
        <f t="shared" si="14"/>
        <v>0.58006390311617451</v>
      </c>
    </row>
    <row r="182" spans="1:25" s="32" customFormat="1" x14ac:dyDescent="0.3">
      <c r="A182" s="32">
        <v>35</v>
      </c>
      <c r="B182" s="32">
        <v>3500</v>
      </c>
      <c r="C182" s="32">
        <v>1089</v>
      </c>
      <c r="D182" s="32" t="s">
        <v>33</v>
      </c>
      <c r="E182" s="32" t="s">
        <v>34</v>
      </c>
      <c r="F182" s="33">
        <v>172</v>
      </c>
      <c r="G182" s="33" t="s">
        <v>211</v>
      </c>
      <c r="H182" s="33">
        <v>1393</v>
      </c>
      <c r="I182" s="33">
        <v>0</v>
      </c>
      <c r="J182" s="33">
        <v>271</v>
      </c>
      <c r="K182" s="33">
        <v>503</v>
      </c>
      <c r="L182" s="33">
        <v>619</v>
      </c>
      <c r="M182" s="33">
        <f t="shared" si="10"/>
        <v>1393</v>
      </c>
      <c r="N182" s="34">
        <v>33.1</v>
      </c>
      <c r="O182" s="34">
        <v>14.2</v>
      </c>
      <c r="P182" s="34">
        <v>8.15</v>
      </c>
      <c r="Q182" s="34">
        <v>11.51</v>
      </c>
      <c r="R182" s="34">
        <v>3.88</v>
      </c>
      <c r="S182" s="34">
        <v>7.23</v>
      </c>
      <c r="T182" s="34">
        <f t="shared" si="11"/>
        <v>78.069999999999993</v>
      </c>
      <c r="V182" s="16">
        <f t="shared" si="12"/>
        <v>0.6130803269882299</v>
      </c>
      <c r="W182" s="16">
        <f t="shared" si="13"/>
        <v>0.78903993745312984</v>
      </c>
      <c r="Y182" s="16">
        <f t="shared" si="14"/>
        <v>0.65070790053132921</v>
      </c>
    </row>
    <row r="183" spans="1:25" x14ac:dyDescent="0.3">
      <c r="A183" s="5">
        <v>35</v>
      </c>
      <c r="B183" s="5">
        <v>3500</v>
      </c>
      <c r="C183" s="5">
        <v>1082</v>
      </c>
      <c r="D183" s="5" t="s">
        <v>33</v>
      </c>
      <c r="E183" s="5" t="s">
        <v>34</v>
      </c>
      <c r="F183" s="13">
        <v>173</v>
      </c>
      <c r="G183" s="13" t="s">
        <v>212</v>
      </c>
      <c r="H183" s="13">
        <v>2188</v>
      </c>
      <c r="I183" s="13">
        <v>368</v>
      </c>
      <c r="J183" s="13">
        <v>385</v>
      </c>
      <c r="K183" s="13">
        <v>892</v>
      </c>
      <c r="L183" s="13">
        <v>543</v>
      </c>
      <c r="M183" s="13">
        <f t="shared" si="10"/>
        <v>2188</v>
      </c>
      <c r="N183" s="14">
        <v>30.37</v>
      </c>
      <c r="O183" s="14">
        <v>13.02</v>
      </c>
      <c r="P183" s="14">
        <v>7.77</v>
      </c>
      <c r="Q183" s="14">
        <v>11.61</v>
      </c>
      <c r="R183" s="14">
        <v>3.95</v>
      </c>
      <c r="S183" s="14">
        <v>7</v>
      </c>
      <c r="T183" s="14">
        <f t="shared" si="11"/>
        <v>73.72</v>
      </c>
      <c r="V183" s="15">
        <f t="shared" si="12"/>
        <v>0.88354847116514801</v>
      </c>
      <c r="W183" s="15">
        <f t="shared" si="13"/>
        <v>1.136364941840984</v>
      </c>
      <c r="Y183" s="15">
        <f t="shared" si="14"/>
        <v>0.96512469484466989</v>
      </c>
    </row>
    <row r="184" spans="1:25" x14ac:dyDescent="0.3">
      <c r="A184" s="5">
        <v>35</v>
      </c>
      <c r="B184" s="5">
        <v>3500</v>
      </c>
      <c r="C184" s="5">
        <v>1077</v>
      </c>
      <c r="D184" s="5" t="s">
        <v>33</v>
      </c>
      <c r="E184" s="5" t="s">
        <v>34</v>
      </c>
      <c r="F184" s="13">
        <v>174</v>
      </c>
      <c r="G184" s="13" t="s">
        <v>213</v>
      </c>
      <c r="H184" s="13">
        <v>1094</v>
      </c>
      <c r="I184" s="13">
        <v>0</v>
      </c>
      <c r="J184" s="13">
        <v>178</v>
      </c>
      <c r="K184" s="13">
        <v>425</v>
      </c>
      <c r="L184" s="13">
        <v>491</v>
      </c>
      <c r="M184" s="13">
        <f t="shared" si="10"/>
        <v>1094</v>
      </c>
      <c r="N184" s="14">
        <v>24.71</v>
      </c>
      <c r="O184" s="14">
        <v>10.34</v>
      </c>
      <c r="P184" s="14">
        <v>7</v>
      </c>
      <c r="Q184" s="14">
        <v>10.5</v>
      </c>
      <c r="R184" s="14">
        <v>3.5</v>
      </c>
      <c r="S184" s="14">
        <v>7</v>
      </c>
      <c r="T184" s="14">
        <f t="shared" si="11"/>
        <v>63.05</v>
      </c>
      <c r="V184" s="15">
        <f t="shared" si="12"/>
        <v>0.35944159898733641</v>
      </c>
      <c r="W184" s="15">
        <f t="shared" si="13"/>
        <v>0.45122939702902365</v>
      </c>
      <c r="Y184" s="15">
        <f t="shared" si="14"/>
        <v>0.41271779713752332</v>
      </c>
    </row>
    <row r="185" spans="1:25" x14ac:dyDescent="0.3">
      <c r="A185" s="5">
        <v>35</v>
      </c>
      <c r="B185" s="5">
        <v>3500</v>
      </c>
      <c r="C185" s="5">
        <v>1078</v>
      </c>
      <c r="D185" s="5" t="s">
        <v>33</v>
      </c>
      <c r="E185" s="5" t="s">
        <v>34</v>
      </c>
      <c r="F185" s="13">
        <v>175</v>
      </c>
      <c r="G185" s="13" t="s">
        <v>214</v>
      </c>
      <c r="H185" s="13">
        <v>1867</v>
      </c>
      <c r="I185" s="13">
        <v>196</v>
      </c>
      <c r="J185" s="13">
        <v>322</v>
      </c>
      <c r="K185" s="13">
        <v>792</v>
      </c>
      <c r="L185" s="13">
        <v>557</v>
      </c>
      <c r="M185" s="13">
        <f t="shared" si="10"/>
        <v>1867</v>
      </c>
      <c r="N185" s="14">
        <v>25.75</v>
      </c>
      <c r="O185" s="14">
        <v>12.23</v>
      </c>
      <c r="P185" s="14">
        <v>7.83</v>
      </c>
      <c r="Q185" s="14">
        <v>11.25</v>
      </c>
      <c r="R185" s="14">
        <v>3.8</v>
      </c>
      <c r="S185" s="14">
        <v>7</v>
      </c>
      <c r="T185" s="14">
        <f t="shared" si="11"/>
        <v>67.86</v>
      </c>
      <c r="V185" s="15">
        <f t="shared" si="12"/>
        <v>0.63923393380456228</v>
      </c>
      <c r="W185" s="15">
        <f t="shared" si="13"/>
        <v>0.91081526335104435</v>
      </c>
      <c r="Y185" s="15">
        <f t="shared" si="14"/>
        <v>0.75806938394523959</v>
      </c>
    </row>
    <row r="186" spans="1:25" x14ac:dyDescent="0.3">
      <c r="A186" s="5">
        <v>35</v>
      </c>
      <c r="B186" s="5">
        <v>3500</v>
      </c>
      <c r="C186" s="5">
        <v>1079</v>
      </c>
      <c r="D186" s="5" t="s">
        <v>33</v>
      </c>
      <c r="E186" s="5" t="s">
        <v>34</v>
      </c>
      <c r="F186" s="13">
        <v>176</v>
      </c>
      <c r="G186" s="13" t="s">
        <v>215</v>
      </c>
      <c r="H186" s="13">
        <v>1088</v>
      </c>
      <c r="I186" s="13">
        <v>395</v>
      </c>
      <c r="J186" s="13">
        <v>474</v>
      </c>
      <c r="K186" s="13">
        <v>219</v>
      </c>
      <c r="L186" s="13">
        <v>0</v>
      </c>
      <c r="M186" s="13">
        <f t="shared" si="10"/>
        <v>1088</v>
      </c>
      <c r="N186" s="14">
        <v>21.64</v>
      </c>
      <c r="O186" s="14">
        <v>14.86</v>
      </c>
      <c r="P186" s="14">
        <v>7.7</v>
      </c>
      <c r="Q186" s="14">
        <v>11.15</v>
      </c>
      <c r="R186" s="14">
        <v>3.95</v>
      </c>
      <c r="S186" s="14">
        <v>7.8</v>
      </c>
      <c r="T186" s="14">
        <f t="shared" si="11"/>
        <v>67.100000000000009</v>
      </c>
      <c r="V186" s="15">
        <f t="shared" si="12"/>
        <v>0.31305772288970796</v>
      </c>
      <c r="W186" s="15">
        <f t="shared" si="13"/>
        <v>0.64492205574968486</v>
      </c>
      <c r="Y186" s="15">
        <f t="shared" si="14"/>
        <v>0.43681968311713182</v>
      </c>
    </row>
    <row r="187" spans="1:25" x14ac:dyDescent="0.3">
      <c r="A187" s="5">
        <v>35</v>
      </c>
      <c r="B187" s="5">
        <v>3500</v>
      </c>
      <c r="C187" s="5">
        <v>1080</v>
      </c>
      <c r="D187" s="5" t="s">
        <v>33</v>
      </c>
      <c r="E187" s="5" t="s">
        <v>34</v>
      </c>
      <c r="F187" s="13">
        <v>177</v>
      </c>
      <c r="G187" s="13" t="s">
        <v>216</v>
      </c>
      <c r="H187" s="13">
        <v>1920</v>
      </c>
      <c r="I187" s="13">
        <v>456</v>
      </c>
      <c r="J187" s="13">
        <v>886</v>
      </c>
      <c r="K187" s="13">
        <v>578</v>
      </c>
      <c r="L187" s="13">
        <v>0</v>
      </c>
      <c r="M187" s="13">
        <f t="shared" si="10"/>
        <v>1920</v>
      </c>
      <c r="N187" s="14">
        <v>22.26</v>
      </c>
      <c r="O187" s="14">
        <v>13</v>
      </c>
      <c r="P187" s="14">
        <v>7.86</v>
      </c>
      <c r="Q187" s="14">
        <v>11.36</v>
      </c>
      <c r="R187" s="14">
        <v>3.95</v>
      </c>
      <c r="S187" s="14">
        <v>7</v>
      </c>
      <c r="T187" s="14">
        <f t="shared" si="11"/>
        <v>65.430000000000007</v>
      </c>
      <c r="V187" s="15">
        <f t="shared" si="12"/>
        <v>0.56828299267627203</v>
      </c>
      <c r="W187" s="15">
        <f t="shared" si="13"/>
        <v>0.99564405724953331</v>
      </c>
      <c r="Y187" s="15">
        <f t="shared" si="14"/>
        <v>0.75167296922119575</v>
      </c>
    </row>
    <row r="188" spans="1:25" x14ac:dyDescent="0.3">
      <c r="A188" s="5">
        <v>35</v>
      </c>
      <c r="B188" s="5">
        <v>3500</v>
      </c>
      <c r="C188" s="5">
        <v>1081</v>
      </c>
      <c r="D188" s="5" t="s">
        <v>33</v>
      </c>
      <c r="E188" s="5" t="s">
        <v>34</v>
      </c>
      <c r="F188" s="19">
        <v>178</v>
      </c>
      <c r="G188" s="19" t="s">
        <v>217</v>
      </c>
      <c r="H188" s="19">
        <v>1262</v>
      </c>
      <c r="I188" s="19">
        <v>98</v>
      </c>
      <c r="J188" s="19">
        <v>254</v>
      </c>
      <c r="K188" s="19">
        <v>586</v>
      </c>
      <c r="L188" s="19">
        <v>324</v>
      </c>
      <c r="M188" s="19">
        <f t="shared" si="10"/>
        <v>1262</v>
      </c>
      <c r="N188" s="20">
        <v>23.34</v>
      </c>
      <c r="O188" s="20">
        <v>13.36</v>
      </c>
      <c r="P188" s="20">
        <v>7.88</v>
      </c>
      <c r="Q188" s="20">
        <v>12.03</v>
      </c>
      <c r="R188" s="20">
        <v>4.03</v>
      </c>
      <c r="S188" s="20">
        <v>7.62</v>
      </c>
      <c r="T188" s="20">
        <f t="shared" si="11"/>
        <v>68.260000000000005</v>
      </c>
      <c r="V188" s="21">
        <f t="shared" si="12"/>
        <v>0.39165031193655953</v>
      </c>
      <c r="W188" s="21">
        <f t="shared" si="13"/>
        <v>0.67255117833835942</v>
      </c>
      <c r="Y188" s="15">
        <f t="shared" si="14"/>
        <v>0.51543798765018434</v>
      </c>
    </row>
    <row r="190" spans="1:25" ht="18" x14ac:dyDescent="0.35">
      <c r="H190" s="22">
        <f>SUM(H6:H188)</f>
        <v>167128</v>
      </c>
      <c r="N190" s="23">
        <f>AVERAGE(N6:N188)</f>
        <v>24.02382022471911</v>
      </c>
      <c r="O190" s="23">
        <f>AVERAGE(O6:O188)</f>
        <v>10.535453334638904</v>
      </c>
      <c r="V190" s="24">
        <f>SUM(V6:V189)</f>
        <v>55.543927874310583</v>
      </c>
      <c r="W190" s="24">
        <f>SUM(W6:W189)</f>
        <v>73.982448657538811</v>
      </c>
      <c r="Y190" s="24">
        <f>SUM(Y6:Y189)</f>
        <v>60.974828944794233</v>
      </c>
    </row>
    <row r="191" spans="1:25" ht="18" x14ac:dyDescent="0.35">
      <c r="N191" s="25">
        <f>N190/45*100</f>
        <v>53.386267166042465</v>
      </c>
      <c r="O191" s="25">
        <f>O190/15*100</f>
        <v>70.236355564259355</v>
      </c>
    </row>
    <row r="198" spans="14:23" x14ac:dyDescent="0.3">
      <c r="N198" s="26" t="s">
        <v>218</v>
      </c>
      <c r="O198" s="26"/>
      <c r="V198" s="26" t="s">
        <v>219</v>
      </c>
      <c r="W198" s="26"/>
    </row>
  </sheetData>
  <mergeCells count="17">
    <mergeCell ref="N198:O198"/>
    <mergeCell ref="V198:W198"/>
    <mergeCell ref="G1:G3"/>
    <mergeCell ref="H1:H3"/>
    <mergeCell ref="I1:M1"/>
    <mergeCell ref="N1:T1"/>
    <mergeCell ref="I2:I3"/>
    <mergeCell ref="J2:J3"/>
    <mergeCell ref="K2:K3"/>
    <mergeCell ref="L2:L3"/>
    <mergeCell ref="M2:M3"/>
    <mergeCell ref="A1:A4"/>
    <mergeCell ref="B1:B4"/>
    <mergeCell ref="C1:C4"/>
    <mergeCell ref="D1:D4"/>
    <mergeCell ref="E1:E4"/>
    <mergeCell ref="F1:F3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69" orientation="landscape" r:id="rId1"/>
  <rowBreaks count="1" manualBreakCount="1">
    <brk id="145" max="22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29E19-A797-498B-876B-90E99170C7E4}">
  <dimension ref="A1:Y205"/>
  <sheetViews>
    <sheetView view="pageBreakPreview" topLeftCell="F1" zoomScale="80" zoomScaleNormal="85" zoomScaleSheetLayoutView="80" workbookViewId="0">
      <pane xSplit="2" ySplit="4" topLeftCell="H5" activePane="bottomRight" state="frozen"/>
      <selection activeCell="F1" sqref="F1"/>
      <selection pane="topRight" activeCell="H1" sqref="H1"/>
      <selection pane="bottomLeft" activeCell="F5" sqref="F5"/>
      <selection pane="bottomRight" activeCell="N6" sqref="N6"/>
    </sheetView>
  </sheetViews>
  <sheetFormatPr defaultRowHeight="14.4" x14ac:dyDescent="0.3"/>
  <cols>
    <col min="1" max="4" width="0" style="5" hidden="1" customWidth="1"/>
    <col min="5" max="5" width="12.109375" style="5" hidden="1" customWidth="1"/>
    <col min="6" max="6" width="4.21875" style="5" bestFit="1" customWidth="1"/>
    <col min="7" max="7" width="36.44140625" style="5" customWidth="1"/>
    <col min="8" max="8" width="11.44140625" style="5" bestFit="1" customWidth="1"/>
    <col min="9" max="10" width="8.88671875" style="5"/>
    <col min="11" max="12" width="8.77734375" style="5" customWidth="1"/>
    <col min="13" max="13" width="8.88671875" style="5"/>
    <col min="14" max="14" width="12.6640625" style="5" bestFit="1" customWidth="1"/>
    <col min="15" max="15" width="12.77734375" style="5" bestFit="1" customWidth="1"/>
    <col min="16" max="16" width="9.33203125" style="5" bestFit="1" customWidth="1"/>
    <col min="17" max="17" width="10.21875" style="5" bestFit="1" customWidth="1"/>
    <col min="18" max="18" width="10.6640625" style="5" customWidth="1"/>
    <col min="19" max="21" width="8.88671875" style="5"/>
    <col min="22" max="22" width="14.33203125" style="5" bestFit="1" customWidth="1"/>
    <col min="23" max="24" width="10.6640625" style="5" customWidth="1"/>
    <col min="25" max="25" width="14.33203125" style="5" bestFit="1" customWidth="1"/>
    <col min="26" max="97" width="8.88671875" style="5"/>
    <col min="98" max="98" width="10.44140625" style="5" customWidth="1"/>
    <col min="99" max="16384" width="8.88671875" style="5"/>
  </cols>
  <sheetData>
    <row r="1" spans="1:25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6" t="s">
        <v>5</v>
      </c>
      <c r="G1" s="37" t="s">
        <v>6</v>
      </c>
      <c r="H1" s="4" t="s">
        <v>7</v>
      </c>
      <c r="I1" s="4" t="s">
        <v>8</v>
      </c>
      <c r="J1" s="4"/>
      <c r="K1" s="4"/>
      <c r="L1" s="4"/>
      <c r="M1" s="4"/>
      <c r="N1" s="4" t="s">
        <v>9</v>
      </c>
      <c r="O1" s="4"/>
      <c r="P1" s="4"/>
      <c r="Q1" s="4"/>
      <c r="R1" s="4"/>
      <c r="S1" s="4"/>
      <c r="T1" s="4"/>
    </row>
    <row r="2" spans="1:25" ht="33.75" customHeight="1" x14ac:dyDescent="0.3">
      <c r="A2" s="1"/>
      <c r="B2" s="1"/>
      <c r="C2" s="1"/>
      <c r="D2" s="1"/>
      <c r="E2" s="1"/>
      <c r="F2" s="36"/>
      <c r="G2" s="38"/>
      <c r="H2" s="4"/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7" t="s">
        <v>15</v>
      </c>
      <c r="O2" s="7" t="s">
        <v>16</v>
      </c>
      <c r="P2" s="7" t="s">
        <v>17</v>
      </c>
      <c r="Q2" s="7" t="s">
        <v>18</v>
      </c>
      <c r="R2" s="7" t="s">
        <v>19</v>
      </c>
      <c r="S2" s="7" t="s">
        <v>20</v>
      </c>
      <c r="T2" s="7" t="s">
        <v>21</v>
      </c>
      <c r="V2" s="7" t="s">
        <v>22</v>
      </c>
      <c r="W2" s="7" t="s">
        <v>23</v>
      </c>
      <c r="X2" s="39"/>
      <c r="Y2" s="7" t="s">
        <v>24</v>
      </c>
    </row>
    <row r="3" spans="1:25" ht="34.950000000000003" customHeight="1" x14ac:dyDescent="0.3">
      <c r="A3" s="1"/>
      <c r="B3" s="1"/>
      <c r="C3" s="1"/>
      <c r="D3" s="1"/>
      <c r="E3" s="1"/>
      <c r="F3" s="36"/>
      <c r="G3" s="40"/>
      <c r="H3" s="4"/>
      <c r="I3" s="4"/>
      <c r="J3" s="4"/>
      <c r="K3" s="4"/>
      <c r="L3" s="4"/>
      <c r="M3" s="4"/>
      <c r="N3" s="7" t="s">
        <v>25</v>
      </c>
      <c r="O3" s="7" t="s">
        <v>26</v>
      </c>
      <c r="P3" s="7" t="s">
        <v>27</v>
      </c>
      <c r="Q3" s="7" t="s">
        <v>26</v>
      </c>
      <c r="R3" s="7" t="s">
        <v>28</v>
      </c>
      <c r="S3" s="7" t="s">
        <v>27</v>
      </c>
      <c r="T3" s="7" t="s">
        <v>29</v>
      </c>
      <c r="V3" s="7" t="s">
        <v>30</v>
      </c>
      <c r="W3" s="7" t="s">
        <v>31</v>
      </c>
      <c r="X3" s="39"/>
      <c r="Y3" s="7" t="s">
        <v>30</v>
      </c>
    </row>
    <row r="4" spans="1:25" ht="12.75" customHeight="1" x14ac:dyDescent="0.3">
      <c r="A4" s="1"/>
      <c r="B4" s="1"/>
      <c r="C4" s="1"/>
      <c r="D4" s="1"/>
      <c r="E4" s="1"/>
      <c r="F4" s="9">
        <v>1</v>
      </c>
      <c r="G4" s="9">
        <f>F4+1</f>
        <v>2</v>
      </c>
      <c r="H4" s="9">
        <v>3</v>
      </c>
      <c r="I4" s="9">
        <v>4</v>
      </c>
      <c r="J4" s="9">
        <v>5</v>
      </c>
      <c r="K4" s="9">
        <v>6</v>
      </c>
      <c r="L4" s="9">
        <v>7</v>
      </c>
      <c r="M4" s="9">
        <v>8</v>
      </c>
      <c r="N4" s="9">
        <v>9</v>
      </c>
      <c r="O4" s="9">
        <v>10</v>
      </c>
      <c r="P4" s="9">
        <v>11</v>
      </c>
      <c r="Q4" s="9">
        <v>12</v>
      </c>
      <c r="R4" s="9">
        <v>13</v>
      </c>
      <c r="S4" s="9">
        <v>14</v>
      </c>
      <c r="T4" s="9">
        <v>15</v>
      </c>
      <c r="V4" s="10">
        <v>16</v>
      </c>
      <c r="W4" s="10">
        <v>17</v>
      </c>
      <c r="X4" s="41"/>
      <c r="Y4" s="10">
        <v>16</v>
      </c>
    </row>
    <row r="5" spans="1:25" ht="12.75" customHeight="1" x14ac:dyDescent="0.3">
      <c r="A5" s="11"/>
      <c r="B5" s="11"/>
      <c r="C5" s="11"/>
      <c r="D5" s="11"/>
      <c r="E5" s="11"/>
      <c r="F5" s="10"/>
      <c r="G5" s="12" t="s">
        <v>32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V5" s="13"/>
      <c r="W5" s="13"/>
      <c r="X5" s="42">
        <f>SUM(W6:W30)</f>
        <v>12.14529143331259</v>
      </c>
      <c r="Y5" s="13"/>
    </row>
    <row r="6" spans="1:25" s="27" customFormat="1" x14ac:dyDescent="0.3">
      <c r="A6" s="27">
        <v>35</v>
      </c>
      <c r="B6" s="27">
        <v>3500</v>
      </c>
      <c r="C6" s="27">
        <v>1096</v>
      </c>
      <c r="D6" s="27" t="s">
        <v>33</v>
      </c>
      <c r="E6" s="27" t="s">
        <v>34</v>
      </c>
      <c r="F6" s="28">
        <v>1</v>
      </c>
      <c r="G6" s="28" t="s">
        <v>35</v>
      </c>
      <c r="H6" s="28">
        <v>1523</v>
      </c>
      <c r="I6" s="28">
        <v>1145.5608695652174</v>
      </c>
      <c r="J6" s="28">
        <v>364.19565217391306</v>
      </c>
      <c r="K6" s="28">
        <v>0</v>
      </c>
      <c r="L6" s="28">
        <v>0</v>
      </c>
      <c r="M6" s="28">
        <f t="shared" ref="M6:M30" si="0">SUM(I6:L6)</f>
        <v>1509.7565217391304</v>
      </c>
      <c r="N6" s="28">
        <v>31.88</v>
      </c>
      <c r="O6" s="28">
        <v>13</v>
      </c>
      <c r="P6" s="28">
        <v>6</v>
      </c>
      <c r="Q6" s="28">
        <v>11</v>
      </c>
      <c r="R6" s="28">
        <v>3.8</v>
      </c>
      <c r="S6" s="28">
        <v>6.41</v>
      </c>
      <c r="T6" s="29">
        <f>N6+O6+P6+Q6+R6+S6</f>
        <v>72.089999999999989</v>
      </c>
      <c r="U6" s="30">
        <f>(((100/45)*N6)*H6)/$H$190</f>
        <v>0.6455895414825098</v>
      </c>
      <c r="V6" s="30">
        <f>(((N6/45)*100)*H6)/$H$190</f>
        <v>0.6455895414825098</v>
      </c>
      <c r="W6" s="30">
        <f>(((O6/15)*100)*H6)/$H$190</f>
        <v>0.78977390582866636</v>
      </c>
      <c r="X6" s="43"/>
      <c r="Y6" s="30">
        <f>(T6*H6)/$H$190</f>
        <v>0.65694001005217539</v>
      </c>
    </row>
    <row r="7" spans="1:25" s="44" customFormat="1" x14ac:dyDescent="0.3">
      <c r="A7" s="44">
        <v>35</v>
      </c>
      <c r="B7" s="44">
        <v>3500</v>
      </c>
      <c r="C7" s="44">
        <v>1097</v>
      </c>
      <c r="D7" s="44" t="s">
        <v>33</v>
      </c>
      <c r="E7" s="44" t="s">
        <v>34</v>
      </c>
      <c r="F7" s="45">
        <v>2</v>
      </c>
      <c r="G7" s="45" t="s">
        <v>36</v>
      </c>
      <c r="H7" s="45">
        <v>1744</v>
      </c>
      <c r="I7" s="45">
        <v>1627.4012722315979</v>
      </c>
      <c r="J7" s="45">
        <v>116.5987277684019</v>
      </c>
      <c r="K7" s="45">
        <v>0</v>
      </c>
      <c r="L7" s="45">
        <v>0</v>
      </c>
      <c r="M7" s="45">
        <f t="shared" si="0"/>
        <v>1743.9999999999998</v>
      </c>
      <c r="N7" s="45">
        <v>31</v>
      </c>
      <c r="O7" s="45">
        <v>11.87</v>
      </c>
      <c r="P7" s="45">
        <v>4.54</v>
      </c>
      <c r="Q7" s="45">
        <v>7.66</v>
      </c>
      <c r="R7" s="45">
        <v>2.2999999999999998</v>
      </c>
      <c r="S7" s="45">
        <v>5.16</v>
      </c>
      <c r="T7" s="46">
        <f>N7+O7+P7+Q7+R7+S7</f>
        <v>62.529999999999987</v>
      </c>
      <c r="U7" s="5"/>
      <c r="V7" s="47">
        <f>(((N7/45)*100)*H7)/$H$190</f>
        <v>0.71886351911243007</v>
      </c>
      <c r="W7" s="47">
        <f>(((O7/15)*100)*H7)/$H$190</f>
        <v>0.82576548114818193</v>
      </c>
      <c r="X7" s="48"/>
      <c r="Y7" s="15">
        <f>(T7*H7)/$H$190</f>
        <v>0.65250777846919716</v>
      </c>
    </row>
    <row r="8" spans="1:25" x14ac:dyDescent="0.3">
      <c r="A8" s="5">
        <v>35</v>
      </c>
      <c r="B8" s="5">
        <v>3500</v>
      </c>
      <c r="C8" s="5">
        <v>1098</v>
      </c>
      <c r="D8" s="5" t="s">
        <v>33</v>
      </c>
      <c r="E8" s="5" t="s">
        <v>34</v>
      </c>
      <c r="F8" s="13">
        <v>3</v>
      </c>
      <c r="G8" s="13" t="s">
        <v>37</v>
      </c>
      <c r="H8" s="13">
        <v>1126</v>
      </c>
      <c r="I8" s="13">
        <v>32.19233268356075</v>
      </c>
      <c r="J8" s="13">
        <v>191.2517218973359</v>
      </c>
      <c r="K8" s="13">
        <v>359.52982456140353</v>
      </c>
      <c r="L8" s="13">
        <v>543.02612085769977</v>
      </c>
      <c r="M8" s="13">
        <f t="shared" si="0"/>
        <v>1126</v>
      </c>
      <c r="N8" s="13">
        <v>23.01</v>
      </c>
      <c r="O8" s="13">
        <v>13.71</v>
      </c>
      <c r="P8" s="13">
        <v>5.08</v>
      </c>
      <c r="Q8" s="13">
        <v>10.6</v>
      </c>
      <c r="R8" s="13">
        <v>3.18</v>
      </c>
      <c r="S8" s="13">
        <v>5.31</v>
      </c>
      <c r="T8" s="14">
        <f>N8+O8+P8+Q8+R8+S8</f>
        <v>60.89</v>
      </c>
      <c r="V8" s="15">
        <f>(((N8/45)*100)*H8)/$H$190</f>
        <v>0.34450321510060156</v>
      </c>
      <c r="W8" s="15">
        <f>(((O8/15)*100)*H8)/$H$190</f>
        <v>0.61579388253314826</v>
      </c>
      <c r="X8" s="49"/>
      <c r="Y8" s="15">
        <f>(T8*H8)/$H$190</f>
        <v>0.41023730314489493</v>
      </c>
    </row>
    <row r="9" spans="1:25" s="27" customFormat="1" x14ac:dyDescent="0.3">
      <c r="A9" s="27">
        <v>35</v>
      </c>
      <c r="B9" s="27">
        <v>3500</v>
      </c>
      <c r="C9" s="27">
        <v>1099</v>
      </c>
      <c r="D9" s="27" t="s">
        <v>33</v>
      </c>
      <c r="E9" s="27" t="s">
        <v>34</v>
      </c>
      <c r="F9" s="28">
        <v>4</v>
      </c>
      <c r="G9" s="28" t="s">
        <v>38</v>
      </c>
      <c r="H9" s="28">
        <v>1909</v>
      </c>
      <c r="I9" s="28">
        <v>509.93835616438361</v>
      </c>
      <c r="J9" s="28">
        <v>248.43150684931504</v>
      </c>
      <c r="K9" s="28">
        <v>954.5</v>
      </c>
      <c r="L9" s="28">
        <v>196.13013698630138</v>
      </c>
      <c r="M9" s="28">
        <f t="shared" si="0"/>
        <v>1909</v>
      </c>
      <c r="N9" s="28">
        <v>28.37</v>
      </c>
      <c r="O9" s="28">
        <v>11.03</v>
      </c>
      <c r="P9" s="28">
        <v>4.3600000000000003</v>
      </c>
      <c r="Q9" s="28">
        <v>8.58</v>
      </c>
      <c r="R9" s="28">
        <v>3.1</v>
      </c>
      <c r="S9" s="28">
        <v>4.04</v>
      </c>
      <c r="T9" s="29">
        <f>N9+O9+P9+Q9+R9+S9</f>
        <v>59.48</v>
      </c>
      <c r="U9" s="5"/>
      <c r="V9" s="30">
        <f>(((N9/45)*100)*H9)/$H$190</f>
        <v>0.72011778064982801</v>
      </c>
      <c r="W9" s="30">
        <f>(((O9/15)*100)*H9)/$H$190</f>
        <v>0.83992588514990507</v>
      </c>
      <c r="X9" s="43"/>
      <c r="Y9" s="30">
        <f>(T9*H9)/$H$190</f>
        <v>0.67940333157819155</v>
      </c>
    </row>
    <row r="10" spans="1:25" x14ac:dyDescent="0.3">
      <c r="A10" s="5">
        <v>35</v>
      </c>
      <c r="B10" s="5">
        <v>3500</v>
      </c>
      <c r="C10" s="5">
        <v>1100</v>
      </c>
      <c r="D10" s="5" t="s">
        <v>33</v>
      </c>
      <c r="E10" s="5" t="s">
        <v>34</v>
      </c>
      <c r="F10" s="13">
        <v>5</v>
      </c>
      <c r="G10" s="13" t="s">
        <v>39</v>
      </c>
      <c r="H10" s="13">
        <v>1513</v>
      </c>
      <c r="I10" s="13">
        <v>0</v>
      </c>
      <c r="J10" s="13">
        <v>126.43454038997217</v>
      </c>
      <c r="K10" s="13">
        <v>1364.088207985144</v>
      </c>
      <c r="L10" s="13">
        <v>22.477251624883941</v>
      </c>
      <c r="M10" s="13">
        <f t="shared" si="0"/>
        <v>1513.0000000000002</v>
      </c>
      <c r="N10" s="13">
        <v>23.99</v>
      </c>
      <c r="O10" s="13">
        <v>14.58</v>
      </c>
      <c r="P10" s="13">
        <v>7.35</v>
      </c>
      <c r="Q10" s="13">
        <v>4.5</v>
      </c>
      <c r="R10" s="13">
        <v>3.5</v>
      </c>
      <c r="S10" s="13">
        <v>8.5</v>
      </c>
      <c r="T10" s="14">
        <f>N10+O10+P10+Q10+R10+S10</f>
        <v>62.42</v>
      </c>
      <c r="V10" s="15">
        <f>(((N10/45)*100)*H10)/$H$190</f>
        <v>0.48262236795217506</v>
      </c>
      <c r="W10" s="15">
        <f>(((O10/15)*100)*H10)/$H$190</f>
        <v>0.8799459097218898</v>
      </c>
      <c r="X10" s="49"/>
      <c r="Y10" s="15">
        <f>(T10*H10)/$H$190</f>
        <v>0.56508460581111486</v>
      </c>
    </row>
    <row r="11" spans="1:25" s="27" customFormat="1" x14ac:dyDescent="0.3">
      <c r="A11" s="27">
        <v>35</v>
      </c>
      <c r="B11" s="27">
        <v>3500</v>
      </c>
      <c r="C11" s="27">
        <v>1101</v>
      </c>
      <c r="D11" s="27" t="s">
        <v>33</v>
      </c>
      <c r="E11" s="27" t="s">
        <v>34</v>
      </c>
      <c r="F11" s="28">
        <v>6</v>
      </c>
      <c r="G11" s="28" t="s">
        <v>40</v>
      </c>
      <c r="H11" s="28">
        <v>1843</v>
      </c>
      <c r="I11" s="28">
        <v>1690.5659708546671</v>
      </c>
      <c r="J11" s="28">
        <v>152.43402914533283</v>
      </c>
      <c r="K11" s="28">
        <v>0</v>
      </c>
      <c r="L11" s="28">
        <v>0</v>
      </c>
      <c r="M11" s="28">
        <f t="shared" si="0"/>
        <v>1843</v>
      </c>
      <c r="N11" s="28">
        <v>31</v>
      </c>
      <c r="O11" s="28">
        <v>12.03</v>
      </c>
      <c r="P11" s="28">
        <v>4.5999999999999996</v>
      </c>
      <c r="Q11" s="28">
        <v>8.18</v>
      </c>
      <c r="R11" s="28">
        <v>3.5</v>
      </c>
      <c r="S11" s="28">
        <v>5.64</v>
      </c>
      <c r="T11" s="29">
        <f>N11+O11+P11+Q11+R11+S11</f>
        <v>64.95</v>
      </c>
      <c r="U11" s="5"/>
      <c r="V11" s="30">
        <f>(((N11/45)*100)*H11)/$H$190</f>
        <v>0.75967056520883525</v>
      </c>
      <c r="W11" s="30">
        <f>(((O11/15)*100)*H11)/$H$190</f>
        <v>0.88440357091570521</v>
      </c>
      <c r="X11" s="43"/>
      <c r="Y11" s="30">
        <f>(T11*H11)/$H$190</f>
        <v>0.71623456273036235</v>
      </c>
    </row>
    <row r="12" spans="1:25" x14ac:dyDescent="0.3">
      <c r="A12" s="5">
        <v>35</v>
      </c>
      <c r="B12" s="5">
        <v>3500</v>
      </c>
      <c r="C12" s="5">
        <v>1102</v>
      </c>
      <c r="D12" s="5" t="s">
        <v>33</v>
      </c>
      <c r="E12" s="5" t="s">
        <v>34</v>
      </c>
      <c r="F12" s="13">
        <v>7</v>
      </c>
      <c r="G12" s="13" t="s">
        <v>41</v>
      </c>
      <c r="H12" s="13">
        <v>1613</v>
      </c>
      <c r="I12" s="13">
        <v>0</v>
      </c>
      <c r="J12" s="13">
        <v>137.74205701368831</v>
      </c>
      <c r="K12" s="13">
        <v>1432.7199547909081</v>
      </c>
      <c r="L12" s="13">
        <v>42.537988195403749</v>
      </c>
      <c r="M12" s="13">
        <f t="shared" si="0"/>
        <v>1613.0000000000002</v>
      </c>
      <c r="N12" s="13">
        <v>28.11</v>
      </c>
      <c r="O12" s="13">
        <v>11.89</v>
      </c>
      <c r="P12" s="13">
        <v>3</v>
      </c>
      <c r="Q12" s="13">
        <v>6.5</v>
      </c>
      <c r="R12" s="13">
        <v>1.5</v>
      </c>
      <c r="S12" s="13">
        <v>3</v>
      </c>
      <c r="T12" s="14">
        <f>N12+O12+P12+Q12+R12+S12</f>
        <v>54</v>
      </c>
      <c r="V12" s="15">
        <f>(((N12/45)*100)*H12)/$H$190</f>
        <v>0.60288361814497471</v>
      </c>
      <c r="W12" s="15">
        <f>(((O12/15)*100)*H12)/$H$190</f>
        <v>0.76502521021811642</v>
      </c>
      <c r="X12" s="49"/>
      <c r="Y12" s="15">
        <f>(T12*H12)/$H$190</f>
        <v>0.52116940309224069</v>
      </c>
    </row>
    <row r="13" spans="1:25" s="27" customFormat="1" x14ac:dyDescent="0.3">
      <c r="A13" s="27">
        <v>35</v>
      </c>
      <c r="B13" s="27">
        <v>3500</v>
      </c>
      <c r="C13" s="27">
        <v>1103</v>
      </c>
      <c r="D13" s="27" t="s">
        <v>33</v>
      </c>
      <c r="E13" s="27" t="s">
        <v>34</v>
      </c>
      <c r="F13" s="28">
        <v>8</v>
      </c>
      <c r="G13" s="28" t="s">
        <v>42</v>
      </c>
      <c r="H13" s="28">
        <v>1057</v>
      </c>
      <c r="I13" s="28">
        <v>853.42962962962974</v>
      </c>
      <c r="J13" s="28">
        <v>203.57037037037037</v>
      </c>
      <c r="K13" s="28">
        <v>0</v>
      </c>
      <c r="L13" s="28">
        <v>0</v>
      </c>
      <c r="M13" s="28">
        <f t="shared" si="0"/>
        <v>1057</v>
      </c>
      <c r="N13" s="28">
        <v>31.79</v>
      </c>
      <c r="O13" s="28">
        <v>13.64</v>
      </c>
      <c r="P13" s="28">
        <v>6.48</v>
      </c>
      <c r="Q13" s="28">
        <v>8.5299999999999994</v>
      </c>
      <c r="R13" s="28">
        <v>4.25</v>
      </c>
      <c r="S13" s="28">
        <v>7.9</v>
      </c>
      <c r="T13" s="29">
        <f>N13+O13+P13+Q13+R13+S13</f>
        <v>72.59</v>
      </c>
      <c r="U13" s="5"/>
      <c r="V13" s="30">
        <f>(((N13/45)*100)*H13)/$H$190</f>
        <v>0.44679035097516739</v>
      </c>
      <c r="W13" s="30">
        <f>(((O13/15)*100)*H13)/$H$190</f>
        <v>0.57510730298533663</v>
      </c>
      <c r="X13" s="43"/>
      <c r="Y13" s="30">
        <f>(T13*H13)/$H$190</f>
        <v>0.4590950050260878</v>
      </c>
    </row>
    <row r="14" spans="1:25" s="44" customFormat="1" x14ac:dyDescent="0.3">
      <c r="A14" s="44">
        <v>35</v>
      </c>
      <c r="B14" s="44">
        <v>3500</v>
      </c>
      <c r="C14" s="44">
        <v>1104</v>
      </c>
      <c r="D14" s="44" t="s">
        <v>33</v>
      </c>
      <c r="E14" s="44" t="s">
        <v>34</v>
      </c>
      <c r="F14" s="45">
        <v>9</v>
      </c>
      <c r="G14" s="45" t="s">
        <v>43</v>
      </c>
      <c r="H14" s="45">
        <v>1008</v>
      </c>
      <c r="I14" s="45">
        <v>1008</v>
      </c>
      <c r="J14" s="45">
        <v>0</v>
      </c>
      <c r="K14" s="45">
        <v>0</v>
      </c>
      <c r="L14" s="45">
        <v>0</v>
      </c>
      <c r="M14" s="45">
        <f t="shared" si="0"/>
        <v>1008</v>
      </c>
      <c r="N14" s="45">
        <v>31</v>
      </c>
      <c r="O14" s="45">
        <v>11.9</v>
      </c>
      <c r="P14" s="45">
        <v>4.5999999999999996</v>
      </c>
      <c r="Q14" s="45">
        <v>7.54</v>
      </c>
      <c r="R14" s="45">
        <v>3.18</v>
      </c>
      <c r="S14" s="45">
        <v>5</v>
      </c>
      <c r="T14" s="46">
        <f>N14+O14+P14+Q14+R14+S14</f>
        <v>63.22</v>
      </c>
      <c r="U14" s="5"/>
      <c r="V14" s="47">
        <f>(((N14/45)*100)*H14)/$H$190</f>
        <v>0.41548992389067063</v>
      </c>
      <c r="W14" s="47">
        <f>(((O14/15)*100)*H14)/$H$190</f>
        <v>0.47848355751280458</v>
      </c>
      <c r="X14" s="48"/>
      <c r="Y14" s="15">
        <f>(T14*H14)/$H$190</f>
        <v>0.38129912402469962</v>
      </c>
    </row>
    <row r="15" spans="1:25" s="32" customFormat="1" x14ac:dyDescent="0.3">
      <c r="A15" s="32">
        <v>35</v>
      </c>
      <c r="B15" s="32">
        <v>3500</v>
      </c>
      <c r="C15" s="32">
        <v>1105</v>
      </c>
      <c r="D15" s="32" t="s">
        <v>33</v>
      </c>
      <c r="E15" s="32" t="s">
        <v>34</v>
      </c>
      <c r="F15" s="33">
        <v>10</v>
      </c>
      <c r="G15" s="33" t="s">
        <v>44</v>
      </c>
      <c r="H15" s="33">
        <v>1449</v>
      </c>
      <c r="I15" s="33">
        <v>1152.3543307086616</v>
      </c>
      <c r="J15" s="33">
        <v>296.64566929133861</v>
      </c>
      <c r="K15" s="33">
        <v>0</v>
      </c>
      <c r="L15" s="33">
        <v>0</v>
      </c>
      <c r="M15" s="33">
        <f t="shared" si="0"/>
        <v>1449.0000000000002</v>
      </c>
      <c r="N15" s="33">
        <v>37.79</v>
      </c>
      <c r="O15" s="33">
        <v>13.5</v>
      </c>
      <c r="P15" s="33">
        <v>6.5</v>
      </c>
      <c r="Q15" s="33">
        <v>8.1</v>
      </c>
      <c r="R15" s="33">
        <v>3.5</v>
      </c>
      <c r="S15" s="33">
        <v>7.5</v>
      </c>
      <c r="T15" s="34">
        <f>N15+O15+P15+Q15+R15+S15</f>
        <v>76.89</v>
      </c>
      <c r="U15" s="5"/>
      <c r="V15" s="16">
        <f>(((N15/45)*100)*H15)/$H$190</f>
        <v>0.72808745392752849</v>
      </c>
      <c r="W15" s="16">
        <f>(((O15/15)*100)*H15)/$H$190</f>
        <v>0.78030012924225745</v>
      </c>
      <c r="X15" s="50"/>
      <c r="Y15" s="15">
        <f>(T15*H15)/$H$190</f>
        <v>0.66663641041596855</v>
      </c>
    </row>
    <row r="16" spans="1:25" x14ac:dyDescent="0.3">
      <c r="A16" s="5">
        <v>35</v>
      </c>
      <c r="B16" s="5">
        <v>3500</v>
      </c>
      <c r="C16" s="5">
        <v>1106</v>
      </c>
      <c r="D16" s="5" t="s">
        <v>33</v>
      </c>
      <c r="E16" s="5" t="s">
        <v>34</v>
      </c>
      <c r="F16" s="13">
        <v>11</v>
      </c>
      <c r="G16" s="13" t="s">
        <v>45</v>
      </c>
      <c r="H16" s="13">
        <v>1085</v>
      </c>
      <c r="I16" s="13">
        <v>30.79022047587863</v>
      </c>
      <c r="J16" s="13">
        <v>438.16852215673435</v>
      </c>
      <c r="K16" s="13">
        <v>571.04016590264143</v>
      </c>
      <c r="L16" s="13">
        <v>45.001091464745691</v>
      </c>
      <c r="M16" s="13">
        <f t="shared" si="0"/>
        <v>1085.0000000000002</v>
      </c>
      <c r="N16" s="13">
        <v>20.16</v>
      </c>
      <c r="O16" s="13">
        <v>5.41</v>
      </c>
      <c r="P16" s="13">
        <v>3</v>
      </c>
      <c r="Q16" s="13">
        <v>6.1</v>
      </c>
      <c r="R16" s="13">
        <v>1.5</v>
      </c>
      <c r="S16" s="13">
        <v>3</v>
      </c>
      <c r="T16" s="14">
        <f>N16+O16+P16+Q16+R16+S16</f>
        <v>39.17</v>
      </c>
      <c r="V16" s="15">
        <f>(((N16/45)*100)*H16)/$H$190</f>
        <v>0.2908429467234695</v>
      </c>
      <c r="W16" s="15">
        <f>(((O16/15)*100)*H16)/$H$190</f>
        <v>0.23414588419255503</v>
      </c>
      <c r="X16" s="49"/>
      <c r="Y16" s="15">
        <f>(T16*H16)/$H$190</f>
        <v>0.25429281748121202</v>
      </c>
    </row>
    <row r="17" spans="1:25" s="44" customFormat="1" x14ac:dyDescent="0.3">
      <c r="A17" s="44">
        <v>35</v>
      </c>
      <c r="B17" s="44">
        <v>3500</v>
      </c>
      <c r="C17" s="44">
        <v>1107</v>
      </c>
      <c r="D17" s="44" t="s">
        <v>33</v>
      </c>
      <c r="E17" s="44" t="s">
        <v>34</v>
      </c>
      <c r="F17" s="45">
        <v>12</v>
      </c>
      <c r="G17" s="45" t="s">
        <v>46</v>
      </c>
      <c r="H17" s="45">
        <v>1090</v>
      </c>
      <c r="I17" s="45">
        <v>960.23809523809518</v>
      </c>
      <c r="J17" s="45">
        <v>129.76190476190476</v>
      </c>
      <c r="K17" s="45">
        <v>0</v>
      </c>
      <c r="L17" s="45">
        <v>0</v>
      </c>
      <c r="M17" s="45">
        <f t="shared" si="0"/>
        <v>1090</v>
      </c>
      <c r="N17" s="45">
        <v>32</v>
      </c>
      <c r="O17" s="45">
        <v>12.51</v>
      </c>
      <c r="P17" s="45">
        <v>3.94</v>
      </c>
      <c r="Q17" s="45">
        <v>7.3</v>
      </c>
      <c r="R17" s="45">
        <v>3.18</v>
      </c>
      <c r="S17" s="45">
        <v>5</v>
      </c>
      <c r="T17" s="46">
        <f>N17+O17+P17+Q17+R17+S17</f>
        <v>63.929999999999993</v>
      </c>
      <c r="U17" s="5"/>
      <c r="V17" s="47">
        <f>(((N17/45)*100)*H17)/$H$190</f>
        <v>0.46378291555640655</v>
      </c>
      <c r="W17" s="47">
        <f>(((O17/15)*100)*H17)/$H$190</f>
        <v>0.54393040065099796</v>
      </c>
      <c r="X17" s="48"/>
      <c r="Y17" s="15">
        <f>(T17*H17)/$H$190</f>
        <v>0.41694808769326502</v>
      </c>
    </row>
    <row r="18" spans="1:25" x14ac:dyDescent="0.3">
      <c r="A18" s="5">
        <v>35</v>
      </c>
      <c r="B18" s="5">
        <v>3500</v>
      </c>
      <c r="C18" s="5">
        <v>1108</v>
      </c>
      <c r="D18" s="5" t="s">
        <v>33</v>
      </c>
      <c r="E18" s="5" t="s">
        <v>34</v>
      </c>
      <c r="F18" s="13">
        <v>13</v>
      </c>
      <c r="G18" s="13" t="s">
        <v>47</v>
      </c>
      <c r="H18" s="13">
        <v>1132</v>
      </c>
      <c r="I18" s="13">
        <v>9.9589442815249249</v>
      </c>
      <c r="J18" s="13">
        <v>262.25219941348973</v>
      </c>
      <c r="K18" s="13">
        <v>833.23167155425222</v>
      </c>
      <c r="L18" s="13">
        <v>26.557184750733139</v>
      </c>
      <c r="M18" s="13">
        <f t="shared" si="0"/>
        <v>1132</v>
      </c>
      <c r="N18" s="13">
        <v>25.4</v>
      </c>
      <c r="O18" s="13">
        <v>5.8</v>
      </c>
      <c r="P18" s="13">
        <v>3</v>
      </c>
      <c r="Q18" s="13">
        <v>6.5</v>
      </c>
      <c r="R18" s="13">
        <v>1.5</v>
      </c>
      <c r="S18" s="13">
        <v>3</v>
      </c>
      <c r="T18" s="14">
        <f>N18+O18+P18+Q18+R18+S18</f>
        <v>45.2</v>
      </c>
      <c r="V18" s="15">
        <f>(((N18/45)*100)*H18)/$H$190</f>
        <v>0.38231242587185338</v>
      </c>
      <c r="W18" s="15">
        <f>(((O18/15)*100)*H18)/$H$190</f>
        <v>0.26189906339252944</v>
      </c>
      <c r="X18" s="49"/>
      <c r="Y18" s="15">
        <f>(T18*H18)/$H$190</f>
        <v>0.30615097410368103</v>
      </c>
    </row>
    <row r="19" spans="1:25" x14ac:dyDescent="0.3">
      <c r="A19" s="5">
        <v>35</v>
      </c>
      <c r="B19" s="5">
        <v>3500</v>
      </c>
      <c r="C19" s="5">
        <v>1236</v>
      </c>
      <c r="D19" s="5" t="s">
        <v>33</v>
      </c>
      <c r="E19" s="5" t="s">
        <v>34</v>
      </c>
      <c r="F19" s="13">
        <v>14</v>
      </c>
      <c r="G19" s="13" t="s">
        <v>48</v>
      </c>
      <c r="H19" s="13">
        <v>190</v>
      </c>
      <c r="I19" s="13">
        <v>0</v>
      </c>
      <c r="J19" s="13">
        <v>52.930513595166168</v>
      </c>
      <c r="K19" s="13">
        <v>105.34743202416918</v>
      </c>
      <c r="L19" s="13">
        <v>31.722054380664659</v>
      </c>
      <c r="M19" s="13">
        <f t="shared" si="0"/>
        <v>190</v>
      </c>
      <c r="N19" s="13">
        <v>26.75</v>
      </c>
      <c r="O19" s="13">
        <v>14.63</v>
      </c>
      <c r="P19" s="13">
        <v>4.3</v>
      </c>
      <c r="Q19" s="13">
        <v>9.3000000000000007</v>
      </c>
      <c r="R19" s="13">
        <v>3.5</v>
      </c>
      <c r="S19" s="13">
        <v>3</v>
      </c>
      <c r="T19" s="14">
        <f>N19+O19+P19+Q19+R19+S19</f>
        <v>61.480000000000004</v>
      </c>
      <c r="V19" s="15">
        <f>(((N19/45)*100)*H19)/$H$190</f>
        <v>6.7579606316382906E-2</v>
      </c>
      <c r="W19" s="15">
        <f>(((O19/15)*100)*H19)/$H$190</f>
        <v>0.11088108116732882</v>
      </c>
      <c r="X19" s="49"/>
      <c r="Y19" s="15">
        <f>(T19*H19)/$H$190</f>
        <v>6.9893734143889719E-2</v>
      </c>
    </row>
    <row r="20" spans="1:25" x14ac:dyDescent="0.3">
      <c r="A20" s="5">
        <v>35</v>
      </c>
      <c r="B20" s="5">
        <v>3500</v>
      </c>
      <c r="C20" s="5">
        <v>1237</v>
      </c>
      <c r="D20" s="5" t="s">
        <v>33</v>
      </c>
      <c r="E20" s="5" t="s">
        <v>34</v>
      </c>
      <c r="F20" s="13">
        <v>15</v>
      </c>
      <c r="G20" s="13" t="s">
        <v>49</v>
      </c>
      <c r="H20" s="13">
        <v>151</v>
      </c>
      <c r="I20" s="13">
        <v>0</v>
      </c>
      <c r="J20" s="13">
        <v>3.0753564154786153</v>
      </c>
      <c r="K20" s="13">
        <v>83.342158859470473</v>
      </c>
      <c r="L20" s="13">
        <v>64.582484725050918</v>
      </c>
      <c r="M20" s="13">
        <f t="shared" si="0"/>
        <v>151</v>
      </c>
      <c r="N20" s="13">
        <v>12.05</v>
      </c>
      <c r="O20" s="13">
        <v>13.64</v>
      </c>
      <c r="P20" s="13">
        <v>7</v>
      </c>
      <c r="Q20" s="13">
        <v>10.5</v>
      </c>
      <c r="R20" s="13">
        <v>3.5</v>
      </c>
      <c r="S20" s="13">
        <v>3</v>
      </c>
      <c r="T20" s="14">
        <f>N20+O20+P20+Q20+R20+S20</f>
        <v>49.69</v>
      </c>
      <c r="V20" s="15">
        <f>(((N20/45)*100)*H20)/$H$190</f>
        <v>2.4193698509193218E-2</v>
      </c>
      <c r="W20" s="15">
        <f>(((O20/15)*100)*H20)/$H$190</f>
        <v>8.2158186140762382E-2</v>
      </c>
      <c r="X20" s="49"/>
      <c r="Y20" s="15">
        <f>(T20*H20)/$H$190</f>
        <v>4.4894870997080082E-2</v>
      </c>
    </row>
    <row r="21" spans="1:25" x14ac:dyDescent="0.3">
      <c r="A21" s="5">
        <v>35</v>
      </c>
      <c r="B21" s="5">
        <v>3500</v>
      </c>
      <c r="C21" s="5">
        <v>1238</v>
      </c>
      <c r="D21" s="5" t="s">
        <v>33</v>
      </c>
      <c r="E21" s="5" t="s">
        <v>34</v>
      </c>
      <c r="F21" s="13">
        <v>16</v>
      </c>
      <c r="G21" s="13" t="s">
        <v>50</v>
      </c>
      <c r="H21" s="13">
        <v>62</v>
      </c>
      <c r="I21" s="13">
        <v>0</v>
      </c>
      <c r="J21" s="13">
        <v>23.846153846153847</v>
      </c>
      <c r="K21" s="13">
        <v>33.38461538461538</v>
      </c>
      <c r="L21" s="13">
        <v>4.7692307692307692</v>
      </c>
      <c r="M21" s="13">
        <f t="shared" si="0"/>
        <v>61.999999999999993</v>
      </c>
      <c r="N21" s="13">
        <v>15.95</v>
      </c>
      <c r="O21" s="13">
        <v>12.99</v>
      </c>
      <c r="P21" s="13">
        <v>7.41</v>
      </c>
      <c r="Q21" s="13">
        <v>12.75</v>
      </c>
      <c r="R21" s="13">
        <v>3.95</v>
      </c>
      <c r="S21" s="13">
        <v>3</v>
      </c>
      <c r="T21" s="14">
        <f>N21+O21+P21+Q21+R21+S21</f>
        <v>56.05</v>
      </c>
      <c r="V21" s="15">
        <f>(((N21/45)*100)*H21)/$H$190</f>
        <v>1.3148937075508326E-2</v>
      </c>
      <c r="W21" s="15">
        <f>(((O21/15)*100)*H21)/$H$190</f>
        <v>3.2126274472260782E-2</v>
      </c>
      <c r="X21" s="49"/>
      <c r="Y21" s="15">
        <f>(T21*H21)/$H$190</f>
        <v>2.079304485185008E-2</v>
      </c>
    </row>
    <row r="22" spans="1:25" x14ac:dyDescent="0.3">
      <c r="A22" s="5">
        <v>35</v>
      </c>
      <c r="B22" s="5">
        <v>3500</v>
      </c>
      <c r="C22" s="5">
        <v>1239</v>
      </c>
      <c r="D22" s="5" t="s">
        <v>33</v>
      </c>
      <c r="E22" s="5" t="s">
        <v>34</v>
      </c>
      <c r="F22" s="13">
        <v>17</v>
      </c>
      <c r="G22" s="13" t="s">
        <v>51</v>
      </c>
      <c r="H22" s="13">
        <v>696</v>
      </c>
      <c r="I22" s="13">
        <v>0</v>
      </c>
      <c r="J22" s="13">
        <v>152.19025194254769</v>
      </c>
      <c r="K22" s="13">
        <v>512.67247468801509</v>
      </c>
      <c r="L22" s="13">
        <v>31.137273369437246</v>
      </c>
      <c r="M22" s="13">
        <f t="shared" si="0"/>
        <v>696</v>
      </c>
      <c r="N22" s="13">
        <v>29.64</v>
      </c>
      <c r="O22" s="13">
        <v>14.5</v>
      </c>
      <c r="P22" s="13">
        <v>7.41</v>
      </c>
      <c r="Q22" s="13">
        <v>4.5</v>
      </c>
      <c r="R22" s="13">
        <v>1.5</v>
      </c>
      <c r="S22" s="13">
        <v>8.5</v>
      </c>
      <c r="T22" s="14">
        <f>N22+O22+P22+Q22+R22+S22</f>
        <v>66.05</v>
      </c>
      <c r="V22" s="15">
        <f>(((N22/45)*100)*H22)/$H$190</f>
        <v>0.27429993777224643</v>
      </c>
      <c r="W22" s="15">
        <f>(((O22/15)*100)*H22)/$H$190</f>
        <v>0.40256569814752763</v>
      </c>
      <c r="X22" s="49"/>
      <c r="Y22" s="15">
        <f>(T22*H22)/$H$190</f>
        <v>0.2750634244411469</v>
      </c>
    </row>
    <row r="23" spans="1:25" x14ac:dyDescent="0.3">
      <c r="A23" s="5">
        <v>35</v>
      </c>
      <c r="B23" s="5">
        <v>3500</v>
      </c>
      <c r="C23" s="5">
        <v>1240</v>
      </c>
      <c r="D23" s="5" t="s">
        <v>33</v>
      </c>
      <c r="E23" s="5" t="s">
        <v>34</v>
      </c>
      <c r="F23" s="13">
        <v>18</v>
      </c>
      <c r="G23" s="13" t="s">
        <v>52</v>
      </c>
      <c r="H23" s="13">
        <v>598</v>
      </c>
      <c r="I23" s="13">
        <v>40.264841207496353</v>
      </c>
      <c r="J23" s="13">
        <v>197.76747839748626</v>
      </c>
      <c r="K23" s="13">
        <v>243.53518123667376</v>
      </c>
      <c r="L23" s="13">
        <v>116.43249915834363</v>
      </c>
      <c r="M23" s="13">
        <f t="shared" si="0"/>
        <v>598</v>
      </c>
      <c r="N23" s="13">
        <v>27.75</v>
      </c>
      <c r="O23" s="13">
        <v>14.38</v>
      </c>
      <c r="P23" s="13">
        <v>7.41</v>
      </c>
      <c r="Q23" s="13">
        <v>12.75</v>
      </c>
      <c r="R23" s="13">
        <v>4.25</v>
      </c>
      <c r="S23" s="13">
        <v>8.5</v>
      </c>
      <c r="T23" s="14">
        <f>N23+O23+P23+Q23+R23+S23</f>
        <v>75.040000000000006</v>
      </c>
      <c r="V23" s="15">
        <f>(((N23/45)*100)*H23)/$H$190</f>
        <v>0.22064924289566482</v>
      </c>
      <c r="W23" s="15">
        <f>(((O23/15)*100)*H23)/$H$190</f>
        <v>0.34302012030699025</v>
      </c>
      <c r="X23" s="49"/>
      <c r="Y23" s="15">
        <f>(T23*H23)/$H$190</f>
        <v>0.26850031113876793</v>
      </c>
    </row>
    <row r="24" spans="1:25" x14ac:dyDescent="0.3">
      <c r="A24" s="5">
        <v>35</v>
      </c>
      <c r="B24" s="5">
        <v>3500</v>
      </c>
      <c r="C24" s="5">
        <v>1241</v>
      </c>
      <c r="D24" s="5" t="s">
        <v>33</v>
      </c>
      <c r="E24" s="5" t="s">
        <v>34</v>
      </c>
      <c r="F24" s="13">
        <v>19</v>
      </c>
      <c r="G24" s="13" t="s">
        <v>53</v>
      </c>
      <c r="H24" s="13">
        <v>445</v>
      </c>
      <c r="I24" s="13">
        <v>0</v>
      </c>
      <c r="J24" s="13">
        <v>130.56886227544911</v>
      </c>
      <c r="K24" s="13">
        <v>277.65868263473055</v>
      </c>
      <c r="L24" s="13">
        <v>36.772455089820355</v>
      </c>
      <c r="M24" s="13">
        <f t="shared" si="0"/>
        <v>445</v>
      </c>
      <c r="N24" s="13">
        <v>30.65</v>
      </c>
      <c r="O24" s="13">
        <v>14.63</v>
      </c>
      <c r="P24" s="13">
        <v>7.41</v>
      </c>
      <c r="Q24" s="13">
        <v>12.45</v>
      </c>
      <c r="R24" s="13">
        <v>3.5</v>
      </c>
      <c r="S24" s="13">
        <v>8.5</v>
      </c>
      <c r="T24" s="14">
        <f>N24+O24+P24+Q24+R24+S24</f>
        <v>77.14</v>
      </c>
      <c r="V24" s="15">
        <f>(((N24/45)*100)*H24)/$H$190</f>
        <v>0.18135467692094948</v>
      </c>
      <c r="W24" s="15">
        <f>(((O24/15)*100)*H24)/$H$190</f>
        <v>0.25969516378663859</v>
      </c>
      <c r="X24" s="49"/>
      <c r="Y24" s="15">
        <f>(T24*H24)/$H$190</f>
        <v>0.2053952659039778</v>
      </c>
    </row>
    <row r="25" spans="1:25" x14ac:dyDescent="0.3">
      <c r="A25" s="5">
        <v>35</v>
      </c>
      <c r="B25" s="5">
        <v>3500</v>
      </c>
      <c r="C25" s="5">
        <v>1242</v>
      </c>
      <c r="D25" s="5" t="s">
        <v>33</v>
      </c>
      <c r="E25" s="5" t="s">
        <v>34</v>
      </c>
      <c r="F25" s="13">
        <v>20</v>
      </c>
      <c r="G25" s="13" t="s">
        <v>54</v>
      </c>
      <c r="H25" s="13">
        <v>64</v>
      </c>
      <c r="I25" s="13">
        <v>64</v>
      </c>
      <c r="J25" s="13">
        <v>0</v>
      </c>
      <c r="K25" s="13">
        <v>0</v>
      </c>
      <c r="L25" s="13">
        <v>0</v>
      </c>
      <c r="M25" s="13">
        <f t="shared" si="0"/>
        <v>64</v>
      </c>
      <c r="N25" s="13">
        <v>28.94</v>
      </c>
      <c r="O25" s="13">
        <v>14.1</v>
      </c>
      <c r="P25" s="13">
        <v>4.0999999999999996</v>
      </c>
      <c r="Q25" s="13">
        <v>4.5</v>
      </c>
      <c r="R25" s="13">
        <v>2.7</v>
      </c>
      <c r="S25" s="13">
        <v>3</v>
      </c>
      <c r="T25" s="14">
        <f>N25+O25+P25+Q25+R25+S25</f>
        <v>57.34</v>
      </c>
      <c r="V25" s="15">
        <f>(((N25/45)*100)*H25)/$H$190</f>
        <v>2.4627298304958543E-2</v>
      </c>
      <c r="W25" s="15">
        <f>(((O25/15)*100)*H25)/$H$190</f>
        <v>3.5996362069790816E-2</v>
      </c>
      <c r="X25" s="49"/>
      <c r="Y25" s="15">
        <f>(T25*H25)/$H$190</f>
        <v>2.1957780862572402E-2</v>
      </c>
    </row>
    <row r="26" spans="1:25" x14ac:dyDescent="0.3">
      <c r="A26" s="5">
        <v>35</v>
      </c>
      <c r="B26" s="5">
        <v>3500</v>
      </c>
      <c r="C26" s="5">
        <v>1243</v>
      </c>
      <c r="D26" s="5" t="s">
        <v>33</v>
      </c>
      <c r="E26" s="5" t="s">
        <v>34</v>
      </c>
      <c r="F26" s="13">
        <v>21</v>
      </c>
      <c r="G26" s="13" t="s">
        <v>55</v>
      </c>
      <c r="H26" s="13">
        <v>695</v>
      </c>
      <c r="I26" s="13">
        <v>0</v>
      </c>
      <c r="J26" s="13">
        <v>189.54545454545456</v>
      </c>
      <c r="K26" s="13">
        <v>358.030303030303</v>
      </c>
      <c r="L26" s="13">
        <v>147.42424242424244</v>
      </c>
      <c r="M26" s="13">
        <f t="shared" si="0"/>
        <v>695</v>
      </c>
      <c r="N26" s="13">
        <v>22.73</v>
      </c>
      <c r="O26" s="13">
        <v>14.96</v>
      </c>
      <c r="P26" s="13">
        <v>6.88</v>
      </c>
      <c r="Q26" s="13">
        <v>9.68</v>
      </c>
      <c r="R26" s="13">
        <v>2.9</v>
      </c>
      <c r="S26" s="13">
        <v>6.1</v>
      </c>
      <c r="T26" s="14">
        <f>N26+O26+P26+Q26+R26+S26</f>
        <v>63.25</v>
      </c>
      <c r="V26" s="15">
        <f>(((N26/45)*100)*H26)/$H$190</f>
        <v>0.21004991516814789</v>
      </c>
      <c r="W26" s="15">
        <f>(((O26/15)*100)*H26)/$H$190</f>
        <v>0.41473999968088332</v>
      </c>
      <c r="X26" s="49"/>
      <c r="Y26" s="15">
        <f>(T26*H26)/$H$190</f>
        <v>0.26302444832703076</v>
      </c>
    </row>
    <row r="27" spans="1:25" x14ac:dyDescent="0.3">
      <c r="A27" s="5">
        <v>35</v>
      </c>
      <c r="B27" s="5">
        <v>3500</v>
      </c>
      <c r="C27" s="5">
        <v>1244</v>
      </c>
      <c r="D27" s="5" t="s">
        <v>33</v>
      </c>
      <c r="E27" s="5" t="s">
        <v>34</v>
      </c>
      <c r="F27" s="13">
        <v>22</v>
      </c>
      <c r="G27" s="13" t="s">
        <v>56</v>
      </c>
      <c r="H27" s="13">
        <v>463</v>
      </c>
      <c r="I27" s="13">
        <v>0</v>
      </c>
      <c r="J27" s="13">
        <v>463</v>
      </c>
      <c r="K27" s="13">
        <v>0</v>
      </c>
      <c r="L27" s="13">
        <v>0</v>
      </c>
      <c r="M27" s="13">
        <f t="shared" si="0"/>
        <v>463</v>
      </c>
      <c r="N27" s="13">
        <v>23.63</v>
      </c>
      <c r="O27" s="13">
        <v>5.15</v>
      </c>
      <c r="P27" s="13">
        <v>5.36</v>
      </c>
      <c r="Q27" s="13">
        <v>8.5299999999999994</v>
      </c>
      <c r="R27" s="13">
        <v>3.35</v>
      </c>
      <c r="S27" s="13">
        <v>7.9</v>
      </c>
      <c r="T27" s="14">
        <f>N27+O27+P27+Q27+R27+S27</f>
        <v>53.92</v>
      </c>
      <c r="V27" s="15">
        <f>(((N27/45)*100)*H27)/$H$190</f>
        <v>0.14547319685776436</v>
      </c>
      <c r="W27" s="15">
        <f>(((O27/15)*100)*H27)/$H$190</f>
        <v>9.5114722448263217E-2</v>
      </c>
      <c r="X27" s="49"/>
      <c r="Y27" s="15">
        <f>(T27*H27)/$H$190</f>
        <v>0.14937628643913647</v>
      </c>
    </row>
    <row r="28" spans="1:25" x14ac:dyDescent="0.3">
      <c r="A28" s="5">
        <v>35</v>
      </c>
      <c r="B28" s="5">
        <v>3500</v>
      </c>
      <c r="C28" s="5">
        <v>1245</v>
      </c>
      <c r="D28" s="5" t="s">
        <v>33</v>
      </c>
      <c r="E28" s="5" t="s">
        <v>34</v>
      </c>
      <c r="F28" s="13">
        <v>23</v>
      </c>
      <c r="G28" s="13" t="s">
        <v>57</v>
      </c>
      <c r="H28" s="13">
        <v>296</v>
      </c>
      <c r="I28" s="13">
        <v>0</v>
      </c>
      <c r="J28" s="13">
        <v>288.78048780487808</v>
      </c>
      <c r="K28" s="13">
        <v>7.2195121951219523</v>
      </c>
      <c r="L28" s="13">
        <v>0</v>
      </c>
      <c r="M28" s="13">
        <f t="shared" si="0"/>
        <v>296.00000000000006</v>
      </c>
      <c r="N28" s="13">
        <v>30.77</v>
      </c>
      <c r="O28" s="13">
        <v>7.71</v>
      </c>
      <c r="P28" s="13">
        <v>4.33</v>
      </c>
      <c r="Q28" s="13">
        <v>8.84</v>
      </c>
      <c r="R28" s="13">
        <v>3.93</v>
      </c>
      <c r="S28" s="13">
        <v>3.2</v>
      </c>
      <c r="T28" s="14">
        <f>N28+O28+P28+Q28+R28+S28</f>
        <v>58.779999999999994</v>
      </c>
      <c r="V28" s="15">
        <f>(((N28/45)*100)*H28)/$H$190</f>
        <v>0.12110371824124157</v>
      </c>
      <c r="W28" s="15">
        <f>(((O28/15)*100)*H28)/$H$190</f>
        <v>9.1034416734478957E-2</v>
      </c>
      <c r="X28" s="49"/>
      <c r="Y28" s="15">
        <f>(T28*H28)/$H$190</f>
        <v>0.10410511703604422</v>
      </c>
    </row>
    <row r="29" spans="1:25" s="32" customFormat="1" x14ac:dyDescent="0.3">
      <c r="A29" s="32">
        <v>35</v>
      </c>
      <c r="B29" s="32">
        <v>3500</v>
      </c>
      <c r="C29" s="32">
        <v>1246</v>
      </c>
      <c r="D29" s="32" t="s">
        <v>33</v>
      </c>
      <c r="E29" s="32" t="s">
        <v>34</v>
      </c>
      <c r="F29" s="33">
        <v>24</v>
      </c>
      <c r="G29" s="33" t="s">
        <v>58</v>
      </c>
      <c r="H29" s="33">
        <v>2581</v>
      </c>
      <c r="I29" s="33">
        <v>1838.3964912280701</v>
      </c>
      <c r="J29" s="33">
        <v>742.60350877192968</v>
      </c>
      <c r="K29" s="33">
        <v>0</v>
      </c>
      <c r="L29" s="33">
        <v>0</v>
      </c>
      <c r="M29" s="33">
        <f t="shared" si="0"/>
        <v>2581</v>
      </c>
      <c r="N29" s="33">
        <v>32.97</v>
      </c>
      <c r="O29" s="33">
        <v>13.4</v>
      </c>
      <c r="P29" s="33">
        <v>7</v>
      </c>
      <c r="Q29" s="33">
        <v>9</v>
      </c>
      <c r="R29" s="33">
        <v>3.5</v>
      </c>
      <c r="S29" s="33">
        <v>7</v>
      </c>
      <c r="T29" s="34">
        <f>N29+O29+P29+Q29+R29+S29</f>
        <v>72.87</v>
      </c>
      <c r="U29" s="5"/>
      <c r="V29" s="16">
        <f>(((N29/45)*100)*H29)/$H$190</f>
        <v>1.1314756753306847</v>
      </c>
      <c r="W29" s="16">
        <f>(((O29/15)*100)*H29)/$H$190</f>
        <v>1.3795972747435099</v>
      </c>
      <c r="X29" s="50"/>
      <c r="Y29" s="15">
        <f>(T29*H29)/$H$190</f>
        <v>1.1253498516107414</v>
      </c>
    </row>
    <row r="30" spans="1:25" x14ac:dyDescent="0.3">
      <c r="A30" s="5">
        <v>35</v>
      </c>
      <c r="B30" s="5">
        <v>3500</v>
      </c>
      <c r="C30" s="5">
        <v>1247</v>
      </c>
      <c r="D30" s="5" t="s">
        <v>33</v>
      </c>
      <c r="E30" s="5" t="s">
        <v>34</v>
      </c>
      <c r="F30" s="13">
        <v>25</v>
      </c>
      <c r="G30" s="13" t="s">
        <v>59</v>
      </c>
      <c r="H30" s="13">
        <v>876</v>
      </c>
      <c r="I30" s="13">
        <v>47.033557046979865</v>
      </c>
      <c r="J30" s="13">
        <v>276.32214765100667</v>
      </c>
      <c r="K30" s="13">
        <v>476.21476510067112</v>
      </c>
      <c r="L30" s="13">
        <v>76.429530201342274</v>
      </c>
      <c r="M30" s="13">
        <f t="shared" si="0"/>
        <v>875.99999999999989</v>
      </c>
      <c r="N30" s="13">
        <v>26.13</v>
      </c>
      <c r="O30" s="13">
        <v>12.13</v>
      </c>
      <c r="P30" s="13">
        <v>3</v>
      </c>
      <c r="Q30" s="13">
        <v>6.5</v>
      </c>
      <c r="R30" s="13">
        <v>1.5</v>
      </c>
      <c r="S30" s="13">
        <v>3</v>
      </c>
      <c r="T30" s="14">
        <f>N30+O30+P30+Q30+R30+S30</f>
        <v>52.26</v>
      </c>
      <c r="V30" s="15">
        <f>(((N30/45)*100)*H30)/$H$190</f>
        <v>0.30435594275046668</v>
      </c>
      <c r="W30" s="15">
        <f>(((O30/15)*100)*H30)/$H$190</f>
        <v>0.42386195012206218</v>
      </c>
      <c r="X30" s="49"/>
      <c r="Y30" s="15">
        <f>(T30*H30)/$H$190</f>
        <v>0.27392034847542002</v>
      </c>
    </row>
    <row r="31" spans="1:25" x14ac:dyDescent="0.3">
      <c r="F31" s="13"/>
      <c r="G31" s="17" t="s">
        <v>60</v>
      </c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4"/>
      <c r="V31" s="15">
        <f>(((N31/45)*100)*H31)/$H$190</f>
        <v>0</v>
      </c>
      <c r="W31" s="15">
        <f>(((O31/15)*100)*H31)/$H$190</f>
        <v>0</v>
      </c>
      <c r="X31" s="42">
        <f>SUM(W32:W36)</f>
        <v>4.0708415106983873</v>
      </c>
      <c r="Y31" s="15">
        <f>(T31*H31)/$H$190</f>
        <v>0</v>
      </c>
    </row>
    <row r="32" spans="1:25" s="27" customFormat="1" x14ac:dyDescent="0.3">
      <c r="A32" s="27">
        <v>35</v>
      </c>
      <c r="B32" s="27">
        <v>3500</v>
      </c>
      <c r="C32" s="27">
        <v>1148</v>
      </c>
      <c r="D32" s="27" t="s">
        <v>33</v>
      </c>
      <c r="E32" s="27" t="s">
        <v>34</v>
      </c>
      <c r="F32" s="28">
        <v>26</v>
      </c>
      <c r="G32" s="28" t="s">
        <v>61</v>
      </c>
      <c r="H32" s="28">
        <v>1085</v>
      </c>
      <c r="I32" s="29">
        <v>808</v>
      </c>
      <c r="J32" s="28">
        <v>0</v>
      </c>
      <c r="K32" s="28">
        <v>2179.3200000000002</v>
      </c>
      <c r="L32" s="28">
        <v>3615</v>
      </c>
      <c r="M32" s="28">
        <f>SUM(I32:L32)</f>
        <v>6602.32</v>
      </c>
      <c r="N32" s="28">
        <v>30.19</v>
      </c>
      <c r="O32" s="28">
        <v>12.21</v>
      </c>
      <c r="P32" s="28">
        <v>4.2</v>
      </c>
      <c r="Q32" s="28">
        <v>8.18</v>
      </c>
      <c r="R32" s="28">
        <v>2.93</v>
      </c>
      <c r="S32" s="28">
        <v>4.84</v>
      </c>
      <c r="T32" s="29">
        <f>N32+O32+P32+Q32+R32+S32</f>
        <v>62.550000000000011</v>
      </c>
      <c r="U32" s="5"/>
      <c r="V32" s="30">
        <f>(((N32/45)*100)*H32)/$H$190</f>
        <v>0.43554308341178283</v>
      </c>
      <c r="W32" s="30">
        <f>(((O32/15)*100)*H32)/$H$190</f>
        <v>0.5284512469484467</v>
      </c>
      <c r="X32" s="43"/>
      <c r="Y32" s="30">
        <f>(T32*H32)/$H$190</f>
        <v>0.40607648030252269</v>
      </c>
    </row>
    <row r="33" spans="1:25" s="44" customFormat="1" x14ac:dyDescent="0.3">
      <c r="A33" s="44">
        <v>35</v>
      </c>
      <c r="B33" s="44">
        <v>3500</v>
      </c>
      <c r="C33" s="44">
        <v>1149</v>
      </c>
      <c r="D33" s="44" t="s">
        <v>33</v>
      </c>
      <c r="E33" s="44" t="s">
        <v>34</v>
      </c>
      <c r="F33" s="45">
        <v>27</v>
      </c>
      <c r="G33" s="45" t="s">
        <v>62</v>
      </c>
      <c r="H33" s="45">
        <v>1807</v>
      </c>
      <c r="I33" s="46">
        <v>277.21000000000004</v>
      </c>
      <c r="J33" s="45">
        <v>0</v>
      </c>
      <c r="K33" s="45">
        <v>605.23</v>
      </c>
      <c r="L33" s="45">
        <v>9034.68</v>
      </c>
      <c r="M33" s="45">
        <f>SUM(I33:L33)</f>
        <v>9917.1200000000008</v>
      </c>
      <c r="N33" s="45">
        <v>31.89</v>
      </c>
      <c r="O33" s="45">
        <v>12.34</v>
      </c>
      <c r="P33" s="45">
        <v>3.94</v>
      </c>
      <c r="Q33" s="45">
        <v>7.46</v>
      </c>
      <c r="R33" s="45">
        <v>2.78</v>
      </c>
      <c r="S33" s="45">
        <v>3.4</v>
      </c>
      <c r="T33" s="46">
        <f>N33+O33+P33+Q33+R33+S33</f>
        <v>61.81</v>
      </c>
      <c r="U33" s="5"/>
      <c r="V33" s="47">
        <f>(((N33/45)*100)*H33)/$H$190</f>
        <v>0.76621551545322542</v>
      </c>
      <c r="W33" s="47">
        <f>(((O33/15)*100)*H33)/$H$190</f>
        <v>0.88947313835303876</v>
      </c>
      <c r="X33" s="48"/>
      <c r="Y33" s="15">
        <f>(T33*H33)/$H$190</f>
        <v>0.6682941817050404</v>
      </c>
    </row>
    <row r="34" spans="1:25" x14ac:dyDescent="0.3">
      <c r="A34" s="5">
        <v>35</v>
      </c>
      <c r="B34" s="5">
        <v>3500</v>
      </c>
      <c r="C34" s="5">
        <v>1150</v>
      </c>
      <c r="D34" s="5" t="s">
        <v>33</v>
      </c>
      <c r="E34" s="5" t="s">
        <v>34</v>
      </c>
      <c r="F34" s="13">
        <v>28</v>
      </c>
      <c r="G34" s="13" t="s">
        <v>63</v>
      </c>
      <c r="H34" s="13">
        <v>1799</v>
      </c>
      <c r="I34" s="18">
        <v>0</v>
      </c>
      <c r="J34" s="13">
        <v>0</v>
      </c>
      <c r="K34" s="13">
        <v>201.09</v>
      </c>
      <c r="L34" s="13">
        <v>26821.149999999998</v>
      </c>
      <c r="M34" s="13">
        <f>SUM(I34:L34)</f>
        <v>27022.239999999998</v>
      </c>
      <c r="N34" s="13">
        <v>18.600000000000001</v>
      </c>
      <c r="O34" s="13">
        <v>11.91</v>
      </c>
      <c r="P34" s="13">
        <v>4.68</v>
      </c>
      <c r="Q34" s="13">
        <v>10.78</v>
      </c>
      <c r="R34" s="13">
        <v>3.65</v>
      </c>
      <c r="S34" s="13">
        <v>4.16</v>
      </c>
      <c r="T34" s="14">
        <f>N34+O34+P34+Q34+R34+S34</f>
        <v>53.78</v>
      </c>
      <c r="V34" s="15">
        <f>(((N34/45)*100)*H34)/$H$190</f>
        <v>0.4449204601662598</v>
      </c>
      <c r="W34" s="15">
        <f>(((O34/15)*100)*H34)/$H$190</f>
        <v>0.85467785170647648</v>
      </c>
      <c r="X34" s="49"/>
      <c r="Y34" s="15">
        <f>(T34*H34)/$H$190</f>
        <v>0.57889892776793839</v>
      </c>
    </row>
    <row r="35" spans="1:25" s="32" customFormat="1" x14ac:dyDescent="0.3">
      <c r="A35" s="32">
        <v>35</v>
      </c>
      <c r="B35" s="32">
        <v>3500</v>
      </c>
      <c r="C35" s="32">
        <v>1151</v>
      </c>
      <c r="D35" s="32" t="s">
        <v>33</v>
      </c>
      <c r="E35" s="32" t="s">
        <v>34</v>
      </c>
      <c r="F35" s="33">
        <v>29</v>
      </c>
      <c r="G35" s="33" t="s">
        <v>64</v>
      </c>
      <c r="H35" s="33">
        <v>2462</v>
      </c>
      <c r="I35" s="34">
        <v>39</v>
      </c>
      <c r="J35" s="33">
        <v>0</v>
      </c>
      <c r="K35" s="34">
        <v>12137</v>
      </c>
      <c r="L35" s="34">
        <v>1558</v>
      </c>
      <c r="M35" s="33">
        <f>SUM(I35:L35)</f>
        <v>13734</v>
      </c>
      <c r="N35" s="33">
        <v>33.450000000000003</v>
      </c>
      <c r="O35" s="33">
        <v>11.15</v>
      </c>
      <c r="P35" s="33">
        <v>6.5</v>
      </c>
      <c r="Q35" s="33">
        <v>11.2</v>
      </c>
      <c r="R35" s="33">
        <v>3.5</v>
      </c>
      <c r="S35" s="33">
        <v>7</v>
      </c>
      <c r="T35" s="34">
        <f>N35+O35+P35+Q35+R35+S35</f>
        <v>72.8</v>
      </c>
      <c r="U35" s="5"/>
      <c r="V35" s="16">
        <f>(((N35/45)*100)*H35)/$H$190</f>
        <v>1.09502098192204</v>
      </c>
      <c r="W35" s="16">
        <f>(((O35/15)*100)*H35)/$H$190</f>
        <v>1.09502098192204</v>
      </c>
      <c r="X35" s="50"/>
      <c r="Y35" s="15">
        <f>(T35*H35)/$H$190</f>
        <v>1.0724331051649036</v>
      </c>
    </row>
    <row r="36" spans="1:25" s="44" customFormat="1" x14ac:dyDescent="0.3">
      <c r="A36" s="44">
        <v>35</v>
      </c>
      <c r="B36" s="44">
        <v>3500</v>
      </c>
      <c r="C36" s="44">
        <v>1152</v>
      </c>
      <c r="D36" s="44" t="s">
        <v>33</v>
      </c>
      <c r="E36" s="44" t="s">
        <v>34</v>
      </c>
      <c r="F36" s="45">
        <v>30</v>
      </c>
      <c r="G36" s="45" t="s">
        <v>65</v>
      </c>
      <c r="H36" s="45">
        <v>1424</v>
      </c>
      <c r="I36" s="45">
        <v>100</v>
      </c>
      <c r="J36" s="45">
        <v>0</v>
      </c>
      <c r="K36" s="45">
        <v>486.18</v>
      </c>
      <c r="L36" s="46">
        <v>14091.01</v>
      </c>
      <c r="M36" s="45">
        <f>SUM(I36:L36)</f>
        <v>14677.19</v>
      </c>
      <c r="N36" s="45">
        <v>32</v>
      </c>
      <c r="O36" s="45">
        <v>12.38</v>
      </c>
      <c r="P36" s="45">
        <v>4.4000000000000004</v>
      </c>
      <c r="Q36" s="45">
        <v>7.46</v>
      </c>
      <c r="R36" s="45">
        <v>3.73</v>
      </c>
      <c r="S36" s="45">
        <v>5.8</v>
      </c>
      <c r="T36" s="46">
        <f>N36+O36+P36+Q36+R36+S36</f>
        <v>65.77</v>
      </c>
      <c r="U36" s="5"/>
      <c r="V36" s="47">
        <f>(((N36/45)*100)*H36)/$H$190</f>
        <v>0.60589621261681004</v>
      </c>
      <c r="W36" s="47">
        <f>(((O36/15)*100)*H36)/$H$190</f>
        <v>0.70321829176838502</v>
      </c>
      <c r="X36" s="48"/>
      <c r="Y36" s="15">
        <f>(T36*H36)/$H$190</f>
        <v>0.56038772677229431</v>
      </c>
    </row>
    <row r="37" spans="1:25" x14ac:dyDescent="0.3">
      <c r="F37" s="13"/>
      <c r="G37" s="17" t="s">
        <v>66</v>
      </c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4"/>
      <c r="V37" s="15"/>
      <c r="W37" s="15"/>
      <c r="X37" s="42">
        <f>SUM(W38:W101)</f>
        <v>16.602470760933734</v>
      </c>
      <c r="Y37" s="15">
        <f>(T37*H37)/$H$190</f>
        <v>0</v>
      </c>
    </row>
    <row r="38" spans="1:25" x14ac:dyDescent="0.3">
      <c r="A38" s="5">
        <v>35</v>
      </c>
      <c r="B38" s="5">
        <v>3500</v>
      </c>
      <c r="C38" s="5">
        <v>122203</v>
      </c>
      <c r="D38" s="5" t="s">
        <v>33</v>
      </c>
      <c r="E38" s="5" t="s">
        <v>34</v>
      </c>
      <c r="F38" s="13">
        <v>31</v>
      </c>
      <c r="G38" s="13" t="s">
        <v>67</v>
      </c>
      <c r="H38" s="13">
        <v>148</v>
      </c>
      <c r="I38" s="13">
        <v>3.0204081632653059</v>
      </c>
      <c r="J38" s="13">
        <v>144.9795918367347</v>
      </c>
      <c r="K38" s="13">
        <v>0</v>
      </c>
      <c r="L38" s="13">
        <v>0</v>
      </c>
      <c r="M38" s="13">
        <f t="shared" ref="M38:M101" si="1">SUM(I38:L38)</f>
        <v>148</v>
      </c>
      <c r="N38" s="13">
        <v>29.82</v>
      </c>
      <c r="O38" s="13">
        <v>13.38</v>
      </c>
      <c r="P38" s="13">
        <v>6</v>
      </c>
      <c r="Q38" s="13">
        <v>6.5</v>
      </c>
      <c r="R38" s="13">
        <v>3.1</v>
      </c>
      <c r="S38" s="13">
        <v>3.4</v>
      </c>
      <c r="T38" s="14">
        <f>N38+O38+P38+Q38+R38+S38</f>
        <v>62.2</v>
      </c>
      <c r="V38" s="15">
        <f>(((N38/45)*100)*H38)/$H$190</f>
        <v>5.8682367207569454E-2</v>
      </c>
      <c r="W38" s="15">
        <f>(((O38/15)*100)*H38)/$H$190</f>
        <v>7.8990953041979797E-2</v>
      </c>
      <c r="X38" s="49"/>
      <c r="Y38" s="15">
        <f>(T38*H38)/$H$190</f>
        <v>5.5081135417165292E-2</v>
      </c>
    </row>
    <row r="39" spans="1:25" x14ac:dyDescent="0.3">
      <c r="A39" s="5">
        <v>35</v>
      </c>
      <c r="B39" s="5">
        <v>3500</v>
      </c>
      <c r="C39" s="5">
        <v>1153</v>
      </c>
      <c r="D39" s="5" t="s">
        <v>33</v>
      </c>
      <c r="E39" s="5" t="s">
        <v>34</v>
      </c>
      <c r="F39" s="13">
        <v>32</v>
      </c>
      <c r="G39" s="13" t="s">
        <v>68</v>
      </c>
      <c r="H39" s="13">
        <v>156</v>
      </c>
      <c r="I39" s="13">
        <v>7.3125</v>
      </c>
      <c r="J39" s="13">
        <v>129.1875</v>
      </c>
      <c r="K39" s="13">
        <v>19.5</v>
      </c>
      <c r="L39" s="13">
        <v>0</v>
      </c>
      <c r="M39" s="13">
        <f t="shared" si="1"/>
        <v>156</v>
      </c>
      <c r="N39" s="13">
        <v>29.92</v>
      </c>
      <c r="O39" s="13">
        <v>13.36</v>
      </c>
      <c r="P39" s="13">
        <v>6</v>
      </c>
      <c r="Q39" s="13">
        <v>6.5</v>
      </c>
      <c r="R39" s="13">
        <v>3.1</v>
      </c>
      <c r="S39" s="13">
        <v>3</v>
      </c>
      <c r="T39" s="14">
        <f>N39+O39+P39+Q39+R39+S39</f>
        <v>61.88</v>
      </c>
      <c r="V39" s="15">
        <f>(((N39/45)*100)*H39)/$H$190</f>
        <v>6.2061812901887586E-2</v>
      </c>
      <c r="W39" s="15">
        <f>(((O39/15)*100)*H39)/$H$190</f>
        <v>8.3136278780336026E-2</v>
      </c>
      <c r="X39" s="49"/>
      <c r="Y39" s="15">
        <f>(T39*H39)/$H$190</f>
        <v>5.7759800871188552E-2</v>
      </c>
    </row>
    <row r="40" spans="1:25" s="27" customFormat="1" x14ac:dyDescent="0.3">
      <c r="A40" s="27">
        <v>35</v>
      </c>
      <c r="B40" s="27">
        <v>3500</v>
      </c>
      <c r="C40" s="27">
        <v>1154</v>
      </c>
      <c r="D40" s="27" t="s">
        <v>33</v>
      </c>
      <c r="E40" s="27" t="s">
        <v>34</v>
      </c>
      <c r="F40" s="28">
        <v>33</v>
      </c>
      <c r="G40" s="28" t="s">
        <v>69</v>
      </c>
      <c r="H40" s="28">
        <v>1212</v>
      </c>
      <c r="I40" s="28">
        <v>94.892008639308855</v>
      </c>
      <c r="J40" s="28">
        <v>1063.1177105831534</v>
      </c>
      <c r="K40" s="28">
        <v>52.354211663066948</v>
      </c>
      <c r="L40" s="28">
        <v>1.6360691144708421</v>
      </c>
      <c r="M40" s="28">
        <f t="shared" si="1"/>
        <v>1212</v>
      </c>
      <c r="N40" s="28">
        <v>32.25</v>
      </c>
      <c r="O40" s="28">
        <v>13.4</v>
      </c>
      <c r="P40" s="28">
        <v>6</v>
      </c>
      <c r="Q40" s="28">
        <v>6.5</v>
      </c>
      <c r="R40" s="28">
        <v>2.9</v>
      </c>
      <c r="S40" s="28">
        <v>3.99</v>
      </c>
      <c r="T40" s="29">
        <f>N40+O40+P40+Q40+R40+S40</f>
        <v>65.039999999999992</v>
      </c>
      <c r="U40" s="5"/>
      <c r="V40" s="30">
        <f>(((N40/45)*100)*H40)/$H$190</f>
        <v>0.51972141113398118</v>
      </c>
      <c r="W40" s="30">
        <f>(((O40/15)*100)*H40)/$H$190</f>
        <v>0.64783878225072999</v>
      </c>
      <c r="X40" s="43"/>
      <c r="Y40" s="30">
        <f>(T40*H40)/$H$190</f>
        <v>0.47166531042075532</v>
      </c>
    </row>
    <row r="41" spans="1:25" x14ac:dyDescent="0.3">
      <c r="A41" s="5">
        <v>35</v>
      </c>
      <c r="B41" s="5">
        <v>3500</v>
      </c>
      <c r="C41" s="5">
        <v>1155</v>
      </c>
      <c r="D41" s="5" t="s">
        <v>33</v>
      </c>
      <c r="E41" s="5" t="s">
        <v>34</v>
      </c>
      <c r="F41" s="13">
        <v>34</v>
      </c>
      <c r="G41" s="13" t="s">
        <v>70</v>
      </c>
      <c r="H41" s="13">
        <v>20</v>
      </c>
      <c r="I41" s="13">
        <v>0</v>
      </c>
      <c r="J41" s="13">
        <v>17.058823529411764</v>
      </c>
      <c r="K41" s="13">
        <v>1.7647058823529413</v>
      </c>
      <c r="L41" s="13">
        <v>1.1764705882352942</v>
      </c>
      <c r="M41" s="13">
        <f t="shared" si="1"/>
        <v>20</v>
      </c>
      <c r="N41" s="13">
        <v>28.65</v>
      </c>
      <c r="O41" s="13">
        <v>13.53</v>
      </c>
      <c r="P41" s="13">
        <v>6</v>
      </c>
      <c r="Q41" s="13">
        <v>6.5</v>
      </c>
      <c r="R41" s="13">
        <v>3.1</v>
      </c>
      <c r="S41" s="13">
        <v>3</v>
      </c>
      <c r="T41" s="14">
        <f>N41+O41+P41+Q41+R41+S41</f>
        <v>60.78</v>
      </c>
      <c r="V41" s="15">
        <f>(((N41/45)*100)*H41)/$H$190</f>
        <v>7.6189108547540388E-3</v>
      </c>
      <c r="W41" s="15">
        <f>(((O41/15)*100)*H41)/$H$190</f>
        <v>1.0794121870662006E-2</v>
      </c>
      <c r="X41" s="49"/>
      <c r="Y41" s="15">
        <f>(T41*H41)/$H$190</f>
        <v>7.2734670432243543E-3</v>
      </c>
    </row>
    <row r="42" spans="1:25" x14ac:dyDescent="0.3">
      <c r="A42" s="5">
        <v>35</v>
      </c>
      <c r="B42" s="5">
        <v>3500</v>
      </c>
      <c r="C42" s="5">
        <v>1156</v>
      </c>
      <c r="D42" s="5" t="s">
        <v>33</v>
      </c>
      <c r="E42" s="5" t="s">
        <v>34</v>
      </c>
      <c r="F42" s="13">
        <v>35</v>
      </c>
      <c r="G42" s="13" t="s">
        <v>71</v>
      </c>
      <c r="H42" s="13">
        <v>527</v>
      </c>
      <c r="I42" s="13">
        <v>0</v>
      </c>
      <c r="J42" s="13">
        <v>11.842696629213483</v>
      </c>
      <c r="K42" s="13">
        <v>263.5</v>
      </c>
      <c r="L42" s="13">
        <v>251.65730337078651</v>
      </c>
      <c r="M42" s="13">
        <f t="shared" si="1"/>
        <v>527</v>
      </c>
      <c r="N42" s="13">
        <v>19.29</v>
      </c>
      <c r="O42" s="13">
        <v>12.71</v>
      </c>
      <c r="P42" s="13">
        <v>4.5999999999999996</v>
      </c>
      <c r="Q42" s="13">
        <v>10.28</v>
      </c>
      <c r="R42" s="13">
        <v>2.98</v>
      </c>
      <c r="S42" s="13">
        <v>4.2</v>
      </c>
      <c r="T42" s="14">
        <f>N42+O42+P42+Q42+R42+S42</f>
        <v>54.06</v>
      </c>
      <c r="V42" s="15">
        <f>(((N42/45)*100)*H42)/$H$190</f>
        <v>0.13517024875145597</v>
      </c>
      <c r="W42" s="15">
        <f>(((O42/15)*100)*H42)/$H$190</f>
        <v>0.26718722575909881</v>
      </c>
      <c r="X42" s="49"/>
      <c r="Y42" s="15">
        <f>(T42*H42)/$H$190</f>
        <v>0.17046587047053757</v>
      </c>
    </row>
    <row r="43" spans="1:25" x14ac:dyDescent="0.3">
      <c r="A43" s="5">
        <v>35</v>
      </c>
      <c r="B43" s="5">
        <v>3500</v>
      </c>
      <c r="C43" s="5">
        <v>1157</v>
      </c>
      <c r="D43" s="5" t="s">
        <v>33</v>
      </c>
      <c r="E43" s="5" t="s">
        <v>34</v>
      </c>
      <c r="F43" s="13">
        <v>36</v>
      </c>
      <c r="G43" s="13" t="s">
        <v>72</v>
      </c>
      <c r="H43" s="13">
        <v>457</v>
      </c>
      <c r="I43" s="13">
        <v>6.6231884057971016</v>
      </c>
      <c r="J43" s="13">
        <v>326.74396135265698</v>
      </c>
      <c r="K43" s="13">
        <v>119.21739130434783</v>
      </c>
      <c r="L43" s="13">
        <v>4.4154589371980677</v>
      </c>
      <c r="M43" s="13">
        <f t="shared" si="1"/>
        <v>457</v>
      </c>
      <c r="N43" s="13">
        <v>23.97</v>
      </c>
      <c r="O43" s="13">
        <v>13.65</v>
      </c>
      <c r="P43" s="13">
        <v>3.9</v>
      </c>
      <c r="Q43" s="13">
        <v>8.26</v>
      </c>
      <c r="R43" s="13">
        <v>3.1</v>
      </c>
      <c r="S43" s="13">
        <v>6.3</v>
      </c>
      <c r="T43" s="14">
        <f>N43+O43+P43+Q43+R43+S43</f>
        <v>59.179999999999993</v>
      </c>
      <c r="V43" s="15">
        <f>(((N43/45)*100)*H43)/$H$190</f>
        <v>0.14565402964594001</v>
      </c>
      <c r="W43" s="15">
        <f>(((O43/15)*100)*H43)/$H$190</f>
        <v>0.24883322962041071</v>
      </c>
      <c r="X43" s="49"/>
      <c r="Y43" s="15">
        <f>(T43*H43)/$H$190</f>
        <v>0.16182363218610885</v>
      </c>
    </row>
    <row r="44" spans="1:25" x14ac:dyDescent="0.3">
      <c r="A44" s="5">
        <v>35</v>
      </c>
      <c r="B44" s="5">
        <v>3500</v>
      </c>
      <c r="C44" s="5">
        <v>1158</v>
      </c>
      <c r="D44" s="5" t="s">
        <v>33</v>
      </c>
      <c r="E44" s="5" t="s">
        <v>34</v>
      </c>
      <c r="F44" s="13">
        <v>37</v>
      </c>
      <c r="G44" s="13" t="s">
        <v>73</v>
      </c>
      <c r="H44" s="13">
        <v>107</v>
      </c>
      <c r="I44" s="13">
        <v>0</v>
      </c>
      <c r="J44" s="13">
        <v>104.4724409448819</v>
      </c>
      <c r="K44" s="13">
        <v>2.5275590551181102</v>
      </c>
      <c r="L44" s="13">
        <v>0</v>
      </c>
      <c r="M44" s="13">
        <f t="shared" si="1"/>
        <v>107</v>
      </c>
      <c r="N44" s="13">
        <v>29.45</v>
      </c>
      <c r="O44" s="13">
        <v>13.38</v>
      </c>
      <c r="P44" s="13">
        <v>6</v>
      </c>
      <c r="Q44" s="13">
        <v>6.5</v>
      </c>
      <c r="R44" s="13">
        <v>3.1</v>
      </c>
      <c r="S44" s="13">
        <v>3</v>
      </c>
      <c r="T44" s="14">
        <f>N44+O44+P44+Q44+R44+S44</f>
        <v>61.43</v>
      </c>
      <c r="V44" s="15">
        <f>(((N44/45)*100)*H44)/$H$190</f>
        <v>4.1899355916157413E-2</v>
      </c>
      <c r="W44" s="15">
        <f>(((O44/15)*100)*H44)/$H$190</f>
        <v>5.7108324158728636E-2</v>
      </c>
      <c r="X44" s="49"/>
      <c r="Y44" s="15">
        <f>(T44*H44)/$H$190</f>
        <v>3.9329196783303814E-2</v>
      </c>
    </row>
    <row r="45" spans="1:25" x14ac:dyDescent="0.3">
      <c r="A45" s="5">
        <v>35</v>
      </c>
      <c r="B45" s="5">
        <v>3500</v>
      </c>
      <c r="C45" s="5">
        <v>1159</v>
      </c>
      <c r="D45" s="5" t="s">
        <v>33</v>
      </c>
      <c r="E45" s="5" t="s">
        <v>34</v>
      </c>
      <c r="F45" s="13">
        <v>38</v>
      </c>
      <c r="G45" s="13" t="s">
        <v>74</v>
      </c>
      <c r="H45" s="13">
        <v>39</v>
      </c>
      <c r="I45" s="13">
        <v>1.6956521739130435</v>
      </c>
      <c r="J45" s="13">
        <v>30.521739130434785</v>
      </c>
      <c r="K45" s="13">
        <v>6.7826086956521738</v>
      </c>
      <c r="L45" s="13">
        <v>0</v>
      </c>
      <c r="M45" s="13">
        <f t="shared" si="1"/>
        <v>39</v>
      </c>
      <c r="N45" s="13">
        <v>28.57</v>
      </c>
      <c r="O45" s="13">
        <v>14.35</v>
      </c>
      <c r="P45" s="13">
        <v>4.5999999999999996</v>
      </c>
      <c r="Q45" s="13">
        <v>7.7</v>
      </c>
      <c r="R45" s="13">
        <v>3.1</v>
      </c>
      <c r="S45" s="13">
        <v>3</v>
      </c>
      <c r="T45" s="14">
        <f>N45+O45+P45+Q45+R45+S45</f>
        <v>61.320000000000007</v>
      </c>
      <c r="V45" s="15">
        <f>(((N45/45)*100)*H45)/$H$190</f>
        <v>1.4815390997718319E-2</v>
      </c>
      <c r="W45" s="15">
        <f>(((O45/15)*100)*H45)/$H$190</f>
        <v>2.2324206596141878E-2</v>
      </c>
      <c r="X45" s="49"/>
      <c r="Y45" s="15">
        <f>(T45*H45)/$H$190</f>
        <v>1.4309271935283139E-2</v>
      </c>
    </row>
    <row r="46" spans="1:25" x14ac:dyDescent="0.3">
      <c r="A46" s="5">
        <v>35</v>
      </c>
      <c r="B46" s="5">
        <v>3500</v>
      </c>
      <c r="C46" s="5">
        <v>1160</v>
      </c>
      <c r="D46" s="5" t="s">
        <v>33</v>
      </c>
      <c r="E46" s="5" t="s">
        <v>34</v>
      </c>
      <c r="F46" s="13">
        <v>39</v>
      </c>
      <c r="G46" s="13" t="s">
        <v>75</v>
      </c>
      <c r="H46" s="13">
        <v>282</v>
      </c>
      <c r="I46" s="13">
        <v>0</v>
      </c>
      <c r="J46" s="13">
        <v>265.24752475247521</v>
      </c>
      <c r="K46" s="13">
        <v>13.96039603960396</v>
      </c>
      <c r="L46" s="13">
        <v>2.7920792079207919</v>
      </c>
      <c r="M46" s="13">
        <f t="shared" si="1"/>
        <v>281.99999999999994</v>
      </c>
      <c r="N46" s="13">
        <v>28.48</v>
      </c>
      <c r="O46" s="13">
        <v>13.54</v>
      </c>
      <c r="P46" s="13">
        <v>3.8</v>
      </c>
      <c r="Q46" s="13">
        <v>9.6999999999999993</v>
      </c>
      <c r="R46" s="13">
        <v>2.9</v>
      </c>
      <c r="S46" s="13">
        <v>3</v>
      </c>
      <c r="T46" s="14">
        <f>N46+O46+P46+Q46+R46+S46</f>
        <v>61.419999999999995</v>
      </c>
      <c r="V46" s="15">
        <f>(((N46/45)*100)*H46)/$H$190</f>
        <v>0.10678920747371276</v>
      </c>
      <c r="W46" s="15">
        <f>(((O46/15)*100)*H46)/$H$190</f>
        <v>0.15230960700780241</v>
      </c>
      <c r="X46" s="49"/>
      <c r="Y46" s="15">
        <f>(T46*H46)/$H$190</f>
        <v>0.10363577617155713</v>
      </c>
    </row>
    <row r="47" spans="1:25" x14ac:dyDescent="0.3">
      <c r="A47" s="5">
        <v>35</v>
      </c>
      <c r="B47" s="5">
        <v>3500</v>
      </c>
      <c r="C47" s="5">
        <v>1161</v>
      </c>
      <c r="D47" s="5" t="s">
        <v>33</v>
      </c>
      <c r="E47" s="5" t="s">
        <v>34</v>
      </c>
      <c r="F47" s="13">
        <v>40</v>
      </c>
      <c r="G47" s="13" t="s">
        <v>76</v>
      </c>
      <c r="H47" s="13">
        <v>726</v>
      </c>
      <c r="I47" s="13">
        <v>12.870538838348496</v>
      </c>
      <c r="J47" s="13">
        <v>532.2645206438068</v>
      </c>
      <c r="K47" s="13">
        <v>163.9300209937019</v>
      </c>
      <c r="L47" s="13">
        <v>16.934919524142757</v>
      </c>
      <c r="M47" s="13">
        <f t="shared" si="1"/>
        <v>725.99999999999989</v>
      </c>
      <c r="N47" s="13">
        <v>31.96</v>
      </c>
      <c r="O47" s="13">
        <v>13.27</v>
      </c>
      <c r="P47" s="13">
        <v>5.9</v>
      </c>
      <c r="Q47" s="13">
        <v>6.5</v>
      </c>
      <c r="R47" s="13">
        <v>3.1</v>
      </c>
      <c r="S47" s="13">
        <v>3</v>
      </c>
      <c r="T47" s="14">
        <f>N47+O47+P47+Q47+R47+S47</f>
        <v>63.730000000000004</v>
      </c>
      <c r="V47" s="15">
        <f>(((N47/45)*100)*H47)/$H$190</f>
        <v>0.30851881990649882</v>
      </c>
      <c r="W47" s="15">
        <f>(((O47/15)*100)*H47)/$H$190</f>
        <v>0.38429706572208122</v>
      </c>
      <c r="X47" s="49"/>
      <c r="Y47" s="15">
        <f>(T47*H47)/$H$190</f>
        <v>0.27684158249964103</v>
      </c>
    </row>
    <row r="48" spans="1:25" x14ac:dyDescent="0.3">
      <c r="A48" s="5">
        <v>35</v>
      </c>
      <c r="B48" s="5">
        <v>3500</v>
      </c>
      <c r="C48" s="5">
        <v>1162</v>
      </c>
      <c r="D48" s="5" t="s">
        <v>33</v>
      </c>
      <c r="E48" s="5" t="s">
        <v>34</v>
      </c>
      <c r="F48" s="13">
        <v>41</v>
      </c>
      <c r="G48" s="13" t="s">
        <v>77</v>
      </c>
      <c r="H48" s="13">
        <v>63</v>
      </c>
      <c r="I48" s="13">
        <v>0</v>
      </c>
      <c r="J48" s="13">
        <v>52.919999999999995</v>
      </c>
      <c r="K48" s="13">
        <v>7.56</v>
      </c>
      <c r="L48" s="13">
        <v>2.52</v>
      </c>
      <c r="M48" s="13">
        <f t="shared" si="1"/>
        <v>63</v>
      </c>
      <c r="N48" s="13">
        <v>27.57</v>
      </c>
      <c r="O48" s="13">
        <v>13.46</v>
      </c>
      <c r="P48" s="13">
        <v>6</v>
      </c>
      <c r="Q48" s="13">
        <v>6.5</v>
      </c>
      <c r="R48" s="13">
        <v>3.1</v>
      </c>
      <c r="S48" s="13">
        <v>3</v>
      </c>
      <c r="T48" s="14">
        <f>N48+O48+P48+Q48+R48+S48</f>
        <v>59.63</v>
      </c>
      <c r="V48" s="15">
        <f>(((N48/45)*100)*H48)/$H$190</f>
        <v>2.3094873390455219E-2</v>
      </c>
      <c r="W48" s="15">
        <f>(((O48/15)*100)*H48)/$H$190</f>
        <v>3.3825570819970327E-2</v>
      </c>
      <c r="X48" s="49"/>
      <c r="Y48" s="15">
        <f>(T48*H48)/$H$190</f>
        <v>2.2477921114355464E-2</v>
      </c>
    </row>
    <row r="49" spans="1:25" x14ac:dyDescent="0.3">
      <c r="A49" s="5">
        <v>35</v>
      </c>
      <c r="B49" s="5">
        <v>3500</v>
      </c>
      <c r="C49" s="5">
        <v>1163</v>
      </c>
      <c r="D49" s="5" t="s">
        <v>33</v>
      </c>
      <c r="E49" s="5" t="s">
        <v>34</v>
      </c>
      <c r="F49" s="13">
        <v>42</v>
      </c>
      <c r="G49" s="13" t="s">
        <v>78</v>
      </c>
      <c r="H49" s="13">
        <v>70</v>
      </c>
      <c r="I49" s="13">
        <v>1.2962962962962963</v>
      </c>
      <c r="J49" s="13">
        <v>53.148148148148152</v>
      </c>
      <c r="K49" s="13">
        <v>15.555555555555555</v>
      </c>
      <c r="L49" s="13">
        <v>0</v>
      </c>
      <c r="M49" s="13">
        <f t="shared" si="1"/>
        <v>70</v>
      </c>
      <c r="N49" s="13">
        <v>28.39</v>
      </c>
      <c r="O49" s="13">
        <v>15</v>
      </c>
      <c r="P49" s="13">
        <v>5</v>
      </c>
      <c r="Q49" s="13">
        <v>7.14</v>
      </c>
      <c r="R49" s="13">
        <v>3.1</v>
      </c>
      <c r="S49" s="13">
        <v>3</v>
      </c>
      <c r="T49" s="14">
        <f>N49+O49+P49+Q49+R49+S49</f>
        <v>61.63</v>
      </c>
      <c r="V49" s="15">
        <f>(((N49/45)*100)*H49)/$H$190</f>
        <v>2.6424191172168772E-2</v>
      </c>
      <c r="W49" s="15">
        <f>(((O49/15)*100)*H49)/$H$190</f>
        <v>4.1884064908333733E-2</v>
      </c>
      <c r="X49" s="49"/>
      <c r="Y49" s="15">
        <f>(T49*H49)/$H$190</f>
        <v>2.5813149203006081E-2</v>
      </c>
    </row>
    <row r="50" spans="1:25" x14ac:dyDescent="0.3">
      <c r="A50" s="5">
        <v>35</v>
      </c>
      <c r="B50" s="5">
        <v>3500</v>
      </c>
      <c r="C50" s="5">
        <v>1164</v>
      </c>
      <c r="D50" s="5" t="s">
        <v>33</v>
      </c>
      <c r="E50" s="5" t="s">
        <v>34</v>
      </c>
      <c r="F50" s="13">
        <v>43</v>
      </c>
      <c r="G50" s="13" t="s">
        <v>79</v>
      </c>
      <c r="H50" s="13">
        <v>53</v>
      </c>
      <c r="I50" s="13">
        <v>0</v>
      </c>
      <c r="J50" s="13">
        <v>10.600000000000001</v>
      </c>
      <c r="K50" s="13">
        <v>31.799999999999997</v>
      </c>
      <c r="L50" s="13">
        <v>10.600000000000001</v>
      </c>
      <c r="M50" s="13">
        <f t="shared" si="1"/>
        <v>53</v>
      </c>
      <c r="N50" s="13">
        <v>22.16</v>
      </c>
      <c r="O50" s="13">
        <v>14.81</v>
      </c>
      <c r="P50" s="13">
        <v>6.2</v>
      </c>
      <c r="Q50" s="13">
        <v>9.8800000000000008</v>
      </c>
      <c r="R50" s="13">
        <v>2.7</v>
      </c>
      <c r="S50" s="13">
        <v>4.16</v>
      </c>
      <c r="T50" s="14">
        <f>N50+O50+P50+Q50+R50+S50</f>
        <v>59.910000000000011</v>
      </c>
      <c r="V50" s="15">
        <f>(((N50/45)*100)*H50)/$H$190</f>
        <v>1.5616506842393589E-2</v>
      </c>
      <c r="W50" s="15">
        <f>(((O50/15)*100)*H50)/$H$190</f>
        <v>3.1310532446188949E-2</v>
      </c>
      <c r="X50" s="49"/>
      <c r="Y50" s="15">
        <f>(T50*H50)/$H$190</f>
        <v>1.8998791345555505E-2</v>
      </c>
    </row>
    <row r="51" spans="1:25" x14ac:dyDescent="0.3">
      <c r="A51" s="5">
        <v>35</v>
      </c>
      <c r="B51" s="5">
        <v>3500</v>
      </c>
      <c r="C51" s="5">
        <v>1165</v>
      </c>
      <c r="D51" s="5" t="s">
        <v>33</v>
      </c>
      <c r="E51" s="5" t="s">
        <v>34</v>
      </c>
      <c r="F51" s="13">
        <v>44</v>
      </c>
      <c r="G51" s="13" t="s">
        <v>80</v>
      </c>
      <c r="H51" s="13">
        <v>193</v>
      </c>
      <c r="I51" s="13">
        <v>0</v>
      </c>
      <c r="J51" s="13">
        <v>113.13793103448275</v>
      </c>
      <c r="K51" s="13">
        <v>66.551724137931032</v>
      </c>
      <c r="L51" s="13">
        <v>13.310344827586206</v>
      </c>
      <c r="M51" s="13">
        <f t="shared" si="1"/>
        <v>193</v>
      </c>
      <c r="N51" s="13">
        <v>27.55</v>
      </c>
      <c r="O51" s="13">
        <v>11.04</v>
      </c>
      <c r="P51" s="13">
        <v>6.95</v>
      </c>
      <c r="Q51" s="13">
        <v>7.86</v>
      </c>
      <c r="R51" s="13">
        <v>3.45</v>
      </c>
      <c r="S51" s="13">
        <v>0</v>
      </c>
      <c r="T51" s="14">
        <f>N51+O51+P51+Q51+R51+S51</f>
        <v>56.850000000000009</v>
      </c>
      <c r="V51" s="15">
        <f>(((N51/45)*100)*H51)/$H$190</f>
        <v>7.0699636738840221E-2</v>
      </c>
      <c r="W51" s="15">
        <f>(((O51/15)*100)*H51)/$H$190</f>
        <v>8.499353788712842E-2</v>
      </c>
      <c r="X51" s="49"/>
      <c r="Y51" s="15">
        <f>(T51*H51)/$H$190</f>
        <v>6.5650579196783312E-2</v>
      </c>
    </row>
    <row r="52" spans="1:25" x14ac:dyDescent="0.3">
      <c r="A52" s="5">
        <v>35</v>
      </c>
      <c r="B52" s="5">
        <v>3500</v>
      </c>
      <c r="C52" s="5">
        <v>1166</v>
      </c>
      <c r="D52" s="5" t="s">
        <v>33</v>
      </c>
      <c r="E52" s="5" t="s">
        <v>34</v>
      </c>
      <c r="F52" s="13">
        <v>45</v>
      </c>
      <c r="G52" s="13" t="s">
        <v>81</v>
      </c>
      <c r="H52" s="13">
        <v>455</v>
      </c>
      <c r="I52" s="13">
        <v>0</v>
      </c>
      <c r="J52" s="13">
        <v>238.33333333333334</v>
      </c>
      <c r="K52" s="13">
        <v>162.5</v>
      </c>
      <c r="L52" s="13">
        <v>54.166666666666664</v>
      </c>
      <c r="M52" s="13">
        <f t="shared" si="1"/>
        <v>455.00000000000006</v>
      </c>
      <c r="N52" s="13">
        <v>27.88</v>
      </c>
      <c r="O52" s="13">
        <v>11.42</v>
      </c>
      <c r="P52" s="13">
        <v>4.24</v>
      </c>
      <c r="Q52" s="13">
        <v>6.1</v>
      </c>
      <c r="R52" s="13">
        <v>3.5</v>
      </c>
      <c r="S52" s="13">
        <v>0</v>
      </c>
      <c r="T52" s="14">
        <f>N52+O52+P52+Q52+R52+S52</f>
        <v>53.14</v>
      </c>
      <c r="V52" s="15">
        <f>(((N52/45)*100)*H52)/$H$190</f>
        <v>0.16867178317084974</v>
      </c>
      <c r="W52" s="15">
        <f>(((O52/15)*100)*H52)/$H$190</f>
        <v>0.20727027587637417</v>
      </c>
      <c r="X52" s="49"/>
      <c r="Y52" s="15">
        <f>(T52*H52)/$H$190</f>
        <v>0.14467174859987555</v>
      </c>
    </row>
    <row r="53" spans="1:25" x14ac:dyDescent="0.3">
      <c r="A53" s="5">
        <v>35</v>
      </c>
      <c r="B53" s="5">
        <v>3500</v>
      </c>
      <c r="C53" s="5">
        <v>1167</v>
      </c>
      <c r="D53" s="5" t="s">
        <v>33</v>
      </c>
      <c r="E53" s="5" t="s">
        <v>34</v>
      </c>
      <c r="F53" s="13">
        <v>46</v>
      </c>
      <c r="G53" s="13" t="s">
        <v>82</v>
      </c>
      <c r="H53" s="13">
        <v>16</v>
      </c>
      <c r="I53" s="13">
        <v>0</v>
      </c>
      <c r="J53" s="13">
        <v>8.2962962962962958</v>
      </c>
      <c r="K53" s="13">
        <v>7.7037037037037033</v>
      </c>
      <c r="L53" s="13">
        <v>0</v>
      </c>
      <c r="M53" s="13">
        <f t="shared" si="1"/>
        <v>16</v>
      </c>
      <c r="N53" s="13">
        <v>27.18</v>
      </c>
      <c r="O53" s="13">
        <v>13.4</v>
      </c>
      <c r="P53" s="13">
        <v>6</v>
      </c>
      <c r="Q53" s="13">
        <v>6.9</v>
      </c>
      <c r="R53" s="13">
        <v>3.1</v>
      </c>
      <c r="S53" s="13">
        <v>3</v>
      </c>
      <c r="T53" s="14">
        <f>N53+O53+P53+Q53+R53+S53</f>
        <v>59.58</v>
      </c>
      <c r="V53" s="15">
        <f>(((N53/45)*100)*H53)/$H$190</f>
        <v>5.7823943324876743E-3</v>
      </c>
      <c r="W53" s="15">
        <f>(((O53/15)*100)*H53)/$H$190</f>
        <v>8.5523271584254778E-3</v>
      </c>
      <c r="X53" s="49"/>
      <c r="Y53" s="15">
        <f>(T53*H53)/$H$190</f>
        <v>5.7038916279737685E-3</v>
      </c>
    </row>
    <row r="54" spans="1:25" x14ac:dyDescent="0.3">
      <c r="A54" s="5">
        <v>35</v>
      </c>
      <c r="B54" s="5">
        <v>3500</v>
      </c>
      <c r="C54" s="5">
        <v>1168</v>
      </c>
      <c r="D54" s="5" t="s">
        <v>33</v>
      </c>
      <c r="E54" s="5" t="s">
        <v>34</v>
      </c>
      <c r="F54" s="13">
        <v>47</v>
      </c>
      <c r="G54" s="13" t="s">
        <v>83</v>
      </c>
      <c r="H54" s="13">
        <v>32</v>
      </c>
      <c r="I54" s="13">
        <v>0.91428571428571426</v>
      </c>
      <c r="J54" s="13">
        <v>21.942857142857143</v>
      </c>
      <c r="K54" s="13">
        <v>4.5714285714285712</v>
      </c>
      <c r="L54" s="13">
        <v>4.5714285714285712</v>
      </c>
      <c r="M54" s="13">
        <f t="shared" si="1"/>
        <v>32</v>
      </c>
      <c r="N54" s="13">
        <v>22.54</v>
      </c>
      <c r="O54" s="13">
        <v>13.5</v>
      </c>
      <c r="P54" s="13">
        <v>6</v>
      </c>
      <c r="Q54" s="13">
        <v>6.5</v>
      </c>
      <c r="R54" s="13">
        <v>3.1</v>
      </c>
      <c r="S54" s="13">
        <v>3</v>
      </c>
      <c r="T54" s="14">
        <f>N54+O54+P54+Q54+R54+S54</f>
        <v>54.64</v>
      </c>
      <c r="V54" s="15">
        <f>(((N54/45)*100)*H54)/$H$190</f>
        <v>9.5905201070104595E-3</v>
      </c>
      <c r="W54" s="15">
        <f>(((O54/15)*100)*H54)/$H$190</f>
        <v>1.7232300990857308E-2</v>
      </c>
      <c r="X54" s="49"/>
      <c r="Y54" s="15">
        <f>(T54*H54)/$H$190</f>
        <v>1.046192140156048E-2</v>
      </c>
    </row>
    <row r="55" spans="1:25" x14ac:dyDescent="0.3">
      <c r="A55" s="5">
        <v>35</v>
      </c>
      <c r="B55" s="5">
        <v>3500</v>
      </c>
      <c r="C55" s="5">
        <v>1169</v>
      </c>
      <c r="D55" s="5" t="s">
        <v>33</v>
      </c>
      <c r="E55" s="5" t="s">
        <v>34</v>
      </c>
      <c r="F55" s="13">
        <v>48</v>
      </c>
      <c r="G55" s="13" t="s">
        <v>84</v>
      </c>
      <c r="H55" s="13">
        <v>46</v>
      </c>
      <c r="I55" s="13">
        <v>0</v>
      </c>
      <c r="J55" s="13">
        <v>42.392156862745097</v>
      </c>
      <c r="K55" s="13">
        <v>2.7058823529411766</v>
      </c>
      <c r="L55" s="13">
        <v>0.90196078431372551</v>
      </c>
      <c r="M55" s="13">
        <f t="shared" si="1"/>
        <v>45.999999999999993</v>
      </c>
      <c r="N55" s="13">
        <v>27.43</v>
      </c>
      <c r="O55" s="13">
        <v>15</v>
      </c>
      <c r="P55" s="13">
        <v>5.9</v>
      </c>
      <c r="Q55" s="13">
        <v>7.3</v>
      </c>
      <c r="R55" s="13">
        <v>3.1</v>
      </c>
      <c r="S55" s="13">
        <v>3</v>
      </c>
      <c r="T55" s="14">
        <f>N55+O55+P55+Q55+R55+S55</f>
        <v>61.73</v>
      </c>
      <c r="V55" s="15">
        <f>(((N55/45)*100)*H55)/$H$190</f>
        <v>1.6777293784138836E-2</v>
      </c>
      <c r="W55" s="15">
        <f>(((O55/15)*100)*H55)/$H$190</f>
        <v>2.7523814082619311E-2</v>
      </c>
      <c r="X55" s="49"/>
      <c r="Y55" s="15">
        <f>(T55*H55)/$H$190</f>
        <v>1.6990450433200899E-2</v>
      </c>
    </row>
    <row r="56" spans="1:25" x14ac:dyDescent="0.3">
      <c r="A56" s="5">
        <v>35</v>
      </c>
      <c r="B56" s="5">
        <v>3500</v>
      </c>
      <c r="C56" s="5">
        <v>1170</v>
      </c>
      <c r="D56" s="5" t="s">
        <v>33</v>
      </c>
      <c r="E56" s="5" t="s">
        <v>34</v>
      </c>
      <c r="F56" s="13">
        <v>49</v>
      </c>
      <c r="G56" s="13" t="s">
        <v>220</v>
      </c>
      <c r="H56" s="13">
        <v>59</v>
      </c>
      <c r="I56" s="13">
        <v>0</v>
      </c>
      <c r="J56" s="13">
        <v>21.246537396121884</v>
      </c>
      <c r="K56" s="13">
        <v>37.753462603878113</v>
      </c>
      <c r="L56" s="13">
        <v>0</v>
      </c>
      <c r="M56" s="13">
        <f t="shared" si="1"/>
        <v>59</v>
      </c>
      <c r="N56" s="13">
        <v>21.83</v>
      </c>
      <c r="O56" s="13">
        <v>13.21</v>
      </c>
      <c r="P56" s="13">
        <v>6</v>
      </c>
      <c r="Q56" s="13">
        <v>6.5</v>
      </c>
      <c r="R56" s="13">
        <v>3.1</v>
      </c>
      <c r="S56" s="13">
        <v>3</v>
      </c>
      <c r="T56" s="14">
        <f>N56+O56+P56+Q56+R56+S56</f>
        <v>53.64</v>
      </c>
      <c r="V56" s="15">
        <f>(((N56/45)*100)*H56)/$H$190</f>
        <v>1.7125529866662409E-2</v>
      </c>
      <c r="W56" s="15">
        <f>(((O56/15)*100)*H56)/$H$190</f>
        <v>3.1089544141815462E-2</v>
      </c>
      <c r="X56" s="49"/>
      <c r="Y56" s="15">
        <f>(T56*H56)/$H$190</f>
        <v>1.8936144751328324E-2</v>
      </c>
    </row>
    <row r="57" spans="1:25" x14ac:dyDescent="0.3">
      <c r="A57" s="5">
        <v>35</v>
      </c>
      <c r="B57" s="5">
        <v>3500</v>
      </c>
      <c r="C57" s="5">
        <v>1171</v>
      </c>
      <c r="D57" s="5" t="s">
        <v>33</v>
      </c>
      <c r="E57" s="5" t="s">
        <v>34</v>
      </c>
      <c r="F57" s="13">
        <v>50</v>
      </c>
      <c r="G57" s="13" t="s">
        <v>86</v>
      </c>
      <c r="H57" s="13">
        <v>119</v>
      </c>
      <c r="I57" s="13">
        <v>0</v>
      </c>
      <c r="J57" s="13">
        <v>108.5</v>
      </c>
      <c r="K57" s="13">
        <v>7</v>
      </c>
      <c r="L57" s="13">
        <v>3.5</v>
      </c>
      <c r="M57" s="13">
        <f t="shared" si="1"/>
        <v>119</v>
      </c>
      <c r="N57" s="13">
        <v>28.83</v>
      </c>
      <c r="O57" s="13">
        <v>14.56</v>
      </c>
      <c r="P57" s="13">
        <v>5.9</v>
      </c>
      <c r="Q57" s="13">
        <v>6.5</v>
      </c>
      <c r="R57" s="13">
        <v>2.9</v>
      </c>
      <c r="S57" s="13">
        <v>3</v>
      </c>
      <c r="T57" s="14">
        <f>N57+O57+P57+Q57+R57+S57</f>
        <v>61.69</v>
      </c>
      <c r="V57" s="15">
        <f>(((N57/45)*100)*H57)/$H$190</f>
        <v>4.5617331227163209E-2</v>
      </c>
      <c r="W57" s="15">
        <f>(((O57/15)*100)*H57)/$H$190</f>
        <v>6.9114291640738429E-2</v>
      </c>
      <c r="X57" s="49"/>
      <c r="Y57" s="15">
        <f>(T57*H57)/$H$190</f>
        <v>4.3925075391316834E-2</v>
      </c>
    </row>
    <row r="58" spans="1:25" s="27" customFormat="1" x14ac:dyDescent="0.3">
      <c r="A58" s="27">
        <v>35</v>
      </c>
      <c r="B58" s="27">
        <v>3500</v>
      </c>
      <c r="C58" s="27">
        <v>1172</v>
      </c>
      <c r="D58" s="27" t="s">
        <v>33</v>
      </c>
      <c r="E58" s="27" t="s">
        <v>34</v>
      </c>
      <c r="F58" s="28">
        <v>51</v>
      </c>
      <c r="G58" s="28" t="s">
        <v>87</v>
      </c>
      <c r="H58" s="28">
        <v>1926</v>
      </c>
      <c r="I58" s="28">
        <v>142.66666666666666</v>
      </c>
      <c r="J58" s="28">
        <v>142.66666666666666</v>
      </c>
      <c r="K58" s="28">
        <v>1319.6666666666667</v>
      </c>
      <c r="L58" s="28">
        <v>321</v>
      </c>
      <c r="M58" s="28">
        <f t="shared" si="1"/>
        <v>1926</v>
      </c>
      <c r="N58" s="28">
        <v>25.99</v>
      </c>
      <c r="O58" s="28">
        <v>11.26</v>
      </c>
      <c r="P58" s="28">
        <v>4.2</v>
      </c>
      <c r="Q58" s="28">
        <v>7.62</v>
      </c>
      <c r="R58" s="28">
        <v>3.5</v>
      </c>
      <c r="S58" s="28">
        <v>4.76</v>
      </c>
      <c r="T58" s="29">
        <f>N58+O58+P58+Q58+R58+S58</f>
        <v>57.33</v>
      </c>
      <c r="U58" s="5"/>
      <c r="V58" s="30">
        <f>(((N58/45)*100)*H58)/$H$190</f>
        <v>0.6655808721459</v>
      </c>
      <c r="W58" s="30">
        <f>(((O58/15)*100)*H58)/$H$190</f>
        <v>0.8650758699918627</v>
      </c>
      <c r="X58" s="43"/>
      <c r="Y58" s="30">
        <f>(T58*H58)/$H$190</f>
        <v>0.66067672682016176</v>
      </c>
    </row>
    <row r="59" spans="1:25" x14ac:dyDescent="0.3">
      <c r="A59" s="5">
        <v>35</v>
      </c>
      <c r="B59" s="5">
        <v>3500</v>
      </c>
      <c r="C59" s="5">
        <v>1173</v>
      </c>
      <c r="D59" s="5" t="s">
        <v>33</v>
      </c>
      <c r="E59" s="5" t="s">
        <v>34</v>
      </c>
      <c r="F59" s="13">
        <v>52</v>
      </c>
      <c r="G59" s="13" t="s">
        <v>88</v>
      </c>
      <c r="H59" s="13">
        <v>165</v>
      </c>
      <c r="I59" s="13">
        <v>2.7004909983633389</v>
      </c>
      <c r="J59" s="13">
        <v>16.20294599018003</v>
      </c>
      <c r="K59" s="13">
        <v>29.705400981996725</v>
      </c>
      <c r="L59" s="13">
        <v>116.39116202945989</v>
      </c>
      <c r="M59" s="13">
        <f t="shared" si="1"/>
        <v>165</v>
      </c>
      <c r="N59" s="13">
        <v>21.53</v>
      </c>
      <c r="O59" s="13">
        <v>13.86</v>
      </c>
      <c r="P59" s="13">
        <v>7.15</v>
      </c>
      <c r="Q59" s="13">
        <v>11.1</v>
      </c>
      <c r="R59" s="13">
        <v>3.65</v>
      </c>
      <c r="S59" s="13">
        <v>7.75</v>
      </c>
      <c r="T59" s="14">
        <f>N59+O59+P59+Q59+R59+S59</f>
        <v>65.039999999999992</v>
      </c>
      <c r="V59" s="15">
        <f>(((N59/45)*100)*H59)/$H$190</f>
        <v>4.723525282019371E-2</v>
      </c>
      <c r="W59" s="15">
        <f>(((O59/15)*100)*H59)/$H$190</f>
        <v>9.1223493370350864E-2</v>
      </c>
      <c r="X59" s="49"/>
      <c r="Y59" s="15">
        <f>(T59*H59)/$H$190</f>
        <v>6.4211861567182033E-2</v>
      </c>
    </row>
    <row r="60" spans="1:25" s="44" customFormat="1" x14ac:dyDescent="0.3">
      <c r="A60" s="44">
        <v>35</v>
      </c>
      <c r="B60" s="44">
        <v>3500</v>
      </c>
      <c r="C60" s="44">
        <v>1174</v>
      </c>
      <c r="D60" s="44" t="s">
        <v>33</v>
      </c>
      <c r="E60" s="44" t="s">
        <v>34</v>
      </c>
      <c r="F60" s="45">
        <v>53</v>
      </c>
      <c r="G60" s="45" t="s">
        <v>89</v>
      </c>
      <c r="H60" s="45">
        <v>551</v>
      </c>
      <c r="I60" s="45">
        <v>24.277321814254861</v>
      </c>
      <c r="J60" s="45">
        <v>100.27145942610305</v>
      </c>
      <c r="K60" s="45">
        <v>191.53242826288181</v>
      </c>
      <c r="L60" s="45">
        <v>234.91879049676027</v>
      </c>
      <c r="M60" s="45">
        <f t="shared" si="1"/>
        <v>551</v>
      </c>
      <c r="N60" s="45">
        <v>32.57</v>
      </c>
      <c r="O60" s="45">
        <v>12.21</v>
      </c>
      <c r="P60" s="45">
        <v>5.09</v>
      </c>
      <c r="Q60" s="45">
        <v>8.9</v>
      </c>
      <c r="R60" s="45">
        <v>3.58</v>
      </c>
      <c r="S60" s="45">
        <v>5.96</v>
      </c>
      <c r="T60" s="46">
        <f>N60+O60+P60+Q60+R60+S60</f>
        <v>68.31</v>
      </c>
      <c r="U60" s="5"/>
      <c r="V60" s="47">
        <f>(((N60/45)*100)*H60)/$H$190</f>
        <v>0.23862043197761926</v>
      </c>
      <c r="W60" s="47">
        <f>(((O60/15)*100)*H60)/$H$190</f>
        <v>0.26836556411851997</v>
      </c>
      <c r="X60" s="48"/>
      <c r="Y60" s="15">
        <f>(T60*H60)/$H$190</f>
        <v>0.22520948015892009</v>
      </c>
    </row>
    <row r="61" spans="1:25" s="32" customFormat="1" x14ac:dyDescent="0.3">
      <c r="A61" s="32">
        <v>35</v>
      </c>
      <c r="B61" s="32">
        <v>3500</v>
      </c>
      <c r="C61" s="32">
        <v>1175</v>
      </c>
      <c r="D61" s="32" t="s">
        <v>33</v>
      </c>
      <c r="E61" s="32" t="s">
        <v>34</v>
      </c>
      <c r="F61" s="33">
        <v>54</v>
      </c>
      <c r="G61" s="33" t="s">
        <v>90</v>
      </c>
      <c r="H61" s="33">
        <v>2946</v>
      </c>
      <c r="I61" s="33">
        <v>0</v>
      </c>
      <c r="J61" s="33">
        <v>491</v>
      </c>
      <c r="K61" s="33">
        <v>2034.1428571428571</v>
      </c>
      <c r="L61" s="33">
        <v>420.85714285714283</v>
      </c>
      <c r="M61" s="33">
        <f t="shared" si="1"/>
        <v>2945.9999999999995</v>
      </c>
      <c r="N61" s="33">
        <v>38.83</v>
      </c>
      <c r="O61" s="33">
        <v>13.4</v>
      </c>
      <c r="P61" s="33">
        <v>4.34</v>
      </c>
      <c r="Q61" s="33">
        <v>6.02</v>
      </c>
      <c r="R61" s="33">
        <v>2.9</v>
      </c>
      <c r="S61" s="33">
        <v>4.76</v>
      </c>
      <c r="T61" s="34">
        <f>N61+O61+P61+Q61+R61+S61</f>
        <v>70.25</v>
      </c>
      <c r="U61" s="5"/>
      <c r="V61" s="16">
        <f>(((N61/45)*100)*H61)/$H$190</f>
        <v>1.5210321829176836</v>
      </c>
      <c r="W61" s="16">
        <f>(((O61/15)*100)*H61)/$H$190</f>
        <v>1.5746972380450912</v>
      </c>
      <c r="X61" s="50"/>
      <c r="Y61" s="15">
        <f>(T61*H61)/$H$190</f>
        <v>1.2383113541716528</v>
      </c>
    </row>
    <row r="62" spans="1:25" x14ac:dyDescent="0.3">
      <c r="A62" s="5">
        <v>35</v>
      </c>
      <c r="B62" s="5">
        <v>3500</v>
      </c>
      <c r="C62" s="5">
        <v>1176</v>
      </c>
      <c r="D62" s="5" t="s">
        <v>33</v>
      </c>
      <c r="E62" s="5" t="s">
        <v>34</v>
      </c>
      <c r="F62" s="13">
        <v>55</v>
      </c>
      <c r="G62" s="13" t="s">
        <v>91</v>
      </c>
      <c r="H62" s="13">
        <v>69</v>
      </c>
      <c r="I62" s="13">
        <v>2.4210526315789473</v>
      </c>
      <c r="J62" s="13">
        <v>0</v>
      </c>
      <c r="K62" s="13">
        <v>58.105263157894733</v>
      </c>
      <c r="L62" s="13">
        <v>8.473684210526315</v>
      </c>
      <c r="M62" s="13">
        <f t="shared" si="1"/>
        <v>69</v>
      </c>
      <c r="N62" s="13">
        <v>24.75</v>
      </c>
      <c r="O62" s="13">
        <v>14.28</v>
      </c>
      <c r="P62" s="13">
        <v>7</v>
      </c>
      <c r="Q62" s="13">
        <v>10.5</v>
      </c>
      <c r="R62" s="13">
        <v>4.03</v>
      </c>
      <c r="S62" s="13">
        <v>4.26</v>
      </c>
      <c r="T62" s="14">
        <f>N62+O62+P62+Q62+R62+S62</f>
        <v>64.820000000000007</v>
      </c>
      <c r="V62" s="15">
        <f>(((N62/45)*100)*H62)/$H$190</f>
        <v>2.2707146618160933E-2</v>
      </c>
      <c r="W62" s="15">
        <f>(((O62/15)*100)*H62)/$H$190</f>
        <v>3.9304006509980373E-2</v>
      </c>
      <c r="X62" s="49"/>
      <c r="Y62" s="15">
        <f>(T62*H62)/$H$190</f>
        <v>2.676140443253076E-2</v>
      </c>
    </row>
    <row r="63" spans="1:25" x14ac:dyDescent="0.3">
      <c r="A63" s="5">
        <v>35</v>
      </c>
      <c r="B63" s="5">
        <v>3500</v>
      </c>
      <c r="C63" s="5">
        <v>1177</v>
      </c>
      <c r="D63" s="5" t="s">
        <v>33</v>
      </c>
      <c r="E63" s="5" t="s">
        <v>34</v>
      </c>
      <c r="F63" s="13">
        <v>56</v>
      </c>
      <c r="G63" s="13" t="s">
        <v>92</v>
      </c>
      <c r="H63" s="13">
        <v>54</v>
      </c>
      <c r="I63" s="13"/>
      <c r="J63" s="13">
        <v>9.021479713603819</v>
      </c>
      <c r="K63" s="13">
        <v>43.689737470167067</v>
      </c>
      <c r="L63" s="13">
        <v>1.2887828162291168</v>
      </c>
      <c r="M63" s="13">
        <f t="shared" si="1"/>
        <v>54</v>
      </c>
      <c r="N63" s="13">
        <v>29.82</v>
      </c>
      <c r="O63" s="13">
        <v>13.51</v>
      </c>
      <c r="P63" s="13">
        <v>6</v>
      </c>
      <c r="Q63" s="13">
        <v>10.5</v>
      </c>
      <c r="R63" s="13">
        <v>3.5</v>
      </c>
      <c r="S63" s="13">
        <v>7</v>
      </c>
      <c r="T63" s="14">
        <f>N63+O63+P63+Q63+R63+S63</f>
        <v>70.33</v>
      </c>
      <c r="V63" s="15">
        <f>(((N63/45)*100)*H63)/$H$190</f>
        <v>2.1411133981140206E-2</v>
      </c>
      <c r="W63" s="15">
        <f>(((O63/15)*100)*H63)/$H$190</f>
        <v>2.9101048298310273E-2</v>
      </c>
      <c r="X63" s="49"/>
      <c r="Y63" s="15">
        <f>(T63*H63)/$H$190</f>
        <v>2.2724019912881144E-2</v>
      </c>
    </row>
    <row r="64" spans="1:25" x14ac:dyDescent="0.3">
      <c r="A64" s="5">
        <v>35</v>
      </c>
      <c r="B64" s="5">
        <v>3500</v>
      </c>
      <c r="C64" s="5">
        <v>1178</v>
      </c>
      <c r="D64" s="5" t="s">
        <v>33</v>
      </c>
      <c r="E64" s="5" t="s">
        <v>34</v>
      </c>
      <c r="F64" s="13">
        <v>57</v>
      </c>
      <c r="G64" s="13" t="s">
        <v>93</v>
      </c>
      <c r="H64" s="13">
        <v>23</v>
      </c>
      <c r="I64" s="13">
        <v>0</v>
      </c>
      <c r="J64" s="13">
        <v>6.902761104441776</v>
      </c>
      <c r="K64" s="13">
        <v>15.406962785114045</v>
      </c>
      <c r="L64" s="13">
        <v>0.69027611044417769</v>
      </c>
      <c r="M64" s="13">
        <f t="shared" si="1"/>
        <v>22.999999999999996</v>
      </c>
      <c r="N64" s="13">
        <v>29.66</v>
      </c>
      <c r="O64" s="13">
        <v>13.53</v>
      </c>
      <c r="P64" s="13">
        <v>7</v>
      </c>
      <c r="Q64" s="13">
        <v>10.5</v>
      </c>
      <c r="R64" s="13">
        <v>3.5</v>
      </c>
      <c r="S64" s="13">
        <v>7</v>
      </c>
      <c r="T64" s="14">
        <f>N64+O64+P64+Q64+R64+S64</f>
        <v>71.19</v>
      </c>
      <c r="V64" s="15">
        <f>(((N64/45)*100)*H64)/$H$190</f>
        <v>9.0706258410054308E-3</v>
      </c>
      <c r="W64" s="15">
        <f>(((O64/15)*100)*H64)/$H$190</f>
        <v>1.2413240151261308E-2</v>
      </c>
      <c r="X64" s="49"/>
      <c r="Y64" s="15">
        <f>(T64*H64)/$H$190</f>
        <v>9.7971016227083423E-3</v>
      </c>
    </row>
    <row r="65" spans="1:25" x14ac:dyDescent="0.3">
      <c r="A65" s="5">
        <v>35</v>
      </c>
      <c r="B65" s="5">
        <v>3500</v>
      </c>
      <c r="C65" s="5">
        <v>1179</v>
      </c>
      <c r="D65" s="5" t="s">
        <v>33</v>
      </c>
      <c r="E65" s="5" t="s">
        <v>34</v>
      </c>
      <c r="F65" s="13">
        <v>58</v>
      </c>
      <c r="G65" s="13" t="s">
        <v>94</v>
      </c>
      <c r="H65" s="13">
        <v>42</v>
      </c>
      <c r="I65" s="13">
        <v>1.4046822742474916</v>
      </c>
      <c r="J65" s="13">
        <v>26.070903010033444</v>
      </c>
      <c r="K65" s="13">
        <v>11.237458193979933</v>
      </c>
      <c r="L65" s="13">
        <v>3.2869565217391306</v>
      </c>
      <c r="M65" s="13">
        <f t="shared" si="1"/>
        <v>42</v>
      </c>
      <c r="N65" s="13">
        <v>28.87</v>
      </c>
      <c r="O65" s="13">
        <v>13.15</v>
      </c>
      <c r="P65" s="13">
        <v>7</v>
      </c>
      <c r="Q65" s="13">
        <v>10.5</v>
      </c>
      <c r="R65" s="13">
        <v>3.5</v>
      </c>
      <c r="S65" s="13">
        <v>7</v>
      </c>
      <c r="T65" s="14">
        <f>N65+O65+P65+Q65+R65+S65</f>
        <v>70.02000000000001</v>
      </c>
      <c r="V65" s="15">
        <f>(((N65/45)*100)*H65)/$H$190</f>
        <v>1.6122572718714596E-2</v>
      </c>
      <c r="W65" s="15">
        <f>(((O65/15)*100)*H65)/$H$190</f>
        <v>2.2031018141783543E-2</v>
      </c>
      <c r="X65" s="49"/>
      <c r="Y65" s="15">
        <f>(T65*H65)/$H$190</f>
        <v>1.7596333349289173E-2</v>
      </c>
    </row>
    <row r="66" spans="1:25" x14ac:dyDescent="0.3">
      <c r="A66" s="5">
        <v>35</v>
      </c>
      <c r="B66" s="5">
        <v>3500</v>
      </c>
      <c r="C66" s="5">
        <v>1180</v>
      </c>
      <c r="D66" s="5" t="s">
        <v>33</v>
      </c>
      <c r="E66" s="5" t="s">
        <v>34</v>
      </c>
      <c r="F66" s="13">
        <v>59</v>
      </c>
      <c r="G66" s="13" t="s">
        <v>95</v>
      </c>
      <c r="H66" s="13">
        <v>51</v>
      </c>
      <c r="I66" s="13">
        <v>5.8347457627118642</v>
      </c>
      <c r="J66" s="13">
        <v>3.2415254237288136</v>
      </c>
      <c r="K66" s="13">
        <v>34.165677966101697</v>
      </c>
      <c r="L66" s="13">
        <v>7.7580508474576266</v>
      </c>
      <c r="M66" s="13">
        <f t="shared" si="1"/>
        <v>51</v>
      </c>
      <c r="N66" s="13">
        <v>13.8</v>
      </c>
      <c r="O66" s="13">
        <v>13.22</v>
      </c>
      <c r="P66" s="13">
        <v>7</v>
      </c>
      <c r="Q66" s="13">
        <v>10.5</v>
      </c>
      <c r="R66" s="13">
        <v>3.5</v>
      </c>
      <c r="S66" s="13">
        <v>7</v>
      </c>
      <c r="T66" s="14">
        <f>N66+O66+P66+Q66+R66+S66</f>
        <v>55.02</v>
      </c>
      <c r="V66" s="15">
        <f>(((N66/45)*100)*H66)/$H$190</f>
        <v>9.3580967880905665E-3</v>
      </c>
      <c r="W66" s="15">
        <f>(((O66/15)*100)*H66)/$H$190</f>
        <v>2.6894356421425496E-2</v>
      </c>
      <c r="X66" s="49"/>
      <c r="Y66" s="15">
        <f>(T66*H66)/$H$190</f>
        <v>1.6789646259154661E-2</v>
      </c>
    </row>
    <row r="67" spans="1:25" x14ac:dyDescent="0.3">
      <c r="A67" s="5">
        <v>35</v>
      </c>
      <c r="B67" s="5">
        <v>3500</v>
      </c>
      <c r="C67" s="5">
        <v>1181</v>
      </c>
      <c r="D67" s="5" t="s">
        <v>33</v>
      </c>
      <c r="E67" s="5" t="s">
        <v>34</v>
      </c>
      <c r="F67" s="13">
        <v>60</v>
      </c>
      <c r="G67" s="13" t="s">
        <v>96</v>
      </c>
      <c r="H67" s="13">
        <v>82</v>
      </c>
      <c r="I67" s="13">
        <v>6.3565891472868215</v>
      </c>
      <c r="J67" s="13">
        <v>21.188630490956072</v>
      </c>
      <c r="K67" s="13">
        <v>35.045994832041345</v>
      </c>
      <c r="L67" s="13">
        <v>19.408785529715765</v>
      </c>
      <c r="M67" s="13">
        <f t="shared" si="1"/>
        <v>82</v>
      </c>
      <c r="N67" s="13">
        <v>27.48</v>
      </c>
      <c r="O67" s="13">
        <v>13.52</v>
      </c>
      <c r="P67" s="13">
        <v>7</v>
      </c>
      <c r="Q67" s="13">
        <v>10.5</v>
      </c>
      <c r="R67" s="13">
        <v>3.5</v>
      </c>
      <c r="S67" s="13">
        <v>7</v>
      </c>
      <c r="T67" s="14">
        <f>N67+O67+P67+Q67+R67+S67</f>
        <v>69</v>
      </c>
      <c r="V67" s="15">
        <f>(((N67/45)*100)*H67)/$H$190</f>
        <v>2.9961865556140607E-2</v>
      </c>
      <c r="W67" s="15">
        <f>(((O67/15)*100)*H67)/$H$190</f>
        <v>4.42231902095001E-2</v>
      </c>
      <c r="X67" s="49"/>
      <c r="Y67" s="15">
        <f>(T67*H67)/$H$190</f>
        <v>3.3854291321621752E-2</v>
      </c>
    </row>
    <row r="68" spans="1:25" x14ac:dyDescent="0.3">
      <c r="A68" s="5">
        <v>35</v>
      </c>
      <c r="B68" s="5">
        <v>3500</v>
      </c>
      <c r="C68" s="5">
        <v>1182</v>
      </c>
      <c r="D68" s="5" t="s">
        <v>33</v>
      </c>
      <c r="E68" s="5" t="s">
        <v>34</v>
      </c>
      <c r="F68" s="13">
        <v>61</v>
      </c>
      <c r="G68" s="13" t="s">
        <v>97</v>
      </c>
      <c r="H68" s="13">
        <v>62</v>
      </c>
      <c r="I68" s="13">
        <v>2.0067972163780547</v>
      </c>
      <c r="J68" s="13">
        <v>12.783298268328208</v>
      </c>
      <c r="K68" s="13">
        <v>31.546852241463018</v>
      </c>
      <c r="L68" s="13">
        <v>15.663052273830715</v>
      </c>
      <c r="M68" s="13">
        <f t="shared" si="1"/>
        <v>62</v>
      </c>
      <c r="N68" s="13">
        <v>24.65</v>
      </c>
      <c r="O68" s="13">
        <v>13.57</v>
      </c>
      <c r="P68" s="13">
        <v>7</v>
      </c>
      <c r="Q68" s="13">
        <v>10.5</v>
      </c>
      <c r="R68" s="13">
        <v>3.5</v>
      </c>
      <c r="S68" s="13">
        <v>7</v>
      </c>
      <c r="T68" s="14">
        <f>N68+O68+P68+Q68+R68+S68</f>
        <v>66.22</v>
      </c>
      <c r="V68" s="15">
        <f>(((N68/45)*100)*H68)/$H$190</f>
        <v>2.0321084571240138E-2</v>
      </c>
      <c r="W68" s="15">
        <f>(((O68/15)*100)*H68)/$H$190</f>
        <v>3.3560703971407146E-2</v>
      </c>
      <c r="X68" s="49"/>
      <c r="Y68" s="15">
        <f>(T68*H68)/$H$190</f>
        <v>2.4565841750035903E-2</v>
      </c>
    </row>
    <row r="69" spans="1:25" x14ac:dyDescent="0.3">
      <c r="A69" s="5">
        <v>35</v>
      </c>
      <c r="B69" s="5">
        <v>3500</v>
      </c>
      <c r="C69" s="5">
        <v>1183</v>
      </c>
      <c r="D69" s="5" t="s">
        <v>33</v>
      </c>
      <c r="E69" s="5" t="s">
        <v>34</v>
      </c>
      <c r="F69" s="13">
        <v>62</v>
      </c>
      <c r="G69" s="13" t="s">
        <v>98</v>
      </c>
      <c r="H69" s="13">
        <v>56</v>
      </c>
      <c r="I69" s="13">
        <v>0</v>
      </c>
      <c r="J69" s="13">
        <v>3.7675159235668789</v>
      </c>
      <c r="K69" s="13">
        <v>24.589171974522294</v>
      </c>
      <c r="L69" s="13">
        <v>27.64331210191083</v>
      </c>
      <c r="M69" s="13">
        <f t="shared" si="1"/>
        <v>56</v>
      </c>
      <c r="N69" s="13">
        <v>26.65</v>
      </c>
      <c r="O69" s="13">
        <v>13.17</v>
      </c>
      <c r="P69" s="13">
        <v>7</v>
      </c>
      <c r="Q69" s="13">
        <v>10.5</v>
      </c>
      <c r="R69" s="13">
        <v>3.5</v>
      </c>
      <c r="S69" s="13">
        <v>7</v>
      </c>
      <c r="T69" s="14">
        <f>N69+O69+P69+Q69+R69+S69</f>
        <v>67.819999999999993</v>
      </c>
      <c r="V69" s="15">
        <f>(((N69/45)*100)*H69)/$H$190</f>
        <v>1.9843739196570558E-2</v>
      </c>
      <c r="W69" s="15">
        <f>(((O69/15)*100)*H69)/$H$190</f>
        <v>2.9419367191613616E-2</v>
      </c>
      <c r="X69" s="49"/>
      <c r="Y69" s="15">
        <f>(T69*H69)/$H$190</f>
        <v>2.2724618256665548E-2</v>
      </c>
    </row>
    <row r="70" spans="1:25" x14ac:dyDescent="0.3">
      <c r="A70" s="5">
        <v>35</v>
      </c>
      <c r="B70" s="5">
        <v>3500</v>
      </c>
      <c r="C70" s="5">
        <v>1184</v>
      </c>
      <c r="D70" s="5" t="s">
        <v>33</v>
      </c>
      <c r="E70" s="5" t="s">
        <v>34</v>
      </c>
      <c r="F70" s="13">
        <v>63</v>
      </c>
      <c r="G70" s="13" t="s">
        <v>99</v>
      </c>
      <c r="H70" s="13">
        <v>38</v>
      </c>
      <c r="I70" s="13">
        <v>0</v>
      </c>
      <c r="J70" s="13">
        <v>2.3631840796019903</v>
      </c>
      <c r="K70" s="13">
        <v>21.764925373134325</v>
      </c>
      <c r="L70" s="13">
        <v>13.871890547263682</v>
      </c>
      <c r="M70" s="13">
        <f t="shared" si="1"/>
        <v>38</v>
      </c>
      <c r="N70" s="13">
        <v>17.25</v>
      </c>
      <c r="O70" s="13">
        <v>13.58</v>
      </c>
      <c r="P70" s="13">
        <v>7</v>
      </c>
      <c r="Q70" s="13">
        <v>10.5</v>
      </c>
      <c r="R70" s="13">
        <v>3.5</v>
      </c>
      <c r="S70" s="13">
        <v>7</v>
      </c>
      <c r="T70" s="14">
        <f>N70+O70+P70+Q70+R70+S70</f>
        <v>58.83</v>
      </c>
      <c r="V70" s="15">
        <f>(((N70/45)*100)*H70)/$H$190</f>
        <v>8.715874459496115E-3</v>
      </c>
      <c r="W70" s="15">
        <f>(((O70/15)*100)*H70)/$H$190</f>
        <v>2.0584621766949085E-2</v>
      </c>
      <c r="X70" s="49"/>
      <c r="Y70" s="15">
        <f>(T70*H70)/$H$190</f>
        <v>1.3376214637882342E-2</v>
      </c>
    </row>
    <row r="71" spans="1:25" x14ac:dyDescent="0.3">
      <c r="A71" s="5">
        <v>35</v>
      </c>
      <c r="B71" s="5">
        <v>3500</v>
      </c>
      <c r="C71" s="5">
        <v>1185</v>
      </c>
      <c r="D71" s="5" t="s">
        <v>33</v>
      </c>
      <c r="E71" s="5" t="s">
        <v>34</v>
      </c>
      <c r="F71" s="13">
        <v>64</v>
      </c>
      <c r="G71" s="13" t="s">
        <v>100</v>
      </c>
      <c r="H71" s="13">
        <v>45</v>
      </c>
      <c r="I71" s="13">
        <v>22.5</v>
      </c>
      <c r="J71" s="13">
        <v>22.5</v>
      </c>
      <c r="K71" s="13">
        <v>0</v>
      </c>
      <c r="L71" s="13">
        <v>0</v>
      </c>
      <c r="M71" s="13">
        <f t="shared" si="1"/>
        <v>45</v>
      </c>
      <c r="N71" s="13">
        <v>5.3</v>
      </c>
      <c r="O71" s="13">
        <v>11.51</v>
      </c>
      <c r="P71" s="13">
        <v>7</v>
      </c>
      <c r="Q71" s="13">
        <v>10.5</v>
      </c>
      <c r="R71" s="13">
        <v>3.5</v>
      </c>
      <c r="S71" s="13">
        <v>7</v>
      </c>
      <c r="T71" s="14">
        <f>N71+O71+P71+Q71+R71+S71</f>
        <v>44.81</v>
      </c>
      <c r="V71" s="15">
        <f>(((N71/45)*100)*H71)/$H$190</f>
        <v>3.1712220573452683E-3</v>
      </c>
      <c r="W71" s="15">
        <f>(((O71/15)*100)*H71)/$H$190</f>
        <v>2.0660810875496625E-2</v>
      </c>
      <c r="X71" s="49"/>
      <c r="Y71" s="15">
        <f>(T71*H71)/$H$190</f>
        <v>1.2065303240629937E-2</v>
      </c>
    </row>
    <row r="72" spans="1:25" x14ac:dyDescent="0.3">
      <c r="A72" s="5">
        <v>35</v>
      </c>
      <c r="B72" s="5">
        <v>3500</v>
      </c>
      <c r="C72" s="5">
        <v>1186</v>
      </c>
      <c r="D72" s="5" t="s">
        <v>33</v>
      </c>
      <c r="E72" s="5" t="s">
        <v>34</v>
      </c>
      <c r="F72" s="13">
        <v>65</v>
      </c>
      <c r="G72" s="13" t="s">
        <v>101</v>
      </c>
      <c r="H72" s="13">
        <v>461</v>
      </c>
      <c r="I72" s="13">
        <v>0</v>
      </c>
      <c r="J72" s="13">
        <v>0</v>
      </c>
      <c r="K72" s="13"/>
      <c r="L72" s="13">
        <v>461</v>
      </c>
      <c r="M72" s="13">
        <f t="shared" si="1"/>
        <v>461</v>
      </c>
      <c r="N72" s="13">
        <v>19.7</v>
      </c>
      <c r="O72" s="13">
        <v>12.18</v>
      </c>
      <c r="P72" s="13">
        <v>3.94</v>
      </c>
      <c r="Q72" s="13">
        <v>8.9</v>
      </c>
      <c r="R72" s="13">
        <v>2.85</v>
      </c>
      <c r="S72" s="13">
        <v>5</v>
      </c>
      <c r="T72" s="14">
        <f>N72+O72+P72+Q72+R72+S72</f>
        <v>52.57</v>
      </c>
      <c r="V72" s="15">
        <f>(((N72/45)*100)*H72)/$H$190</f>
        <v>0.12075508326286173</v>
      </c>
      <c r="W72" s="15">
        <f>(((O72/15)*100)*H72)/$H$190</f>
        <v>0.22397922550380545</v>
      </c>
      <c r="X72" s="49"/>
      <c r="Y72" s="15">
        <f>(T72*H72)/$H$190</f>
        <v>0.14500723995979131</v>
      </c>
    </row>
    <row r="73" spans="1:25" x14ac:dyDescent="0.3">
      <c r="A73" s="5">
        <v>35</v>
      </c>
      <c r="B73" s="5">
        <v>3500</v>
      </c>
      <c r="C73" s="5">
        <v>1187</v>
      </c>
      <c r="D73" s="5" t="s">
        <v>33</v>
      </c>
      <c r="E73" s="5" t="s">
        <v>34</v>
      </c>
      <c r="F73" s="13">
        <v>66</v>
      </c>
      <c r="G73" s="13" t="s">
        <v>102</v>
      </c>
      <c r="H73" s="13">
        <v>369</v>
      </c>
      <c r="I73" s="13">
        <v>0</v>
      </c>
      <c r="J73" s="13">
        <v>8.6619718309859142</v>
      </c>
      <c r="K73" s="13">
        <v>97.014084507042256</v>
      </c>
      <c r="L73" s="13">
        <v>263.32394366197184</v>
      </c>
      <c r="M73" s="13">
        <f t="shared" si="1"/>
        <v>369</v>
      </c>
      <c r="N73" s="13">
        <v>18.079999999999998</v>
      </c>
      <c r="O73" s="13">
        <v>12.75</v>
      </c>
      <c r="P73" s="13">
        <v>5.54</v>
      </c>
      <c r="Q73" s="13">
        <v>10.15</v>
      </c>
      <c r="R73" s="13">
        <v>3.18</v>
      </c>
      <c r="S73" s="13">
        <v>3.96</v>
      </c>
      <c r="T73" s="14">
        <f>N73+O73+P73+Q73+R73+S73</f>
        <v>53.66</v>
      </c>
      <c r="V73" s="15">
        <f>(((N73/45)*100)*H73)/$H$190</f>
        <v>8.8708056100713209E-2</v>
      </c>
      <c r="W73" s="15">
        <f>(((O73/15)*100)*H73)/$H$190</f>
        <v>0.18767052797855535</v>
      </c>
      <c r="X73" s="49"/>
      <c r="Y73" s="15">
        <f>(T73*H73)/$H$190</f>
        <v>0.11847530036857976</v>
      </c>
    </row>
    <row r="74" spans="1:25" x14ac:dyDescent="0.3">
      <c r="A74" s="5">
        <v>35</v>
      </c>
      <c r="B74" s="5">
        <v>3500</v>
      </c>
      <c r="C74" s="5">
        <v>1188</v>
      </c>
      <c r="D74" s="5" t="s">
        <v>33</v>
      </c>
      <c r="E74" s="5" t="s">
        <v>34</v>
      </c>
      <c r="F74" s="13">
        <v>67</v>
      </c>
      <c r="G74" s="13" t="s">
        <v>103</v>
      </c>
      <c r="H74" s="13">
        <v>281</v>
      </c>
      <c r="I74" s="13">
        <v>0</v>
      </c>
      <c r="J74" s="13">
        <v>0</v>
      </c>
      <c r="K74" s="13">
        <v>93.666666666666657</v>
      </c>
      <c r="L74" s="13">
        <v>187.33333333333331</v>
      </c>
      <c r="M74" s="13">
        <f t="shared" si="1"/>
        <v>281</v>
      </c>
      <c r="N74" s="13">
        <v>13.45</v>
      </c>
      <c r="O74" s="13">
        <v>14.35</v>
      </c>
      <c r="P74" s="13">
        <v>7.59</v>
      </c>
      <c r="Q74" s="13">
        <v>11.07</v>
      </c>
      <c r="R74" s="13">
        <v>3.65</v>
      </c>
      <c r="S74" s="13">
        <v>7</v>
      </c>
      <c r="T74" s="14">
        <f>N74+O74+P74+Q74+R74+S74</f>
        <v>57.11</v>
      </c>
      <c r="V74" s="15">
        <f>(((N74/45)*100)*H74)/$H$190</f>
        <v>5.0253564799302194E-2</v>
      </c>
      <c r="W74" s="15">
        <f>(((O74/15)*100)*H74)/$H$190</f>
        <v>0.16084877060297098</v>
      </c>
      <c r="X74" s="49"/>
      <c r="Y74" s="15">
        <f>(T74*H74)/$H$190</f>
        <v>9.6021672011871145E-2</v>
      </c>
    </row>
    <row r="75" spans="1:25" s="44" customFormat="1" x14ac:dyDescent="0.3">
      <c r="A75" s="44">
        <v>35</v>
      </c>
      <c r="B75" s="44">
        <v>3500</v>
      </c>
      <c r="C75" s="44">
        <v>1189</v>
      </c>
      <c r="D75" s="44" t="s">
        <v>33</v>
      </c>
      <c r="E75" s="44" t="s">
        <v>34</v>
      </c>
      <c r="F75" s="45">
        <v>68</v>
      </c>
      <c r="G75" s="45" t="s">
        <v>104</v>
      </c>
      <c r="H75" s="45">
        <v>332</v>
      </c>
      <c r="I75" s="45">
        <v>0</v>
      </c>
      <c r="J75" s="45">
        <v>94.857142857142847</v>
      </c>
      <c r="K75" s="45">
        <v>166</v>
      </c>
      <c r="L75" s="45">
        <v>71.142857142857139</v>
      </c>
      <c r="M75" s="45">
        <f t="shared" si="1"/>
        <v>332</v>
      </c>
      <c r="N75" s="45">
        <v>23.79</v>
      </c>
      <c r="O75" s="45">
        <v>11.57</v>
      </c>
      <c r="P75" s="45">
        <v>8.4600000000000009</v>
      </c>
      <c r="Q75" s="45">
        <v>12.72</v>
      </c>
      <c r="R75" s="45">
        <v>4.03</v>
      </c>
      <c r="S75" s="45">
        <v>7.9</v>
      </c>
      <c r="T75" s="46">
        <f>N75+O75+P75+Q75+R75+S75</f>
        <v>68.47</v>
      </c>
      <c r="U75" s="5"/>
      <c r="V75" s="47">
        <f>(((N75/45)*100)*H75)/$H$190</f>
        <v>0.10501970545529971</v>
      </c>
      <c r="W75" s="47">
        <f>(((O75/15)*100)*H75)/$H$190</f>
        <v>0.15322547189379795</v>
      </c>
      <c r="X75" s="48"/>
      <c r="Y75" s="15">
        <f>(T75*H75)/$H$190</f>
        <v>0.13601574840840555</v>
      </c>
    </row>
    <row r="76" spans="1:25" x14ac:dyDescent="0.3">
      <c r="A76" s="5">
        <v>35</v>
      </c>
      <c r="B76" s="5">
        <v>3500</v>
      </c>
      <c r="C76" s="5">
        <v>1190</v>
      </c>
      <c r="D76" s="5" t="s">
        <v>33</v>
      </c>
      <c r="E76" s="5" t="s">
        <v>34</v>
      </c>
      <c r="F76" s="13">
        <v>69</v>
      </c>
      <c r="G76" s="13" t="s">
        <v>105</v>
      </c>
      <c r="H76" s="13">
        <v>108</v>
      </c>
      <c r="I76" s="13">
        <v>0</v>
      </c>
      <c r="J76" s="13">
        <v>97.2</v>
      </c>
      <c r="K76" s="13">
        <v>10.8</v>
      </c>
      <c r="L76" s="13">
        <v>0</v>
      </c>
      <c r="M76" s="13">
        <f t="shared" si="1"/>
        <v>108</v>
      </c>
      <c r="N76" s="13">
        <v>28.53</v>
      </c>
      <c r="O76" s="13">
        <v>10.52</v>
      </c>
      <c r="P76" s="13">
        <v>7.37</v>
      </c>
      <c r="Q76" s="13">
        <v>11.15</v>
      </c>
      <c r="R76" s="13">
        <v>3.8</v>
      </c>
      <c r="S76" s="13">
        <v>7</v>
      </c>
      <c r="T76" s="14">
        <f>N76+O76+P76+Q76+R76+S76</f>
        <v>68.36999999999999</v>
      </c>
      <c r="V76" s="15">
        <f>(((N76/45)*100)*H76)/$H$190</f>
        <v>4.0969795605763248E-2</v>
      </c>
      <c r="W76" s="15">
        <f>(((O76/15)*100)*H76)/$H$190</f>
        <v>4.5320951605954715E-2</v>
      </c>
      <c r="X76" s="49"/>
      <c r="Y76" s="15">
        <f>(T76*H76)/$H$190</f>
        <v>4.4181465702934269E-2</v>
      </c>
    </row>
    <row r="77" spans="1:25" x14ac:dyDescent="0.3">
      <c r="A77" s="5">
        <v>35</v>
      </c>
      <c r="B77" s="5">
        <v>3500</v>
      </c>
      <c r="C77" s="5">
        <v>1191</v>
      </c>
      <c r="D77" s="5" t="s">
        <v>33</v>
      </c>
      <c r="E77" s="5" t="s">
        <v>34</v>
      </c>
      <c r="F77" s="13">
        <v>70</v>
      </c>
      <c r="G77" s="13" t="s">
        <v>106</v>
      </c>
      <c r="H77" s="13">
        <v>98</v>
      </c>
      <c r="I77" s="13">
        <v>0</v>
      </c>
      <c r="J77" s="13">
        <v>19.600000000000001</v>
      </c>
      <c r="K77" s="13">
        <v>39.200000000000003</v>
      </c>
      <c r="L77" s="13">
        <v>39.200000000000003</v>
      </c>
      <c r="M77" s="13">
        <f t="shared" si="1"/>
        <v>98</v>
      </c>
      <c r="N77" s="13">
        <v>24.05</v>
      </c>
      <c r="O77" s="13">
        <v>13.96</v>
      </c>
      <c r="P77" s="13">
        <v>7.62</v>
      </c>
      <c r="Q77" s="13">
        <v>11.06</v>
      </c>
      <c r="R77" s="13">
        <v>3.8</v>
      </c>
      <c r="S77" s="13">
        <v>7</v>
      </c>
      <c r="T77" s="14">
        <f>N77+O77+P77+Q77+R77+S77</f>
        <v>67.490000000000009</v>
      </c>
      <c r="V77" s="15">
        <f>(((N77/45)*100)*H77)/$H$190</f>
        <v>3.1338588121413262E-2</v>
      </c>
      <c r="W77" s="15">
        <f>(((O77/15)*100)*H77)/$H$190</f>
        <v>5.4572144304564973E-2</v>
      </c>
      <c r="X77" s="49"/>
      <c r="Y77" s="15">
        <f>(T77*H77)/$H$190</f>
        <v>3.9574577569288213E-2</v>
      </c>
    </row>
    <row r="78" spans="1:25" x14ac:dyDescent="0.3">
      <c r="A78" s="5">
        <v>35</v>
      </c>
      <c r="B78" s="5">
        <v>3500</v>
      </c>
      <c r="C78" s="5">
        <v>1192</v>
      </c>
      <c r="D78" s="5" t="s">
        <v>33</v>
      </c>
      <c r="E78" s="5" t="s">
        <v>34</v>
      </c>
      <c r="F78" s="13">
        <v>71</v>
      </c>
      <c r="G78" s="13" t="s">
        <v>107</v>
      </c>
      <c r="H78" s="13">
        <v>245</v>
      </c>
      <c r="I78" s="13">
        <v>0</v>
      </c>
      <c r="J78" s="13">
        <v>40.833333333333329</v>
      </c>
      <c r="K78" s="13">
        <v>81.666666666666657</v>
      </c>
      <c r="L78" s="13">
        <v>122.5</v>
      </c>
      <c r="M78" s="13">
        <f t="shared" si="1"/>
        <v>245</v>
      </c>
      <c r="N78" s="13">
        <v>20.81</v>
      </c>
      <c r="O78" s="13">
        <v>14.04</v>
      </c>
      <c r="P78" s="13">
        <v>7.44</v>
      </c>
      <c r="Q78" s="13">
        <v>11.1</v>
      </c>
      <c r="R78" s="13">
        <v>3.88</v>
      </c>
      <c r="S78" s="13">
        <v>7</v>
      </c>
      <c r="T78" s="14">
        <f>N78+O78+P78+Q78+R78+S78</f>
        <v>64.27</v>
      </c>
      <c r="V78" s="15">
        <f>(((N78/45)*100)*H78)/$H$190</f>
        <v>6.7791685946633054E-2</v>
      </c>
      <c r="W78" s="15">
        <f>(((O78/15)*100)*H78)/$H$190</f>
        <v>0.1372121966397013</v>
      </c>
      <c r="X78" s="49"/>
      <c r="Y78" s="15">
        <f>(T78*H78)/$H$190</f>
        <v>9.4216109808051313E-2</v>
      </c>
    </row>
    <row r="79" spans="1:25" x14ac:dyDescent="0.3">
      <c r="A79" s="5">
        <v>35</v>
      </c>
      <c r="B79" s="5">
        <v>3500</v>
      </c>
      <c r="C79" s="5">
        <v>1193</v>
      </c>
      <c r="D79" s="5" t="s">
        <v>33</v>
      </c>
      <c r="E79" s="5" t="s">
        <v>34</v>
      </c>
      <c r="F79" s="13">
        <v>72</v>
      </c>
      <c r="G79" s="13" t="s">
        <v>108</v>
      </c>
      <c r="H79" s="13">
        <v>113</v>
      </c>
      <c r="I79" s="13">
        <v>0</v>
      </c>
      <c r="J79" s="13">
        <v>28.25</v>
      </c>
      <c r="K79" s="13">
        <v>42.375</v>
      </c>
      <c r="L79" s="13">
        <v>42.375</v>
      </c>
      <c r="M79" s="13">
        <f t="shared" si="1"/>
        <v>113</v>
      </c>
      <c r="N79" s="13">
        <v>13.38</v>
      </c>
      <c r="O79" s="13">
        <v>14.63</v>
      </c>
      <c r="P79" s="13">
        <v>7.77</v>
      </c>
      <c r="Q79" s="13">
        <v>10.76</v>
      </c>
      <c r="R79" s="13">
        <v>3.73</v>
      </c>
      <c r="S79" s="13">
        <v>7</v>
      </c>
      <c r="T79" s="14">
        <f>N79+O79+P79+Q79+R79+S79</f>
        <v>57.269999999999996</v>
      </c>
      <c r="V79" s="15">
        <f>(((N79/45)*100)*H79)/$H$190</f>
        <v>2.0103553364287652E-2</v>
      </c>
      <c r="W79" s="15">
        <f>(((O79/15)*100)*H79)/$H$190</f>
        <v>6.5945064062674516E-2</v>
      </c>
      <c r="X79" s="49"/>
      <c r="Y79" s="15">
        <f>(T79*H79)/$H$190</f>
        <v>3.8721877842132969E-2</v>
      </c>
    </row>
    <row r="80" spans="1:25" x14ac:dyDescent="0.3">
      <c r="A80" s="5">
        <v>35</v>
      </c>
      <c r="B80" s="5">
        <v>3500</v>
      </c>
      <c r="C80" s="5">
        <v>1194</v>
      </c>
      <c r="D80" s="5" t="s">
        <v>33</v>
      </c>
      <c r="E80" s="5" t="s">
        <v>34</v>
      </c>
      <c r="F80" s="13">
        <v>73</v>
      </c>
      <c r="G80" s="13" t="s">
        <v>109</v>
      </c>
      <c r="H80" s="13">
        <v>69</v>
      </c>
      <c r="I80" s="13">
        <v>0</v>
      </c>
      <c r="J80" s="13">
        <v>19.714285714285712</v>
      </c>
      <c r="K80" s="13">
        <v>39.428571428571423</v>
      </c>
      <c r="L80" s="13">
        <v>9.8571428571428559</v>
      </c>
      <c r="M80" s="13">
        <f t="shared" si="1"/>
        <v>69</v>
      </c>
      <c r="N80" s="13">
        <v>23.57</v>
      </c>
      <c r="O80" s="13">
        <v>13.47</v>
      </c>
      <c r="P80" s="13">
        <v>7.59</v>
      </c>
      <c r="Q80" s="13">
        <v>11.34</v>
      </c>
      <c r="R80" s="13">
        <v>3.8</v>
      </c>
      <c r="S80" s="13">
        <v>7.45</v>
      </c>
      <c r="T80" s="14">
        <f>N80+O80+P80+Q80+R80+S80</f>
        <v>67.22</v>
      </c>
      <c r="V80" s="15">
        <f>(((N80/45)*100)*H80)/$H$190</f>
        <v>2.162454326424457E-2</v>
      </c>
      <c r="W80" s="15">
        <f>(((O80/15)*100)*H80)/$H$190</f>
        <v>3.7074577569288211E-2</v>
      </c>
      <c r="X80" s="49"/>
      <c r="Y80" s="15">
        <f>(T80*H80)/$H$190</f>
        <v>2.7752261739505051E-2</v>
      </c>
    </row>
    <row r="81" spans="1:25" x14ac:dyDescent="0.3">
      <c r="A81" s="5">
        <v>35</v>
      </c>
      <c r="B81" s="5">
        <v>3500</v>
      </c>
      <c r="C81" s="5">
        <v>1195</v>
      </c>
      <c r="D81" s="5" t="s">
        <v>33</v>
      </c>
      <c r="E81" s="5" t="s">
        <v>34</v>
      </c>
      <c r="F81" s="13">
        <v>74</v>
      </c>
      <c r="G81" s="13" t="s">
        <v>110</v>
      </c>
      <c r="H81" s="13">
        <v>38</v>
      </c>
      <c r="I81" s="13">
        <v>0</v>
      </c>
      <c r="J81" s="13">
        <v>19</v>
      </c>
      <c r="K81" s="13">
        <v>9.5</v>
      </c>
      <c r="L81" s="13">
        <v>9.5</v>
      </c>
      <c r="M81" s="13">
        <f t="shared" si="1"/>
        <v>38</v>
      </c>
      <c r="N81" s="13">
        <v>24.48</v>
      </c>
      <c r="O81" s="13">
        <v>13.36</v>
      </c>
      <c r="P81" s="13">
        <v>7.54</v>
      </c>
      <c r="Q81" s="13">
        <v>11.4</v>
      </c>
      <c r="R81" s="13">
        <v>3.88</v>
      </c>
      <c r="S81" s="13">
        <v>7.6</v>
      </c>
      <c r="T81" s="14">
        <f>N81+O81+P81+Q81+R81+S81</f>
        <v>68.260000000000005</v>
      </c>
      <c r="V81" s="15">
        <f>(((N81/45)*100)*H81)/$H$190</f>
        <v>1.2368962711215358E-2</v>
      </c>
      <c r="W81" s="15">
        <f>(((O81/15)*100)*H81)/$H$190</f>
        <v>2.0251144831107494E-2</v>
      </c>
      <c r="X81" s="49"/>
      <c r="Y81" s="15">
        <f>(T81*H81)/$H$190</f>
        <v>1.5520319754918386E-2</v>
      </c>
    </row>
    <row r="82" spans="1:25" x14ac:dyDescent="0.3">
      <c r="A82" s="5">
        <v>35</v>
      </c>
      <c r="B82" s="5">
        <v>3500</v>
      </c>
      <c r="C82" s="5">
        <v>1196</v>
      </c>
      <c r="D82" s="5" t="s">
        <v>33</v>
      </c>
      <c r="E82" s="5" t="s">
        <v>34</v>
      </c>
      <c r="F82" s="13">
        <v>75</v>
      </c>
      <c r="G82" s="13" t="s">
        <v>111</v>
      </c>
      <c r="H82" s="13">
        <v>445</v>
      </c>
      <c r="I82" s="13">
        <v>0</v>
      </c>
      <c r="J82" s="13">
        <v>74.166666666666671</v>
      </c>
      <c r="K82" s="13">
        <v>284.3055555555556</v>
      </c>
      <c r="L82" s="13">
        <v>86.527777777777786</v>
      </c>
      <c r="M82" s="13">
        <f t="shared" si="1"/>
        <v>445.00000000000006</v>
      </c>
      <c r="N82" s="13">
        <v>25.55</v>
      </c>
      <c r="O82" s="13">
        <v>13.22</v>
      </c>
      <c r="P82" s="13">
        <v>7.81</v>
      </c>
      <c r="Q82" s="13">
        <v>11.64</v>
      </c>
      <c r="R82" s="13">
        <v>3.8</v>
      </c>
      <c r="S82" s="13">
        <v>7</v>
      </c>
      <c r="T82" s="14">
        <f>N82+O82+P82+Q82+R82+S82</f>
        <v>69.02000000000001</v>
      </c>
      <c r="V82" s="15">
        <f>(((N82/45)*100)*H82)/$H$190</f>
        <v>0.15117820539413571</v>
      </c>
      <c r="W82" s="15">
        <f>(((O82/15)*100)*H82)/$H$190</f>
        <v>0.23466644328498718</v>
      </c>
      <c r="X82" s="49"/>
      <c r="Y82" s="15">
        <f>(T82*H82)/$H$190</f>
        <v>0.18377471159829595</v>
      </c>
    </row>
    <row r="83" spans="1:25" x14ac:dyDescent="0.3">
      <c r="A83" s="5">
        <v>35</v>
      </c>
      <c r="B83" s="5">
        <v>3500</v>
      </c>
      <c r="C83" s="5">
        <v>1197</v>
      </c>
      <c r="D83" s="5" t="s">
        <v>33</v>
      </c>
      <c r="E83" s="5" t="s">
        <v>34</v>
      </c>
      <c r="F83" s="13">
        <v>76</v>
      </c>
      <c r="G83" s="13" t="s">
        <v>112</v>
      </c>
      <c r="H83" s="13">
        <v>62</v>
      </c>
      <c r="I83" s="13">
        <v>0</v>
      </c>
      <c r="J83" s="13">
        <v>0</v>
      </c>
      <c r="K83" s="13">
        <v>62</v>
      </c>
      <c r="L83" s="13">
        <v>0</v>
      </c>
      <c r="M83" s="13">
        <f t="shared" si="1"/>
        <v>62</v>
      </c>
      <c r="N83" s="13">
        <v>21.06</v>
      </c>
      <c r="O83" s="13">
        <v>12.8</v>
      </c>
      <c r="P83" s="13">
        <v>7.65</v>
      </c>
      <c r="Q83" s="13">
        <v>11.4</v>
      </c>
      <c r="R83" s="13">
        <v>3.88</v>
      </c>
      <c r="S83" s="13">
        <v>7.68</v>
      </c>
      <c r="T83" s="14">
        <f>N83+O83+P83+Q83+R83+S83</f>
        <v>64.47</v>
      </c>
      <c r="V83" s="15">
        <f>(((N83/45)*100)*H83)/$H$190</f>
        <v>1.7361543248288737E-2</v>
      </c>
      <c r="W83" s="15">
        <f>(((O83/15)*100)*H83)/$H$190</f>
        <v>3.1656375153574903E-2</v>
      </c>
      <c r="X83" s="49"/>
      <c r="Y83" s="15">
        <f>(T83*H83)/$H$190</f>
        <v>2.3916638743956727E-2</v>
      </c>
    </row>
    <row r="84" spans="1:25" x14ac:dyDescent="0.3">
      <c r="A84" s="5">
        <v>35</v>
      </c>
      <c r="B84" s="5">
        <v>3500</v>
      </c>
      <c r="C84" s="5">
        <v>1198</v>
      </c>
      <c r="D84" s="5" t="s">
        <v>33</v>
      </c>
      <c r="E84" s="5" t="s">
        <v>34</v>
      </c>
      <c r="F84" s="13">
        <v>77</v>
      </c>
      <c r="G84" s="13" t="s">
        <v>113</v>
      </c>
      <c r="H84" s="13">
        <v>288</v>
      </c>
      <c r="I84" s="13">
        <v>0</v>
      </c>
      <c r="J84" s="13">
        <v>0</v>
      </c>
      <c r="K84" s="13">
        <v>288</v>
      </c>
      <c r="L84" s="13">
        <v>0</v>
      </c>
      <c r="M84" s="13">
        <f t="shared" si="1"/>
        <v>288</v>
      </c>
      <c r="N84" s="13">
        <v>21.67</v>
      </c>
      <c r="O84" s="13">
        <v>11.75</v>
      </c>
      <c r="P84" s="13">
        <v>7.71</v>
      </c>
      <c r="Q84" s="13">
        <v>11.64</v>
      </c>
      <c r="R84" s="13">
        <v>3.95</v>
      </c>
      <c r="S84" s="13">
        <v>7.24</v>
      </c>
      <c r="T84" s="14">
        <f>N84+O84+P84+Q84+R84+S84</f>
        <v>63.960000000000008</v>
      </c>
      <c r="V84" s="15">
        <f>(((N84/45)*100)*H84)/$H$190</f>
        <v>8.2983102771528414E-2</v>
      </c>
      <c r="W84" s="15">
        <f>(((O84/15)*100)*H84)/$H$190</f>
        <v>0.13498635776171558</v>
      </c>
      <c r="X84" s="49"/>
      <c r="Y84" s="15">
        <f>(T84*H84)/$H$190</f>
        <v>0.11021779713752336</v>
      </c>
    </row>
    <row r="85" spans="1:25" x14ac:dyDescent="0.3">
      <c r="A85" s="5">
        <v>35</v>
      </c>
      <c r="B85" s="5">
        <v>3500</v>
      </c>
      <c r="C85" s="5">
        <v>1199</v>
      </c>
      <c r="D85" s="5" t="s">
        <v>33</v>
      </c>
      <c r="E85" s="5" t="s">
        <v>34</v>
      </c>
      <c r="F85" s="13">
        <v>78</v>
      </c>
      <c r="G85" s="13" t="s">
        <v>114</v>
      </c>
      <c r="H85" s="13">
        <v>69</v>
      </c>
      <c r="I85" s="13">
        <v>0</v>
      </c>
      <c r="J85" s="13">
        <v>19.714285714285712</v>
      </c>
      <c r="K85" s="13">
        <v>39.428571428571423</v>
      </c>
      <c r="L85" s="13">
        <v>9.8571428571428559</v>
      </c>
      <c r="M85" s="13">
        <f t="shared" si="1"/>
        <v>69</v>
      </c>
      <c r="N85" s="13">
        <v>21.16</v>
      </c>
      <c r="O85" s="13">
        <v>13.72</v>
      </c>
      <c r="P85" s="13">
        <v>7.48</v>
      </c>
      <c r="Q85" s="13">
        <v>11.22</v>
      </c>
      <c r="R85" s="13">
        <v>3.8</v>
      </c>
      <c r="S85" s="13">
        <v>7.23</v>
      </c>
      <c r="T85" s="14">
        <f>N85+O85+P85+Q85+R85+S85</f>
        <v>64.61</v>
      </c>
      <c r="V85" s="15">
        <f>(((N85/45)*100)*H85)/$H$190</f>
        <v>1.9413463532940819E-2</v>
      </c>
      <c r="W85" s="15">
        <f>(((O85/15)*100)*H85)/$H$190</f>
        <v>3.7762672921353692E-2</v>
      </c>
      <c r="X85" s="49"/>
      <c r="Y85" s="15">
        <f>(T85*H85)/$H$190</f>
        <v>2.6674704418170506E-2</v>
      </c>
    </row>
    <row r="86" spans="1:25" s="27" customFormat="1" x14ac:dyDescent="0.3">
      <c r="A86" s="27">
        <v>35</v>
      </c>
      <c r="B86" s="27">
        <v>3500</v>
      </c>
      <c r="C86" s="27">
        <v>1200</v>
      </c>
      <c r="D86" s="27" t="s">
        <v>33</v>
      </c>
      <c r="E86" s="27" t="s">
        <v>34</v>
      </c>
      <c r="F86" s="28">
        <v>79</v>
      </c>
      <c r="G86" s="28" t="s">
        <v>115</v>
      </c>
      <c r="H86" s="28">
        <v>661</v>
      </c>
      <c r="I86" s="28">
        <v>367.22222222222223</v>
      </c>
      <c r="J86" s="28">
        <v>293.77777777777777</v>
      </c>
      <c r="K86" s="28">
        <v>0</v>
      </c>
      <c r="L86" s="28">
        <v>0</v>
      </c>
      <c r="M86" s="28">
        <f t="shared" si="1"/>
        <v>661</v>
      </c>
      <c r="N86" s="28">
        <v>30.28</v>
      </c>
      <c r="O86" s="28">
        <v>10.27</v>
      </c>
      <c r="P86" s="28">
        <v>7.75</v>
      </c>
      <c r="Q86" s="28">
        <v>11.27</v>
      </c>
      <c r="R86" s="28">
        <v>3.73</v>
      </c>
      <c r="S86" s="28">
        <v>7.53</v>
      </c>
      <c r="T86" s="29">
        <f>N86+O86+P86+Q86+R86+S86</f>
        <v>70.829999999999984</v>
      </c>
      <c r="U86" s="5"/>
      <c r="V86" s="30">
        <f>(((N86/45)*100)*H86)/$H$190</f>
        <v>0.2661310824969817</v>
      </c>
      <c r="W86" s="30">
        <f>(((O86/15)*100)*H86)/$H$190</f>
        <v>0.27078925534121551</v>
      </c>
      <c r="X86" s="43"/>
      <c r="Y86" s="30">
        <f>(T86*H86)/$H$190</f>
        <v>0.2801363625484658</v>
      </c>
    </row>
    <row r="87" spans="1:25" s="27" customFormat="1" x14ac:dyDescent="0.3">
      <c r="A87" s="27">
        <v>35</v>
      </c>
      <c r="B87" s="27">
        <v>3500</v>
      </c>
      <c r="C87" s="27">
        <v>1201</v>
      </c>
      <c r="D87" s="27" t="s">
        <v>33</v>
      </c>
      <c r="E87" s="27" t="s">
        <v>34</v>
      </c>
      <c r="F87" s="28">
        <v>80</v>
      </c>
      <c r="G87" s="28" t="s">
        <v>116</v>
      </c>
      <c r="H87" s="28">
        <v>515</v>
      </c>
      <c r="I87" s="28">
        <v>382.09677419354841</v>
      </c>
      <c r="J87" s="28">
        <v>132.90322580645162</v>
      </c>
      <c r="K87" s="28">
        <v>0</v>
      </c>
      <c r="L87" s="28">
        <v>0</v>
      </c>
      <c r="M87" s="28">
        <f t="shared" si="1"/>
        <v>515</v>
      </c>
      <c r="N87" s="28">
        <v>32.119999999999997</v>
      </c>
      <c r="O87" s="28">
        <v>11.81</v>
      </c>
      <c r="P87" s="28">
        <v>4.34</v>
      </c>
      <c r="Q87" s="28">
        <v>7.54</v>
      </c>
      <c r="R87" s="28">
        <v>2.9</v>
      </c>
      <c r="S87" s="28">
        <v>4.24</v>
      </c>
      <c r="T87" s="29">
        <f>N87+O87+P87+Q87+R87+S87</f>
        <v>62.949999999999996</v>
      </c>
      <c r="U87" s="5"/>
      <c r="V87" s="30">
        <f>(((N87/45)*100)*H87)/$H$190</f>
        <v>0.21994851584148409</v>
      </c>
      <c r="W87" s="30">
        <f>(((O87/15)*100)*H87)/$H$190</f>
        <v>0.24261444322116379</v>
      </c>
      <c r="X87" s="43"/>
      <c r="Y87" s="30">
        <f>(T87*H87)/$H$190</f>
        <v>0.19397856732564259</v>
      </c>
    </row>
    <row r="88" spans="1:25" s="32" customFormat="1" x14ac:dyDescent="0.3">
      <c r="A88" s="32">
        <v>35</v>
      </c>
      <c r="B88" s="32">
        <v>3500</v>
      </c>
      <c r="C88" s="32">
        <v>1202</v>
      </c>
      <c r="D88" s="32" t="s">
        <v>33</v>
      </c>
      <c r="E88" s="32" t="s">
        <v>34</v>
      </c>
      <c r="F88" s="33">
        <v>81</v>
      </c>
      <c r="G88" s="33" t="s">
        <v>117</v>
      </c>
      <c r="H88" s="33">
        <v>293</v>
      </c>
      <c r="I88" s="33">
        <v>268.58333333333331</v>
      </c>
      <c r="J88" s="33">
        <v>24.416666666666664</v>
      </c>
      <c r="K88" s="33">
        <v>0</v>
      </c>
      <c r="L88" s="33">
        <v>0</v>
      </c>
      <c r="M88" s="33">
        <f t="shared" si="1"/>
        <v>293</v>
      </c>
      <c r="N88" s="33">
        <v>32.24</v>
      </c>
      <c r="O88" s="33">
        <v>12.03</v>
      </c>
      <c r="P88" s="33">
        <v>4.24</v>
      </c>
      <c r="Q88" s="33">
        <v>6.54</v>
      </c>
      <c r="R88" s="33">
        <v>3.5</v>
      </c>
      <c r="S88" s="33">
        <v>4.76</v>
      </c>
      <c r="T88" s="34">
        <f>N88+O88+P88+Q88+R88+S88</f>
        <v>63.31</v>
      </c>
      <c r="U88" s="5"/>
      <c r="V88" s="16">
        <f>(((N88/45)*100)*H88)/$H$190</f>
        <v>0.12560326349996542</v>
      </c>
      <c r="W88" s="16">
        <f>(((O88/15)*100)*H88)/$H$190</f>
        <v>0.1406024125221387</v>
      </c>
      <c r="X88" s="50"/>
      <c r="Y88" s="15">
        <f>(T88*H88)/$H$190</f>
        <v>0.11099175482265092</v>
      </c>
    </row>
    <row r="89" spans="1:25" s="27" customFormat="1" x14ac:dyDescent="0.3">
      <c r="A89" s="27">
        <v>35</v>
      </c>
      <c r="B89" s="27">
        <v>3500</v>
      </c>
      <c r="C89" s="27">
        <v>1203</v>
      </c>
      <c r="D89" s="27" t="s">
        <v>33</v>
      </c>
      <c r="E89" s="27" t="s">
        <v>34</v>
      </c>
      <c r="F89" s="28">
        <v>82</v>
      </c>
      <c r="G89" s="28" t="s">
        <v>118</v>
      </c>
      <c r="H89" s="28">
        <v>971</v>
      </c>
      <c r="I89" s="28">
        <v>906.26666666666665</v>
      </c>
      <c r="J89" s="28">
        <v>64.733333333333334</v>
      </c>
      <c r="K89" s="28">
        <v>0</v>
      </c>
      <c r="L89" s="28">
        <v>0</v>
      </c>
      <c r="M89" s="28">
        <f t="shared" si="1"/>
        <v>971</v>
      </c>
      <c r="N89" s="28">
        <v>32.36</v>
      </c>
      <c r="O89" s="28">
        <v>11.79</v>
      </c>
      <c r="P89" s="28">
        <v>3.44</v>
      </c>
      <c r="Q89" s="28">
        <v>6.74</v>
      </c>
      <c r="R89" s="28">
        <v>2.7</v>
      </c>
      <c r="S89" s="28">
        <v>3.8</v>
      </c>
      <c r="T89" s="29">
        <f>N89+O89+P89+Q89+R89+S89</f>
        <v>60.83</v>
      </c>
      <c r="U89" s="5"/>
      <c r="V89" s="30">
        <f>(((N89/45)*100)*H89)/$H$190</f>
        <v>0.41779766938447715</v>
      </c>
      <c r="W89" s="30">
        <f>(((O89/15)*100)*H89)/$H$190</f>
        <v>0.45665956632042504</v>
      </c>
      <c r="X89" s="43"/>
      <c r="Y89" s="30">
        <f>(T89*H89)/$H$190</f>
        <v>0.35341732085587096</v>
      </c>
    </row>
    <row r="90" spans="1:25" x14ac:dyDescent="0.3">
      <c r="A90" s="5">
        <v>35</v>
      </c>
      <c r="B90" s="5">
        <v>3500</v>
      </c>
      <c r="C90" s="5">
        <v>1204</v>
      </c>
      <c r="D90" s="5" t="s">
        <v>33</v>
      </c>
      <c r="E90" s="5" t="s">
        <v>34</v>
      </c>
      <c r="F90" s="13">
        <v>83</v>
      </c>
      <c r="G90" s="13" t="s">
        <v>119</v>
      </c>
      <c r="H90" s="13">
        <v>638</v>
      </c>
      <c r="I90" s="13">
        <v>2.6694560669456067</v>
      </c>
      <c r="J90" s="13">
        <v>403.08786610878661</v>
      </c>
      <c r="K90" s="13">
        <v>169.51046025104603</v>
      </c>
      <c r="L90" s="13">
        <v>62.73221757322176</v>
      </c>
      <c r="M90" s="13">
        <f t="shared" si="1"/>
        <v>638</v>
      </c>
      <c r="N90" s="13">
        <v>30.12</v>
      </c>
      <c r="O90" s="13">
        <v>12.8</v>
      </c>
      <c r="P90" s="13">
        <v>7</v>
      </c>
      <c r="Q90" s="13">
        <v>11.2</v>
      </c>
      <c r="R90" s="13">
        <v>2.98</v>
      </c>
      <c r="S90" s="13">
        <v>3</v>
      </c>
      <c r="T90" s="14">
        <f>N90+O90+P90+Q90+R90+S90</f>
        <v>67.100000000000009</v>
      </c>
      <c r="V90" s="15">
        <f>(((N90/45)*100)*H90)/$H$190</f>
        <v>0.25551353852536179</v>
      </c>
      <c r="W90" s="15">
        <f>(((O90/15)*100)*H90)/$H$190</f>
        <v>0.3257543120642063</v>
      </c>
      <c r="X90" s="49"/>
      <c r="Y90" s="15">
        <f>(T90*H90)/$H$190</f>
        <v>0.25614977741611222</v>
      </c>
    </row>
    <row r="91" spans="1:25" s="27" customFormat="1" x14ac:dyDescent="0.3">
      <c r="A91" s="27">
        <v>35</v>
      </c>
      <c r="B91" s="27">
        <v>3500</v>
      </c>
      <c r="C91" s="27">
        <v>1205</v>
      </c>
      <c r="D91" s="27" t="s">
        <v>33</v>
      </c>
      <c r="E91" s="27" t="s">
        <v>34</v>
      </c>
      <c r="F91" s="28">
        <v>84</v>
      </c>
      <c r="G91" s="28" t="s">
        <v>120</v>
      </c>
      <c r="H91" s="28">
        <v>1911</v>
      </c>
      <c r="I91" s="28">
        <v>1707.7021276595744</v>
      </c>
      <c r="J91" s="28">
        <v>203.29787234042553</v>
      </c>
      <c r="K91" s="28">
        <v>0</v>
      </c>
      <c r="L91" s="28">
        <v>0</v>
      </c>
      <c r="M91" s="28">
        <f t="shared" si="1"/>
        <v>1911</v>
      </c>
      <c r="N91" s="28">
        <v>34</v>
      </c>
      <c r="O91" s="28">
        <v>12.5</v>
      </c>
      <c r="P91" s="28">
        <v>4.74</v>
      </c>
      <c r="Q91" s="28">
        <v>8.1</v>
      </c>
      <c r="R91" s="28">
        <v>3.5</v>
      </c>
      <c r="S91" s="28">
        <v>4.4400000000000004</v>
      </c>
      <c r="T91" s="29">
        <f>N91+O91+P91+Q91+R91+S91</f>
        <v>67.28</v>
      </c>
      <c r="U91" s="5"/>
      <c r="V91" s="30">
        <f>(((N91/45)*100)*H91)/$H$190</f>
        <v>0.86392864550923043</v>
      </c>
      <c r="W91" s="30">
        <f>(((O91/15)*100)*H91)/$H$190</f>
        <v>0.95286247666459256</v>
      </c>
      <c r="X91" s="43"/>
      <c r="Y91" s="30">
        <f>(T91*H91)/$H$190</f>
        <v>0.76930304915992531</v>
      </c>
    </row>
    <row r="92" spans="1:25" x14ac:dyDescent="0.3">
      <c r="A92" s="5">
        <v>35</v>
      </c>
      <c r="B92" s="5">
        <v>3500</v>
      </c>
      <c r="C92" s="5">
        <v>1073</v>
      </c>
      <c r="D92" s="5" t="s">
        <v>33</v>
      </c>
      <c r="E92" s="5" t="s">
        <v>34</v>
      </c>
      <c r="F92" s="13">
        <v>85</v>
      </c>
      <c r="G92" s="13" t="s">
        <v>121</v>
      </c>
      <c r="H92" s="13">
        <v>1378</v>
      </c>
      <c r="I92" s="13">
        <v>64.911367298871937</v>
      </c>
      <c r="J92" s="13">
        <v>82.975517540597508</v>
      </c>
      <c r="K92" s="13">
        <v>871.99026899714886</v>
      </c>
      <c r="L92" s="13">
        <v>358.12284616338167</v>
      </c>
      <c r="M92" s="13">
        <f t="shared" si="1"/>
        <v>1378</v>
      </c>
      <c r="N92" s="13">
        <v>23.96</v>
      </c>
      <c r="O92" s="13">
        <v>9</v>
      </c>
      <c r="P92" s="13">
        <v>8.0500000000000007</v>
      </c>
      <c r="Q92" s="13">
        <v>11.19</v>
      </c>
      <c r="R92" s="13">
        <v>3.5</v>
      </c>
      <c r="S92" s="13">
        <v>7</v>
      </c>
      <c r="T92" s="14">
        <f>N92+O92+P92+Q92+R92+S92</f>
        <v>62.7</v>
      </c>
      <c r="V92" s="15">
        <f>(((N92/45)*100)*H92)/$H$190</f>
        <v>0.43900988729862411</v>
      </c>
      <c r="W92" s="15">
        <f>(((O92/15)*100)*H92)/$H$190</f>
        <v>0.49471064094586187</v>
      </c>
      <c r="X92" s="49"/>
      <c r="Y92" s="15">
        <f>(T92*H92)/$H$190</f>
        <v>0.51697261978842568</v>
      </c>
    </row>
    <row r="93" spans="1:25" s="32" customFormat="1" x14ac:dyDescent="0.3">
      <c r="A93" s="32">
        <v>35</v>
      </c>
      <c r="B93" s="32">
        <v>3500</v>
      </c>
      <c r="C93" s="32">
        <v>1074</v>
      </c>
      <c r="D93" s="32" t="s">
        <v>33</v>
      </c>
      <c r="E93" s="32" t="s">
        <v>34</v>
      </c>
      <c r="F93" s="33">
        <v>86</v>
      </c>
      <c r="G93" s="33" t="s">
        <v>122</v>
      </c>
      <c r="H93" s="33">
        <v>1763</v>
      </c>
      <c r="I93" s="33">
        <v>1396.4356435643565</v>
      </c>
      <c r="J93" s="33">
        <v>366.56435643564362</v>
      </c>
      <c r="K93" s="33">
        <v>0</v>
      </c>
      <c r="L93" s="33">
        <v>0</v>
      </c>
      <c r="M93" s="33">
        <f t="shared" si="1"/>
        <v>1763</v>
      </c>
      <c r="N93" s="33">
        <v>33.18</v>
      </c>
      <c r="O93" s="33">
        <v>14.47</v>
      </c>
      <c r="P93" s="33">
        <v>6.5</v>
      </c>
      <c r="Q93" s="33">
        <v>8</v>
      </c>
      <c r="R93" s="33">
        <v>3.3</v>
      </c>
      <c r="S93" s="33">
        <v>6.6</v>
      </c>
      <c r="T93" s="34">
        <f>N93+O93+P93+Q93+R93+S93</f>
        <v>72.05</v>
      </c>
      <c r="U93" s="5"/>
      <c r="V93" s="16">
        <f>(((N93/45)*100)*H93)/$H$190</f>
        <v>0.777798254431733</v>
      </c>
      <c r="W93" s="16">
        <f>(((O93/15)*100)*H93)/$H$190</f>
        <v>1.0176076619916072</v>
      </c>
      <c r="X93" s="50"/>
      <c r="Y93" s="15">
        <f>(T93*H93)/$H$190</f>
        <v>0.76004110621798859</v>
      </c>
    </row>
    <row r="94" spans="1:25" x14ac:dyDescent="0.3">
      <c r="A94" s="5">
        <v>35</v>
      </c>
      <c r="B94" s="5">
        <v>3500</v>
      </c>
      <c r="C94" s="5">
        <v>1075</v>
      </c>
      <c r="D94" s="5" t="s">
        <v>33</v>
      </c>
      <c r="E94" s="5" t="s">
        <v>34</v>
      </c>
      <c r="F94" s="13">
        <v>87</v>
      </c>
      <c r="G94" s="13" t="s">
        <v>123</v>
      </c>
      <c r="H94" s="13">
        <v>1637</v>
      </c>
      <c r="I94" s="13">
        <v>0</v>
      </c>
      <c r="J94" s="13">
        <v>1049.8152173913045</v>
      </c>
      <c r="K94" s="13">
        <v>587.18478260869563</v>
      </c>
      <c r="L94" s="13">
        <v>0</v>
      </c>
      <c r="M94" s="13">
        <f t="shared" si="1"/>
        <v>1637</v>
      </c>
      <c r="N94" s="13">
        <v>32</v>
      </c>
      <c r="O94" s="13">
        <v>12.5</v>
      </c>
      <c r="P94" s="13">
        <v>7.29</v>
      </c>
      <c r="Q94" s="13">
        <v>11.49</v>
      </c>
      <c r="R94" s="13">
        <v>4.03</v>
      </c>
      <c r="S94" s="13">
        <v>7.68</v>
      </c>
      <c r="T94" s="14">
        <f>N94+O94+P94+Q94+R94+S94</f>
        <v>74.990000000000009</v>
      </c>
      <c r="V94" s="15">
        <f>(((N94/45)*100)*H94)/$H$190</f>
        <v>0.69652535116131886</v>
      </c>
      <c r="W94" s="15">
        <f>(((O94/15)*100)*H94)/$H$190</f>
        <v>0.8162406458921706</v>
      </c>
      <c r="X94" s="49"/>
      <c r="Y94" s="15">
        <f>(T94*H94)/$H$190</f>
        <v>0.73451863242544646</v>
      </c>
    </row>
    <row r="95" spans="1:25" s="27" customFormat="1" x14ac:dyDescent="0.3">
      <c r="A95" s="27">
        <v>35</v>
      </c>
      <c r="B95" s="27">
        <v>3500</v>
      </c>
      <c r="C95" s="27">
        <v>1076</v>
      </c>
      <c r="D95" s="27" t="s">
        <v>33</v>
      </c>
      <c r="E95" s="27" t="s">
        <v>34</v>
      </c>
      <c r="F95" s="28">
        <v>88</v>
      </c>
      <c r="G95" s="28" t="s">
        <v>124</v>
      </c>
      <c r="H95" s="28">
        <v>1086</v>
      </c>
      <c r="I95" s="28">
        <v>276.82352941176475</v>
      </c>
      <c r="J95" s="28">
        <v>809.17647058823536</v>
      </c>
      <c r="K95" s="28">
        <v>0</v>
      </c>
      <c r="L95" s="28">
        <v>0</v>
      </c>
      <c r="M95" s="28">
        <f t="shared" si="1"/>
        <v>1086</v>
      </c>
      <c r="N95" s="28">
        <v>30</v>
      </c>
      <c r="O95" s="28">
        <v>13.42</v>
      </c>
      <c r="P95" s="28">
        <v>7.71</v>
      </c>
      <c r="Q95" s="28">
        <v>11.42</v>
      </c>
      <c r="R95" s="28">
        <v>3.88</v>
      </c>
      <c r="S95" s="28">
        <v>7.39</v>
      </c>
      <c r="T95" s="29">
        <f>N95+O95+P95+Q95+R95+S95</f>
        <v>73.820000000000007</v>
      </c>
      <c r="U95" s="5"/>
      <c r="V95" s="30">
        <f>(((N95/45)*100)*H95)/$H$190</f>
        <v>0.43320089990905164</v>
      </c>
      <c r="W95" s="30">
        <f>(((O95/15)*100)*H95)/$H$190</f>
        <v>0.58135560767794736</v>
      </c>
      <c r="X95" s="43"/>
      <c r="Y95" s="30">
        <f>(T95*H95)/$H$190</f>
        <v>0.479683356469293</v>
      </c>
    </row>
    <row r="96" spans="1:25" s="44" customFormat="1" x14ac:dyDescent="0.3">
      <c r="A96" s="44">
        <v>35</v>
      </c>
      <c r="B96" s="44">
        <v>3500</v>
      </c>
      <c r="C96" s="44">
        <v>1117</v>
      </c>
      <c r="D96" s="44" t="s">
        <v>33</v>
      </c>
      <c r="E96" s="44" t="s">
        <v>34</v>
      </c>
      <c r="F96" s="45">
        <v>89</v>
      </c>
      <c r="G96" s="45" t="s">
        <v>125</v>
      </c>
      <c r="H96" s="45">
        <v>1211</v>
      </c>
      <c r="I96" s="45">
        <v>468.32649253731347</v>
      </c>
      <c r="J96" s="45">
        <v>742.67350746268653</v>
      </c>
      <c r="K96" s="45">
        <v>0</v>
      </c>
      <c r="L96" s="45">
        <v>0</v>
      </c>
      <c r="M96" s="45">
        <f t="shared" si="1"/>
        <v>1211</v>
      </c>
      <c r="N96" s="45">
        <v>30.16</v>
      </c>
      <c r="O96" s="45">
        <v>14.3</v>
      </c>
      <c r="P96" s="45">
        <v>7</v>
      </c>
      <c r="Q96" s="45">
        <v>9.9499999999999993</v>
      </c>
      <c r="R96" s="45">
        <v>4.0999999999999996</v>
      </c>
      <c r="S96" s="45">
        <v>4.5999999999999996</v>
      </c>
      <c r="T96" s="46">
        <f>N96+O96+P96+Q96+R96+S96</f>
        <v>70.109999999999985</v>
      </c>
      <c r="U96" s="5"/>
      <c r="V96" s="47">
        <f>(((N96/45)*100)*H96)/$H$190</f>
        <v>0.48563921731314391</v>
      </c>
      <c r="W96" s="47">
        <f>(((O96/15)*100)*H96)/$H$190</f>
        <v>0.69077992117817888</v>
      </c>
      <c r="X96" s="48"/>
      <c r="Y96" s="15">
        <f>(T96*H96)/$H$190</f>
        <v>0.508013079795127</v>
      </c>
    </row>
    <row r="97" spans="1:25" s="27" customFormat="1" x14ac:dyDescent="0.3">
      <c r="A97" s="27">
        <v>35</v>
      </c>
      <c r="B97" s="27">
        <v>3500</v>
      </c>
      <c r="C97" s="27">
        <v>1118</v>
      </c>
      <c r="D97" s="27" t="s">
        <v>33</v>
      </c>
      <c r="E97" s="27" t="s">
        <v>34</v>
      </c>
      <c r="F97" s="28">
        <v>90</v>
      </c>
      <c r="G97" s="28" t="s">
        <v>126</v>
      </c>
      <c r="H97" s="28">
        <v>1470</v>
      </c>
      <c r="I97" s="28">
        <v>1058.4000000000001</v>
      </c>
      <c r="J97" s="28">
        <v>411.6</v>
      </c>
      <c r="K97" s="28">
        <v>0</v>
      </c>
      <c r="L97" s="28">
        <v>0</v>
      </c>
      <c r="M97" s="28">
        <f t="shared" si="1"/>
        <v>1470</v>
      </c>
      <c r="N97" s="28">
        <v>30</v>
      </c>
      <c r="O97" s="28">
        <v>11.24</v>
      </c>
      <c r="P97" s="28">
        <v>4.34</v>
      </c>
      <c r="Q97" s="28">
        <v>8.58</v>
      </c>
      <c r="R97" s="28">
        <v>2.9</v>
      </c>
      <c r="S97" s="28">
        <v>3.84</v>
      </c>
      <c r="T97" s="29">
        <f>N97+O97+P97+Q97+R97+S97</f>
        <v>60.899999999999991</v>
      </c>
      <c r="U97" s="5"/>
      <c r="V97" s="30">
        <f>(((N97/45)*100)*H97)/$H$190</f>
        <v>0.58637690871667214</v>
      </c>
      <c r="W97" s="30">
        <f>(((O97/15)*100)*H97)/$H$190</f>
        <v>0.6590876453975395</v>
      </c>
      <c r="X97" s="43"/>
      <c r="Y97" s="30">
        <f>(T97*H97)/$H$190</f>
        <v>0.53565530611267997</v>
      </c>
    </row>
    <row r="98" spans="1:25" x14ac:dyDescent="0.3">
      <c r="A98" s="5">
        <v>35</v>
      </c>
      <c r="B98" s="5">
        <v>3500</v>
      </c>
      <c r="C98" s="5">
        <v>1119</v>
      </c>
      <c r="D98" s="5" t="s">
        <v>33</v>
      </c>
      <c r="E98" s="5" t="s">
        <v>34</v>
      </c>
      <c r="F98" s="13">
        <v>91</v>
      </c>
      <c r="G98" s="13" t="s">
        <v>127</v>
      </c>
      <c r="H98" s="13">
        <v>1185</v>
      </c>
      <c r="I98" s="13">
        <v>0</v>
      </c>
      <c r="J98" s="13">
        <v>208.76677852348996</v>
      </c>
      <c r="K98" s="13">
        <v>949.06040268456388</v>
      </c>
      <c r="L98" s="13">
        <v>27.172818791946312</v>
      </c>
      <c r="M98" s="13">
        <f t="shared" si="1"/>
        <v>1185.0000000000002</v>
      </c>
      <c r="N98" s="13">
        <v>31.3</v>
      </c>
      <c r="O98" s="13">
        <v>11.77</v>
      </c>
      <c r="P98" s="13">
        <v>7</v>
      </c>
      <c r="Q98" s="13">
        <v>11.2</v>
      </c>
      <c r="R98" s="13">
        <v>4.0999999999999996</v>
      </c>
      <c r="S98" s="13">
        <v>4.5999999999999996</v>
      </c>
      <c r="T98" s="14">
        <f>N98+O98+P98+Q98+R98+S98</f>
        <v>69.969999999999985</v>
      </c>
      <c r="V98" s="15">
        <f>(((N98/45)*100)*H98)/$H$190</f>
        <v>0.49317489189922292</v>
      </c>
      <c r="W98" s="15">
        <f>(((O98/15)*100)*H98)/$H$190</f>
        <v>0.55635800105308508</v>
      </c>
      <c r="X98" s="49"/>
      <c r="Y98" s="15">
        <f>(T98*H98)/$H$190</f>
        <v>0.49611345794839873</v>
      </c>
    </row>
    <row r="99" spans="1:25" x14ac:dyDescent="0.3">
      <c r="A99" s="5">
        <v>35</v>
      </c>
      <c r="B99" s="5">
        <v>3500</v>
      </c>
      <c r="C99" s="5">
        <v>1114</v>
      </c>
      <c r="D99" s="5" t="s">
        <v>33</v>
      </c>
      <c r="E99" s="5" t="s">
        <v>34</v>
      </c>
      <c r="F99" s="13">
        <v>92</v>
      </c>
      <c r="G99" s="13" t="s">
        <v>128</v>
      </c>
      <c r="H99" s="13">
        <v>1055</v>
      </c>
      <c r="I99" s="13"/>
      <c r="J99" s="13">
        <v>419.91089108910893</v>
      </c>
      <c r="K99" s="13">
        <v>223.53465346534654</v>
      </c>
      <c r="L99" s="13">
        <v>411.55445544554459</v>
      </c>
      <c r="M99" s="13">
        <f t="shared" si="1"/>
        <v>1055</v>
      </c>
      <c r="N99" s="13">
        <v>25.83</v>
      </c>
      <c r="O99" s="13">
        <v>15</v>
      </c>
      <c r="P99" s="13">
        <v>4.8</v>
      </c>
      <c r="Q99" s="13">
        <v>9.6999999999999993</v>
      </c>
      <c r="R99" s="13">
        <v>2.98</v>
      </c>
      <c r="S99" s="13">
        <v>4.3600000000000003</v>
      </c>
      <c r="T99" s="14">
        <f>N99+O99+P99+Q99+R99+S99</f>
        <v>62.669999999999995</v>
      </c>
      <c r="V99" s="15">
        <f>(((N99/45)*100)*H99)/$H$190</f>
        <v>0.36233904552199514</v>
      </c>
      <c r="W99" s="15">
        <f>(((O99/15)*100)*H99)/$H$190</f>
        <v>0.63125269254702987</v>
      </c>
      <c r="X99" s="49"/>
      <c r="Y99" s="15">
        <f>(T99*H99)/$H$190</f>
        <v>0.39560606241922353</v>
      </c>
    </row>
    <row r="100" spans="1:25" x14ac:dyDescent="0.3">
      <c r="A100" s="5">
        <v>35</v>
      </c>
      <c r="B100" s="5">
        <v>3500</v>
      </c>
      <c r="C100" s="5">
        <v>1115</v>
      </c>
      <c r="D100" s="5" t="s">
        <v>33</v>
      </c>
      <c r="E100" s="5" t="s">
        <v>34</v>
      </c>
      <c r="F100" s="13">
        <v>93</v>
      </c>
      <c r="G100" s="13" t="s">
        <v>129</v>
      </c>
      <c r="H100" s="13">
        <v>1812</v>
      </c>
      <c r="I100" s="13">
        <v>0</v>
      </c>
      <c r="J100" s="13">
        <v>906</v>
      </c>
      <c r="K100" s="13">
        <v>703.595744680851</v>
      </c>
      <c r="L100" s="13">
        <v>202.40425531914892</v>
      </c>
      <c r="M100" s="13">
        <f t="shared" si="1"/>
        <v>1812</v>
      </c>
      <c r="N100" s="13">
        <v>30.8</v>
      </c>
      <c r="O100" s="13">
        <v>14.34</v>
      </c>
      <c r="P100" s="13">
        <v>7.3</v>
      </c>
      <c r="Q100" s="13">
        <v>11.16</v>
      </c>
      <c r="R100" s="13">
        <v>4.03</v>
      </c>
      <c r="S100" s="13">
        <v>7.59</v>
      </c>
      <c r="T100" s="14">
        <f>N100+O100+P100+Q100+R100+S100</f>
        <v>75.22</v>
      </c>
      <c r="V100" s="15">
        <f>(((N100/45)*100)*H100)/$H$190</f>
        <v>0.74207393933591814</v>
      </c>
      <c r="W100" s="15">
        <f>(((O100/15)*100)*H100)/$H$190</f>
        <v>1.0364941840984154</v>
      </c>
      <c r="X100" s="49"/>
      <c r="Y100" s="15">
        <f>(T100*H100)/$H$190</f>
        <v>0.81553444066823022</v>
      </c>
    </row>
    <row r="101" spans="1:25" x14ac:dyDescent="0.3">
      <c r="A101" s="5">
        <v>35</v>
      </c>
      <c r="B101" s="5">
        <v>3500</v>
      </c>
      <c r="C101" s="5">
        <v>1116</v>
      </c>
      <c r="D101" s="5" t="s">
        <v>33</v>
      </c>
      <c r="E101" s="5" t="s">
        <v>34</v>
      </c>
      <c r="F101" s="13">
        <v>94</v>
      </c>
      <c r="G101" s="13" t="s">
        <v>130</v>
      </c>
      <c r="H101" s="13">
        <v>1182</v>
      </c>
      <c r="I101" s="13">
        <v>0</v>
      </c>
      <c r="J101" s="13">
        <v>402.65934065934067</v>
      </c>
      <c r="K101" s="13">
        <v>662.43956043956041</v>
      </c>
      <c r="L101" s="13">
        <v>116.90109890109892</v>
      </c>
      <c r="M101" s="13">
        <f t="shared" si="1"/>
        <v>1182</v>
      </c>
      <c r="N101" s="13">
        <v>27.41</v>
      </c>
      <c r="O101" s="13">
        <v>13.17</v>
      </c>
      <c r="P101" s="13">
        <v>7.74</v>
      </c>
      <c r="Q101" s="13">
        <v>11.45</v>
      </c>
      <c r="R101" s="13">
        <v>3.8</v>
      </c>
      <c r="S101" s="13">
        <v>7.84</v>
      </c>
      <c r="T101" s="14">
        <f>N101+O101+P101+Q101+R101+S101</f>
        <v>71.41</v>
      </c>
      <c r="V101" s="15">
        <f>(((N101/45)*100)*H101)/$H$190</f>
        <v>0.43078917556204438</v>
      </c>
      <c r="W101" s="15">
        <f>(((O101/15)*100)*H101)/$H$190</f>
        <v>0.62095878608013011</v>
      </c>
      <c r="X101" s="49"/>
      <c r="Y101" s="15">
        <f>(T101*H101)/$H$190</f>
        <v>0.50504176439615145</v>
      </c>
    </row>
    <row r="102" spans="1:25" x14ac:dyDescent="0.3">
      <c r="F102" s="13"/>
      <c r="G102" s="17" t="s">
        <v>131</v>
      </c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4"/>
      <c r="V102" s="15">
        <f>(((N102/45)*100)*H102)/$H$190</f>
        <v>0</v>
      </c>
      <c r="W102" s="15">
        <f>(((O102/15)*100)*H102)/$H$190</f>
        <v>0</v>
      </c>
      <c r="X102" s="42">
        <f>SUM(W103:W174)</f>
        <v>35.589615544173718</v>
      </c>
      <c r="Y102" s="15">
        <f>(T102*H102)/$H$190</f>
        <v>0</v>
      </c>
    </row>
    <row r="103" spans="1:25" x14ac:dyDescent="0.3">
      <c r="A103" s="5">
        <v>35</v>
      </c>
      <c r="B103" s="5">
        <v>3500</v>
      </c>
      <c r="C103" s="5">
        <v>1206</v>
      </c>
      <c r="D103" s="5" t="s">
        <v>33</v>
      </c>
      <c r="E103" s="5" t="s">
        <v>34</v>
      </c>
      <c r="F103" s="13">
        <v>95</v>
      </c>
      <c r="G103" s="13" t="s">
        <v>132</v>
      </c>
      <c r="H103" s="13">
        <v>1232</v>
      </c>
      <c r="I103" s="13">
        <v>1232</v>
      </c>
      <c r="J103" s="13">
        <v>0</v>
      </c>
      <c r="K103" s="13">
        <v>0</v>
      </c>
      <c r="L103" s="13">
        <v>0</v>
      </c>
      <c r="M103" s="13">
        <f t="shared" ref="M103:M158" si="2">SUM(I103:L103)</f>
        <v>1232</v>
      </c>
      <c r="N103" s="13">
        <v>27.63</v>
      </c>
      <c r="O103" s="13">
        <v>11.6</v>
      </c>
      <c r="P103" s="13">
        <v>3</v>
      </c>
      <c r="Q103" s="13">
        <v>4.5</v>
      </c>
      <c r="R103" s="13">
        <v>1.9</v>
      </c>
      <c r="S103" s="13">
        <v>3</v>
      </c>
      <c r="T103" s="14">
        <f>N103+O103+P103+Q103+R103+S103</f>
        <v>51.629999999999995</v>
      </c>
      <c r="V103" s="15">
        <f>(((N103/45)*100)*H103)/$H$190</f>
        <v>0.45261595902541768</v>
      </c>
      <c r="W103" s="15">
        <f>(((O103/15)*100)*H103)/$H$190</f>
        <v>0.5700700461123609</v>
      </c>
      <c r="X103" s="49"/>
      <c r="Y103" s="15">
        <f>(T103*H103)/$H$190</f>
        <v>0.38059547173423958</v>
      </c>
    </row>
    <row r="104" spans="1:25" x14ac:dyDescent="0.3">
      <c r="A104" s="5">
        <v>35</v>
      </c>
      <c r="B104" s="5">
        <v>3500</v>
      </c>
      <c r="C104" s="5">
        <v>1207</v>
      </c>
      <c r="D104" s="5" t="s">
        <v>33</v>
      </c>
      <c r="E104" s="5" t="s">
        <v>34</v>
      </c>
      <c r="F104" s="13">
        <v>96</v>
      </c>
      <c r="G104" s="13" t="s">
        <v>133</v>
      </c>
      <c r="H104" s="13">
        <v>50</v>
      </c>
      <c r="I104" s="13">
        <v>0</v>
      </c>
      <c r="J104" s="13">
        <v>0</v>
      </c>
      <c r="K104" s="13">
        <v>10</v>
      </c>
      <c r="L104" s="13">
        <v>40</v>
      </c>
      <c r="M104" s="13">
        <f t="shared" si="2"/>
        <v>50</v>
      </c>
      <c r="N104" s="13">
        <v>12.03</v>
      </c>
      <c r="O104" s="13">
        <v>9.94</v>
      </c>
      <c r="P104" s="13">
        <v>6.8</v>
      </c>
      <c r="Q104" s="13">
        <v>11.39</v>
      </c>
      <c r="R104" s="13">
        <v>3.4</v>
      </c>
      <c r="S104" s="13">
        <v>4.97</v>
      </c>
      <c r="T104" s="14">
        <f>N104+O104+P104+Q104+R104+S104</f>
        <v>48.529999999999994</v>
      </c>
      <c r="V104" s="15">
        <f>(((N104/45)*100)*H104)/$H$190</f>
        <v>7.9978619182103933E-3</v>
      </c>
      <c r="W104" s="15">
        <f>(((O104/15)*100)*H104)/$H$190</f>
        <v>1.9825124056611302E-2</v>
      </c>
      <c r="X104" s="49"/>
      <c r="Y104" s="15">
        <f>(T104*H104)/$H$190</f>
        <v>1.4518811928581683E-2</v>
      </c>
    </row>
    <row r="105" spans="1:25" x14ac:dyDescent="0.3">
      <c r="A105" s="5">
        <v>35</v>
      </c>
      <c r="B105" s="5">
        <v>3500</v>
      </c>
      <c r="C105" s="5">
        <v>1208</v>
      </c>
      <c r="D105" s="5" t="s">
        <v>33</v>
      </c>
      <c r="E105" s="5" t="s">
        <v>34</v>
      </c>
      <c r="F105" s="13">
        <v>97</v>
      </c>
      <c r="G105" s="13" t="s">
        <v>134</v>
      </c>
      <c r="H105" s="13">
        <v>1155</v>
      </c>
      <c r="I105" s="13">
        <v>0</v>
      </c>
      <c r="J105" s="13">
        <v>0</v>
      </c>
      <c r="K105" s="13">
        <v>245</v>
      </c>
      <c r="L105" s="13">
        <v>910</v>
      </c>
      <c r="M105" s="13">
        <f t="shared" si="2"/>
        <v>1155</v>
      </c>
      <c r="N105" s="13">
        <v>20.7</v>
      </c>
      <c r="O105" s="13">
        <v>11.44</v>
      </c>
      <c r="P105" s="13">
        <v>5.2</v>
      </c>
      <c r="Q105" s="13">
        <v>9.8000000000000007</v>
      </c>
      <c r="R105" s="13">
        <v>3.58</v>
      </c>
      <c r="S105" s="13">
        <v>5.56</v>
      </c>
      <c r="T105" s="14">
        <f>N105+O105+P105+Q105+R105+S105</f>
        <v>56.28</v>
      </c>
      <c r="V105" s="15">
        <f>(((N105/45)*100)*H105)/$H$190</f>
        <v>0.31790005265425303</v>
      </c>
      <c r="W105" s="15">
        <f>(((O105/15)*100)*H105)/$H$190</f>
        <v>0.52706907280647164</v>
      </c>
      <c r="X105" s="49"/>
      <c r="Y105" s="15">
        <f>(T105*H105)/$H$190</f>
        <v>0.38894380355176872</v>
      </c>
    </row>
    <row r="106" spans="1:25" x14ac:dyDescent="0.3">
      <c r="A106" s="5">
        <v>35</v>
      </c>
      <c r="B106" s="5">
        <v>3500</v>
      </c>
      <c r="C106" s="5">
        <v>1209</v>
      </c>
      <c r="D106" s="5" t="s">
        <v>33</v>
      </c>
      <c r="E106" s="5" t="s">
        <v>34</v>
      </c>
      <c r="F106" s="13">
        <v>98</v>
      </c>
      <c r="G106" s="13" t="s">
        <v>135</v>
      </c>
      <c r="H106" s="13">
        <v>422</v>
      </c>
      <c r="I106" s="13">
        <v>0</v>
      </c>
      <c r="J106" s="13">
        <v>74.470588235294116</v>
      </c>
      <c r="K106" s="13">
        <v>248.23529411764707</v>
      </c>
      <c r="L106" s="13">
        <v>99.294117647058826</v>
      </c>
      <c r="M106" s="13">
        <f t="shared" si="2"/>
        <v>422.00000000000006</v>
      </c>
      <c r="N106" s="13">
        <v>22.5</v>
      </c>
      <c r="O106" s="13">
        <v>6.58</v>
      </c>
      <c r="P106" s="13">
        <v>5.08</v>
      </c>
      <c r="Q106" s="13">
        <v>9.08</v>
      </c>
      <c r="R106" s="13">
        <v>3.65</v>
      </c>
      <c r="S106" s="13">
        <v>7.6</v>
      </c>
      <c r="T106" s="14">
        <f>N106+O106+P106+Q106+R106+S106</f>
        <v>54.489999999999995</v>
      </c>
      <c r="V106" s="15">
        <f>(((N106/45)*100)*H106)/$H$190</f>
        <v>0.12625053850940596</v>
      </c>
      <c r="W106" s="15">
        <f>(((O106/15)*100)*H106)/$H$190</f>
        <v>0.11076380578558551</v>
      </c>
      <c r="X106" s="49"/>
      <c r="Y106" s="15">
        <f>(T106*H106)/$H$190</f>
        <v>0.13758783686755061</v>
      </c>
    </row>
    <row r="107" spans="1:25" s="32" customFormat="1" x14ac:dyDescent="0.3">
      <c r="A107" s="32">
        <v>35</v>
      </c>
      <c r="B107" s="32">
        <v>3500</v>
      </c>
      <c r="C107" s="32">
        <v>1210</v>
      </c>
      <c r="D107" s="32" t="s">
        <v>33</v>
      </c>
      <c r="E107" s="32" t="s">
        <v>34</v>
      </c>
      <c r="F107" s="33">
        <v>99</v>
      </c>
      <c r="G107" s="33" t="s">
        <v>136</v>
      </c>
      <c r="H107" s="33">
        <v>194</v>
      </c>
      <c r="I107" s="33">
        <v>194</v>
      </c>
      <c r="J107" s="33">
        <v>0</v>
      </c>
      <c r="K107" s="33">
        <v>0</v>
      </c>
      <c r="L107" s="33">
        <v>0</v>
      </c>
      <c r="M107" s="33">
        <f t="shared" si="2"/>
        <v>194</v>
      </c>
      <c r="N107" s="33">
        <v>32.479999999999997</v>
      </c>
      <c r="O107" s="33">
        <v>10.26</v>
      </c>
      <c r="P107" s="33">
        <v>5.6</v>
      </c>
      <c r="Q107" s="33">
        <v>9.2200000000000006</v>
      </c>
      <c r="R107" s="33">
        <v>3.5</v>
      </c>
      <c r="S107" s="33">
        <v>5.8</v>
      </c>
      <c r="T107" s="34">
        <f>N107+O107+P107+Q107+R107+S107</f>
        <v>66.86</v>
      </c>
      <c r="U107" s="5"/>
      <c r="V107" s="16">
        <f>(((N107/45)*100)*H107)/$H$190</f>
        <v>8.3783021928634877E-2</v>
      </c>
      <c r="W107" s="16">
        <f>(((O107/15)*100)*H107)/$H$190</f>
        <v>7.9397826815375036E-2</v>
      </c>
      <c r="X107" s="50"/>
      <c r="Y107" s="15">
        <f>(T107*H107)/$H$190</f>
        <v>7.7610214925087365E-2</v>
      </c>
    </row>
    <row r="108" spans="1:25" x14ac:dyDescent="0.3">
      <c r="A108" s="5">
        <v>35</v>
      </c>
      <c r="B108" s="5">
        <v>3500</v>
      </c>
      <c r="C108" s="5">
        <v>1211</v>
      </c>
      <c r="D108" s="5" t="s">
        <v>33</v>
      </c>
      <c r="E108" s="5" t="s">
        <v>34</v>
      </c>
      <c r="F108" s="13">
        <v>100</v>
      </c>
      <c r="G108" s="13" t="s">
        <v>137</v>
      </c>
      <c r="H108" s="13">
        <v>684</v>
      </c>
      <c r="I108" s="13">
        <v>629.28</v>
      </c>
      <c r="J108" s="13">
        <v>54.72</v>
      </c>
      <c r="K108" s="13">
        <v>0</v>
      </c>
      <c r="L108" s="13">
        <v>0</v>
      </c>
      <c r="M108" s="13">
        <f t="shared" si="2"/>
        <v>684</v>
      </c>
      <c r="N108" s="13">
        <v>32.549999999999997</v>
      </c>
      <c r="O108" s="13">
        <v>12.16</v>
      </c>
      <c r="P108" s="13">
        <v>5.14</v>
      </c>
      <c r="Q108" s="13">
        <v>7.1</v>
      </c>
      <c r="R108" s="13">
        <v>3.2</v>
      </c>
      <c r="S108" s="13">
        <v>6.64</v>
      </c>
      <c r="T108" s="14">
        <f>N108+O108+P108+Q108+R108+S108</f>
        <v>66.789999999999992</v>
      </c>
      <c r="V108" s="15">
        <f>(((N108/45)*100)*H108)/$H$190</f>
        <v>0.29603657077210282</v>
      </c>
      <c r="W108" s="15">
        <f>(((O108/15)*100)*H108)/$H$190</f>
        <v>0.331779235077306</v>
      </c>
      <c r="X108" s="49"/>
      <c r="Y108" s="15">
        <f>(T108*H108)/$H$190</f>
        <v>0.27334952850509786</v>
      </c>
    </row>
    <row r="109" spans="1:25" x14ac:dyDescent="0.3">
      <c r="A109" s="5">
        <v>35</v>
      </c>
      <c r="B109" s="5">
        <v>3500</v>
      </c>
      <c r="C109" s="5">
        <v>1212</v>
      </c>
      <c r="D109" s="5" t="s">
        <v>33</v>
      </c>
      <c r="E109" s="5" t="s">
        <v>34</v>
      </c>
      <c r="F109" s="13">
        <v>101</v>
      </c>
      <c r="G109" s="13" t="s">
        <v>138</v>
      </c>
      <c r="H109" s="13">
        <v>461</v>
      </c>
      <c r="I109" s="13">
        <v>0</v>
      </c>
      <c r="J109" s="13">
        <v>0</v>
      </c>
      <c r="K109" s="13">
        <v>461</v>
      </c>
      <c r="L109" s="13">
        <v>0</v>
      </c>
      <c r="M109" s="13">
        <f t="shared" si="2"/>
        <v>461</v>
      </c>
      <c r="N109" s="13">
        <v>29.73</v>
      </c>
      <c r="O109" s="13">
        <v>10.18</v>
      </c>
      <c r="P109" s="13">
        <v>7.71</v>
      </c>
      <c r="Q109" s="13">
        <v>10.25</v>
      </c>
      <c r="R109" s="13">
        <v>3.5</v>
      </c>
      <c r="S109" s="13">
        <v>7.15</v>
      </c>
      <c r="T109" s="14">
        <f>N109+O109+P109+Q109+R109+S109</f>
        <v>68.52</v>
      </c>
      <c r="V109" s="15">
        <f>(((N109/45)*100)*H109)/$H$190</f>
        <v>0.18223597083273496</v>
      </c>
      <c r="W109" s="15">
        <f>(((O109/15)*100)*H109)/$H$190</f>
        <v>0.18720102755572574</v>
      </c>
      <c r="X109" s="49"/>
      <c r="Y109" s="15">
        <f>(T109*H109)/$H$190</f>
        <v>0.18900315925518163</v>
      </c>
    </row>
    <row r="110" spans="1:25" x14ac:dyDescent="0.3">
      <c r="A110" s="5">
        <v>35</v>
      </c>
      <c r="B110" s="5">
        <v>3500</v>
      </c>
      <c r="C110" s="5">
        <v>1213</v>
      </c>
      <c r="D110" s="5" t="s">
        <v>33</v>
      </c>
      <c r="E110" s="5" t="s">
        <v>34</v>
      </c>
      <c r="F110" s="13">
        <v>102</v>
      </c>
      <c r="G110" s="13" t="s">
        <v>139</v>
      </c>
      <c r="H110" s="13">
        <v>1554</v>
      </c>
      <c r="I110" s="13">
        <v>1312.8620689655172</v>
      </c>
      <c r="J110" s="13">
        <v>241.13793103448276</v>
      </c>
      <c r="K110" s="13">
        <v>0</v>
      </c>
      <c r="L110" s="13">
        <v>0</v>
      </c>
      <c r="M110" s="13">
        <f t="shared" si="2"/>
        <v>1554</v>
      </c>
      <c r="N110" s="13">
        <v>32.68</v>
      </c>
      <c r="O110" s="13">
        <v>10.130000000000001</v>
      </c>
      <c r="P110" s="13">
        <v>7.69</v>
      </c>
      <c r="Q110" s="13">
        <v>11.18</v>
      </c>
      <c r="R110" s="13">
        <v>3.5</v>
      </c>
      <c r="S110" s="13">
        <v>8.2799999999999994</v>
      </c>
      <c r="T110" s="14">
        <f>N110+O110+P110+Q110+R110+S110</f>
        <v>73.460000000000008</v>
      </c>
      <c r="V110" s="15">
        <f>(((N110/45)*100)*H110)/$H$190</f>
        <v>0.67526047899414421</v>
      </c>
      <c r="W110" s="15">
        <f>(((O110/15)*100)*H110)/$H$190</f>
        <v>0.62794265473170263</v>
      </c>
      <c r="X110" s="49"/>
      <c r="Y110" s="15">
        <f>(T110*H110)/$H$190</f>
        <v>0.68305035661289559</v>
      </c>
    </row>
    <row r="111" spans="1:25" x14ac:dyDescent="0.3">
      <c r="A111" s="5">
        <v>35</v>
      </c>
      <c r="B111" s="5">
        <v>3500</v>
      </c>
      <c r="C111" s="5">
        <v>1214</v>
      </c>
      <c r="D111" s="5" t="s">
        <v>33</v>
      </c>
      <c r="E111" s="5" t="s">
        <v>34</v>
      </c>
      <c r="F111" s="13">
        <v>103</v>
      </c>
      <c r="G111" s="13" t="s">
        <v>140</v>
      </c>
      <c r="H111" s="13">
        <v>745</v>
      </c>
      <c r="I111" s="13">
        <v>0</v>
      </c>
      <c r="J111" s="13">
        <v>394.41176470588238</v>
      </c>
      <c r="K111" s="13">
        <v>284.85294117647055</v>
      </c>
      <c r="L111" s="13">
        <v>65.735294117647058</v>
      </c>
      <c r="M111" s="13">
        <f t="shared" si="2"/>
        <v>745</v>
      </c>
      <c r="N111" s="13">
        <v>28.63</v>
      </c>
      <c r="O111" s="13">
        <v>10.16</v>
      </c>
      <c r="P111" s="13">
        <v>5.34</v>
      </c>
      <c r="Q111" s="13">
        <v>11.53</v>
      </c>
      <c r="R111" s="13">
        <v>4.0999999999999996</v>
      </c>
      <c r="S111" s="13">
        <v>7</v>
      </c>
      <c r="T111" s="14">
        <f>N111+O111+P111+Q111+R111+S111</f>
        <v>66.759999999999991</v>
      </c>
      <c r="V111" s="15">
        <f>(((N111/45)*100)*H111)/$H$190</f>
        <v>0.28360631106430739</v>
      </c>
      <c r="W111" s="15">
        <f>(((O111/15)*100)*H111)/$H$190</f>
        <v>0.30193225152777114</v>
      </c>
      <c r="X111" s="49"/>
      <c r="Y111" s="15">
        <f>(T111*H111)/$H$190</f>
        <v>0.29759346129912395</v>
      </c>
    </row>
    <row r="112" spans="1:25" x14ac:dyDescent="0.3">
      <c r="A112" s="5">
        <v>35</v>
      </c>
      <c r="B112" s="5">
        <v>3500</v>
      </c>
      <c r="C112" s="5">
        <v>1215</v>
      </c>
      <c r="D112" s="5" t="s">
        <v>33</v>
      </c>
      <c r="E112" s="5" t="s">
        <v>34</v>
      </c>
      <c r="F112" s="13">
        <v>104</v>
      </c>
      <c r="G112" s="13" t="s">
        <v>141</v>
      </c>
      <c r="H112" s="13">
        <v>230</v>
      </c>
      <c r="I112" s="13">
        <v>0</v>
      </c>
      <c r="J112" s="13">
        <v>46.605263157894733</v>
      </c>
      <c r="K112" s="13">
        <v>106.52631578947368</v>
      </c>
      <c r="L112" s="13">
        <v>76.868421052631575</v>
      </c>
      <c r="M112" s="13">
        <f t="shared" si="2"/>
        <v>230</v>
      </c>
      <c r="N112" s="13">
        <v>26.37</v>
      </c>
      <c r="O112" s="13">
        <v>13.38</v>
      </c>
      <c r="P112" s="13">
        <v>4.25</v>
      </c>
      <c r="Q112" s="13">
        <v>12.11</v>
      </c>
      <c r="R112" s="13">
        <v>4.25</v>
      </c>
      <c r="S112" s="13">
        <v>7.38</v>
      </c>
      <c r="T112" s="14">
        <f>N112+O112+P112+Q112+R112+S112</f>
        <v>67.739999999999995</v>
      </c>
      <c r="V112" s="15">
        <f>(((N112/45)*100)*H112)/$H$190</f>
        <v>8.0644775262074586E-2</v>
      </c>
      <c r="W112" s="15">
        <f>(((O112/15)*100)*H112)/$H$190</f>
        <v>0.12275621080848212</v>
      </c>
      <c r="X112" s="49"/>
      <c r="Y112" s="15">
        <f>(T112*H112)/$H$190</f>
        <v>9.3223158297831593E-2</v>
      </c>
    </row>
    <row r="113" spans="1:25" x14ac:dyDescent="0.3">
      <c r="A113" s="5">
        <v>35</v>
      </c>
      <c r="B113" s="5">
        <v>3500</v>
      </c>
      <c r="C113" s="5">
        <v>122205</v>
      </c>
      <c r="D113" s="5" t="s">
        <v>33</v>
      </c>
      <c r="E113" s="5" t="s">
        <v>34</v>
      </c>
      <c r="F113" s="13">
        <v>105</v>
      </c>
      <c r="G113" s="13" t="s">
        <v>142</v>
      </c>
      <c r="H113" s="13">
        <v>367</v>
      </c>
      <c r="I113" s="13">
        <v>0</v>
      </c>
      <c r="J113" s="13">
        <v>0</v>
      </c>
      <c r="K113" s="13">
        <v>273.11627906976742</v>
      </c>
      <c r="L113" s="13">
        <v>93.883720930232556</v>
      </c>
      <c r="M113" s="13">
        <f t="shared" si="2"/>
        <v>367</v>
      </c>
      <c r="N113" s="13">
        <v>20.94</v>
      </c>
      <c r="O113" s="13">
        <v>11.4</v>
      </c>
      <c r="P113" s="13">
        <v>7</v>
      </c>
      <c r="Q113" s="13">
        <v>12.63</v>
      </c>
      <c r="R113" s="13">
        <v>3.5</v>
      </c>
      <c r="S113" s="13">
        <v>3</v>
      </c>
      <c r="T113" s="14">
        <f>N113+O113+P113+Q113+R113+S113</f>
        <v>58.470000000000006</v>
      </c>
      <c r="V113" s="15">
        <f>(((N113/45)*100)*H113)/$H$190</f>
        <v>0.10218355591722113</v>
      </c>
      <c r="W113" s="15">
        <f>(((O113/15)*100)*H113)/$H$190</f>
        <v>0.16689004834617777</v>
      </c>
      <c r="X113" s="49"/>
      <c r="Y113" s="15">
        <f>(T113*H113)/$H$190</f>
        <v>0.12839554114211862</v>
      </c>
    </row>
    <row r="114" spans="1:25" x14ac:dyDescent="0.3">
      <c r="A114" s="5">
        <v>35</v>
      </c>
      <c r="B114" s="5">
        <v>3500</v>
      </c>
      <c r="C114" s="5">
        <v>1217</v>
      </c>
      <c r="D114" s="5" t="s">
        <v>33</v>
      </c>
      <c r="E114" s="5" t="s">
        <v>34</v>
      </c>
      <c r="F114" s="13">
        <v>106</v>
      </c>
      <c r="G114" s="13" t="s">
        <v>143</v>
      </c>
      <c r="H114" s="13">
        <v>215</v>
      </c>
      <c r="I114" s="13">
        <v>0</v>
      </c>
      <c r="J114" s="13">
        <v>51.19047619047619</v>
      </c>
      <c r="K114" s="13">
        <v>56.30952380952381</v>
      </c>
      <c r="L114" s="13">
        <v>107.5</v>
      </c>
      <c r="M114" s="13">
        <f t="shared" si="2"/>
        <v>215</v>
      </c>
      <c r="N114" s="13">
        <v>25.35</v>
      </c>
      <c r="O114" s="13">
        <v>5.77</v>
      </c>
      <c r="P114" s="13">
        <v>7</v>
      </c>
      <c r="Q114" s="13">
        <v>12.27</v>
      </c>
      <c r="R114" s="13">
        <v>3.5</v>
      </c>
      <c r="S114" s="13">
        <v>7</v>
      </c>
      <c r="T114" s="14">
        <f>N114+O114+P114+Q114+R114+S114</f>
        <v>60.89</v>
      </c>
      <c r="V114" s="15">
        <f>(((N114/45)*100)*H114)/$H$190</f>
        <v>7.2469404687824104E-2</v>
      </c>
      <c r="W114" s="15">
        <f>(((O114/15)*100)*H114)/$H$190</f>
        <v>4.9485025449555631E-2</v>
      </c>
      <c r="X114" s="49"/>
      <c r="Y114" s="15">
        <f>(T114*H114)/$H$190</f>
        <v>7.8331279019673544E-2</v>
      </c>
    </row>
    <row r="115" spans="1:25" x14ac:dyDescent="0.3">
      <c r="A115" s="5">
        <v>35</v>
      </c>
      <c r="B115" s="5">
        <v>3500</v>
      </c>
      <c r="C115" s="5">
        <v>1218</v>
      </c>
      <c r="D115" s="5" t="s">
        <v>33</v>
      </c>
      <c r="E115" s="5" t="s">
        <v>34</v>
      </c>
      <c r="F115" s="13">
        <v>107</v>
      </c>
      <c r="G115" s="13" t="s">
        <v>144</v>
      </c>
      <c r="H115" s="13">
        <v>165</v>
      </c>
      <c r="I115" s="13">
        <v>0</v>
      </c>
      <c r="J115" s="13">
        <v>5.6896551724137927</v>
      </c>
      <c r="K115" s="13">
        <v>136.55172413793105</v>
      </c>
      <c r="L115" s="13">
        <v>22.758620689655171</v>
      </c>
      <c r="M115" s="13">
        <f t="shared" si="2"/>
        <v>165</v>
      </c>
      <c r="N115" s="13">
        <v>20.22</v>
      </c>
      <c r="O115" s="13">
        <v>11.76</v>
      </c>
      <c r="P115" s="13">
        <v>7</v>
      </c>
      <c r="Q115" s="13">
        <v>12.63</v>
      </c>
      <c r="R115" s="13">
        <v>3.5</v>
      </c>
      <c r="S115" s="13">
        <v>7</v>
      </c>
      <c r="T115" s="14">
        <f>N115+O115+P115+Q115+R115+S115</f>
        <v>62.11</v>
      </c>
      <c r="V115" s="15">
        <f>(((N115/45)*100)*H115)/$H$190</f>
        <v>4.4361208175769468E-2</v>
      </c>
      <c r="W115" s="15">
        <f>(((O115/15)*100)*H115)/$H$190</f>
        <v>7.7401751950600742E-2</v>
      </c>
      <c r="X115" s="49"/>
      <c r="Y115" s="15">
        <f>(T115*H115)/$H$190</f>
        <v>6.131916854147719E-2</v>
      </c>
    </row>
    <row r="116" spans="1:25" x14ac:dyDescent="0.3">
      <c r="A116" s="5">
        <v>35</v>
      </c>
      <c r="B116" s="5">
        <v>3500</v>
      </c>
      <c r="C116" s="5">
        <v>1219</v>
      </c>
      <c r="D116" s="5" t="s">
        <v>33</v>
      </c>
      <c r="E116" s="5" t="s">
        <v>34</v>
      </c>
      <c r="F116" s="13">
        <v>108</v>
      </c>
      <c r="G116" s="13" t="s">
        <v>145</v>
      </c>
      <c r="H116" s="13">
        <v>629</v>
      </c>
      <c r="I116" s="13">
        <v>17.971428571428572</v>
      </c>
      <c r="J116" s="13">
        <v>35.942857142857143</v>
      </c>
      <c r="K116" s="13">
        <v>287.54285714285714</v>
      </c>
      <c r="L116" s="13">
        <v>287.54285714285714</v>
      </c>
      <c r="M116" s="13">
        <f t="shared" si="2"/>
        <v>629</v>
      </c>
      <c r="N116" s="13">
        <v>19.66</v>
      </c>
      <c r="O116" s="13">
        <v>7.1</v>
      </c>
      <c r="P116" s="13">
        <v>5.75</v>
      </c>
      <c r="Q116" s="13">
        <v>10.050000000000001</v>
      </c>
      <c r="R116" s="13">
        <v>4.03</v>
      </c>
      <c r="S116" s="13">
        <v>7</v>
      </c>
      <c r="T116" s="14">
        <f>N116+O116+P116+Q116+R116+S116</f>
        <v>53.59</v>
      </c>
      <c r="V116" s="15">
        <f>(((N116/45)*100)*H116)/$H$190</f>
        <v>0.16442673346842607</v>
      </c>
      <c r="W116" s="15">
        <f>(((O116/15)*100)*H116)/$H$190</f>
        <v>0.17814290045155012</v>
      </c>
      <c r="X116" s="49"/>
      <c r="Y116" s="15">
        <f>(T116*H116)/$H$190</f>
        <v>0.20169038102532191</v>
      </c>
    </row>
    <row r="117" spans="1:25" s="44" customFormat="1" x14ac:dyDescent="0.3">
      <c r="A117" s="44">
        <v>35</v>
      </c>
      <c r="B117" s="44">
        <v>3500</v>
      </c>
      <c r="C117" s="44">
        <v>1220</v>
      </c>
      <c r="D117" s="44" t="s">
        <v>33</v>
      </c>
      <c r="E117" s="44" t="s">
        <v>34</v>
      </c>
      <c r="F117" s="45">
        <v>109</v>
      </c>
      <c r="G117" s="45" t="s">
        <v>146</v>
      </c>
      <c r="H117" s="45">
        <v>2340</v>
      </c>
      <c r="I117" s="45">
        <v>2246.4</v>
      </c>
      <c r="J117" s="45">
        <v>93.600000000000009</v>
      </c>
      <c r="K117" s="45">
        <v>0</v>
      </c>
      <c r="L117" s="45">
        <v>0</v>
      </c>
      <c r="M117" s="45">
        <f t="shared" si="2"/>
        <v>2340</v>
      </c>
      <c r="N117" s="45">
        <v>32.71</v>
      </c>
      <c r="O117" s="45">
        <v>11.26</v>
      </c>
      <c r="P117" s="45">
        <v>4</v>
      </c>
      <c r="Q117" s="45">
        <v>7.3</v>
      </c>
      <c r="R117" s="45">
        <v>3.58</v>
      </c>
      <c r="S117" s="45">
        <v>5.8</v>
      </c>
      <c r="T117" s="46">
        <f>N117+O117+P117+Q117+R117+S117</f>
        <v>64.649999999999991</v>
      </c>
      <c r="U117" s="5"/>
      <c r="V117" s="47">
        <f>(((N117/45)*100)*H117)/$H$190</f>
        <v>1.0177349097697574</v>
      </c>
      <c r="W117" s="47">
        <f>(((O117/15)*100)*H117)/$H$190</f>
        <v>1.0510267579340387</v>
      </c>
      <c r="X117" s="48"/>
      <c r="Y117" s="15">
        <f>(T117*H117)/$H$190</f>
        <v>0.90518046048537626</v>
      </c>
    </row>
    <row r="118" spans="1:25" x14ac:dyDescent="0.3">
      <c r="A118" s="5">
        <v>35</v>
      </c>
      <c r="B118" s="5">
        <v>3500</v>
      </c>
      <c r="C118" s="5">
        <v>1221</v>
      </c>
      <c r="D118" s="5" t="s">
        <v>33</v>
      </c>
      <c r="E118" s="5" t="s">
        <v>34</v>
      </c>
      <c r="F118" s="13">
        <v>110</v>
      </c>
      <c r="G118" s="13" t="s">
        <v>147</v>
      </c>
      <c r="H118" s="13">
        <v>789</v>
      </c>
      <c r="I118" s="13">
        <v>8.9659090909090917</v>
      </c>
      <c r="J118" s="13">
        <v>224.14772727272728</v>
      </c>
      <c r="K118" s="13">
        <v>340.70454545454544</v>
      </c>
      <c r="L118" s="13">
        <v>215.18181818181816</v>
      </c>
      <c r="M118" s="13">
        <f t="shared" si="2"/>
        <v>788.99999999999989</v>
      </c>
      <c r="N118" s="13">
        <v>25.65</v>
      </c>
      <c r="O118" s="13">
        <v>7.99</v>
      </c>
      <c r="P118" s="13">
        <v>6.93</v>
      </c>
      <c r="Q118" s="13">
        <v>10.79</v>
      </c>
      <c r="R118" s="13">
        <v>4.0999999999999996</v>
      </c>
      <c r="S118" s="13">
        <v>6.84</v>
      </c>
      <c r="T118" s="14">
        <f>N118+O118+P118+Q118+R118+S118</f>
        <v>62.3</v>
      </c>
      <c r="V118" s="15">
        <f>(((N118/45)*100)*H118)/$H$190</f>
        <v>0.26909315016035606</v>
      </c>
      <c r="W118" s="15">
        <f>(((O118/15)*100)*H118)/$H$190</f>
        <v>0.25146833564692933</v>
      </c>
      <c r="X118" s="49"/>
      <c r="Y118" s="15">
        <f>(T118*H118)/$H$190</f>
        <v>0.29411409219281026</v>
      </c>
    </row>
    <row r="119" spans="1:25" x14ac:dyDescent="0.3">
      <c r="A119" s="5">
        <v>35</v>
      </c>
      <c r="B119" s="5">
        <v>3500</v>
      </c>
      <c r="C119" s="5">
        <v>1222</v>
      </c>
      <c r="D119" s="5" t="s">
        <v>33</v>
      </c>
      <c r="E119" s="5" t="s">
        <v>34</v>
      </c>
      <c r="F119" s="13">
        <v>111</v>
      </c>
      <c r="G119" s="13" t="s">
        <v>148</v>
      </c>
      <c r="H119" s="13">
        <v>209</v>
      </c>
      <c r="I119" s="13">
        <v>0</v>
      </c>
      <c r="J119" s="13">
        <v>0</v>
      </c>
      <c r="K119" s="13">
        <v>62.010989010989015</v>
      </c>
      <c r="L119" s="13">
        <v>146.98901098901101</v>
      </c>
      <c r="M119" s="13">
        <f t="shared" si="2"/>
        <v>209.00000000000003</v>
      </c>
      <c r="N119" s="13">
        <v>15.05</v>
      </c>
      <c r="O119" s="13">
        <v>11</v>
      </c>
      <c r="P119" s="13">
        <v>7</v>
      </c>
      <c r="Q119" s="13">
        <v>12.63</v>
      </c>
      <c r="R119" s="13">
        <v>3.5</v>
      </c>
      <c r="S119" s="13">
        <v>3</v>
      </c>
      <c r="T119" s="14">
        <f>N119+O119+P119+Q119+R119+S119</f>
        <v>52.18</v>
      </c>
      <c r="V119" s="15">
        <f>(((N119/45)*100)*H119)/$H$190</f>
        <v>4.182356570346614E-2</v>
      </c>
      <c r="W119" s="15">
        <f>(((O119/15)*100)*H119)/$H$190</f>
        <v>9.1706157356437376E-2</v>
      </c>
      <c r="X119" s="49"/>
      <c r="Y119" s="15">
        <f>(T119*H119)/$H$190</f>
        <v>6.5253099420803221E-2</v>
      </c>
    </row>
    <row r="120" spans="1:25" x14ac:dyDescent="0.3">
      <c r="A120" s="5">
        <v>35</v>
      </c>
      <c r="B120" s="5">
        <v>3500</v>
      </c>
      <c r="C120" s="5">
        <v>1223</v>
      </c>
      <c r="D120" s="5" t="s">
        <v>33</v>
      </c>
      <c r="E120" s="5" t="s">
        <v>34</v>
      </c>
      <c r="F120" s="13">
        <v>112</v>
      </c>
      <c r="G120" s="13" t="s">
        <v>149</v>
      </c>
      <c r="H120" s="13">
        <v>13</v>
      </c>
      <c r="I120" s="13">
        <v>0</v>
      </c>
      <c r="J120" s="13">
        <v>0</v>
      </c>
      <c r="K120" s="13">
        <v>5.2</v>
      </c>
      <c r="L120" s="13">
        <v>7.8</v>
      </c>
      <c r="M120" s="13">
        <f t="shared" si="2"/>
        <v>13</v>
      </c>
      <c r="N120" s="13">
        <v>13.9</v>
      </c>
      <c r="O120" s="13">
        <v>14.25</v>
      </c>
      <c r="P120" s="13">
        <v>7.08</v>
      </c>
      <c r="Q120" s="13">
        <v>12.63</v>
      </c>
      <c r="R120" s="13">
        <v>3.5</v>
      </c>
      <c r="S120" s="13">
        <v>7</v>
      </c>
      <c r="T120" s="14">
        <f>N120+O120+P120+Q120+R120+S120</f>
        <v>58.36</v>
      </c>
      <c r="V120" s="15">
        <f>(((N120/45)*100)*H120)/$H$190</f>
        <v>2.4026827075986999E-3</v>
      </c>
      <c r="W120" s="15">
        <f>(((O120/15)*100)*H120)/$H$190</f>
        <v>7.3895457373988798E-3</v>
      </c>
      <c r="X120" s="49"/>
      <c r="Y120" s="15">
        <f>(T120*H120)/$H$190</f>
        <v>4.5395146235220904E-3</v>
      </c>
    </row>
    <row r="121" spans="1:25" x14ac:dyDescent="0.3">
      <c r="A121" s="5">
        <v>35</v>
      </c>
      <c r="B121" s="5">
        <v>3500</v>
      </c>
      <c r="C121" s="5">
        <v>1224</v>
      </c>
      <c r="D121" s="5" t="s">
        <v>33</v>
      </c>
      <c r="E121" s="5" t="s">
        <v>34</v>
      </c>
      <c r="F121" s="13">
        <v>113</v>
      </c>
      <c r="G121" s="13" t="s">
        <v>150</v>
      </c>
      <c r="H121" s="13">
        <v>20</v>
      </c>
      <c r="I121" s="13">
        <v>20</v>
      </c>
      <c r="J121" s="13">
        <v>0</v>
      </c>
      <c r="K121" s="13">
        <v>0</v>
      </c>
      <c r="L121" s="13">
        <v>0</v>
      </c>
      <c r="M121" s="13">
        <f t="shared" si="2"/>
        <v>20</v>
      </c>
      <c r="N121" s="13">
        <v>28</v>
      </c>
      <c r="O121" s="13">
        <v>10</v>
      </c>
      <c r="P121" s="13">
        <v>4</v>
      </c>
      <c r="Q121" s="13">
        <v>7.5</v>
      </c>
      <c r="R121" s="13">
        <v>2.5</v>
      </c>
      <c r="S121" s="13">
        <v>5</v>
      </c>
      <c r="T121" s="14">
        <f>N121+O121+P121+Q121+R121+S121</f>
        <v>57</v>
      </c>
      <c r="V121" s="15">
        <f>(((N121/45)*100)*H121)/$H$190</f>
        <v>7.4460559837037739E-3</v>
      </c>
      <c r="W121" s="15">
        <f>(((O121/15)*100)*H121)/$H$190</f>
        <v>7.9779171253968988E-3</v>
      </c>
      <c r="X121" s="49"/>
      <c r="Y121" s="15">
        <f>(T121*H121)/$H$190</f>
        <v>6.821119142214351E-3</v>
      </c>
    </row>
    <row r="122" spans="1:25" x14ac:dyDescent="0.3">
      <c r="A122" s="5">
        <v>35</v>
      </c>
      <c r="B122" s="5">
        <v>3500</v>
      </c>
      <c r="C122" s="5">
        <v>1225</v>
      </c>
      <c r="D122" s="5" t="s">
        <v>33</v>
      </c>
      <c r="E122" s="5" t="s">
        <v>34</v>
      </c>
      <c r="F122" s="13">
        <v>114</v>
      </c>
      <c r="G122" s="13" t="s">
        <v>151</v>
      </c>
      <c r="H122" s="13">
        <v>54</v>
      </c>
      <c r="I122" s="13">
        <v>0</v>
      </c>
      <c r="J122" s="13">
        <v>0</v>
      </c>
      <c r="K122" s="13">
        <v>54</v>
      </c>
      <c r="L122" s="13">
        <v>0</v>
      </c>
      <c r="M122" s="13">
        <f t="shared" si="2"/>
        <v>54</v>
      </c>
      <c r="N122" s="13">
        <v>24.64</v>
      </c>
      <c r="O122" s="13">
        <v>13.4</v>
      </c>
      <c r="P122" s="13">
        <v>4.28</v>
      </c>
      <c r="Q122" s="13">
        <v>10.3</v>
      </c>
      <c r="R122" s="13">
        <v>4.25</v>
      </c>
      <c r="S122" s="13">
        <v>7</v>
      </c>
      <c r="T122" s="14">
        <f>N122+O122+P122+Q122+R122+S122</f>
        <v>63.870000000000005</v>
      </c>
      <c r="V122" s="15">
        <f>(((N122/45)*100)*H122)/$H$190</f>
        <v>1.769182901728017E-2</v>
      </c>
      <c r="W122" s="15">
        <f>(((O122/15)*100)*H122)/$H$190</f>
        <v>2.8864104159685988E-2</v>
      </c>
      <c r="X122" s="49"/>
      <c r="Y122" s="15">
        <f>(T122*H122)/$H$190</f>
        <v>2.0636757455363558E-2</v>
      </c>
    </row>
    <row r="123" spans="1:25" x14ac:dyDescent="0.3">
      <c r="A123" s="5">
        <v>35</v>
      </c>
      <c r="B123" s="5">
        <v>3500</v>
      </c>
      <c r="C123" s="5">
        <v>1226</v>
      </c>
      <c r="D123" s="5" t="s">
        <v>33</v>
      </c>
      <c r="E123" s="5" t="s">
        <v>34</v>
      </c>
      <c r="F123" s="13">
        <v>115</v>
      </c>
      <c r="G123" s="13" t="s">
        <v>152</v>
      </c>
      <c r="H123" s="13">
        <v>2143</v>
      </c>
      <c r="I123" s="13">
        <v>0</v>
      </c>
      <c r="J123" s="13">
        <v>401.20091324200911</v>
      </c>
      <c r="K123" s="13">
        <v>410.98630136986299</v>
      </c>
      <c r="L123" s="13">
        <v>1330.8127853881278</v>
      </c>
      <c r="M123" s="13">
        <f t="shared" si="2"/>
        <v>2143</v>
      </c>
      <c r="N123" s="13">
        <v>20.46</v>
      </c>
      <c r="O123" s="13">
        <v>7.39</v>
      </c>
      <c r="P123" s="13">
        <v>7</v>
      </c>
      <c r="Q123" s="13">
        <v>11.27</v>
      </c>
      <c r="R123" s="13">
        <v>3.5</v>
      </c>
      <c r="S123" s="13">
        <v>7.54</v>
      </c>
      <c r="T123" s="14">
        <f>N123+O123+P123+Q123+R123+S123</f>
        <v>57.160000000000004</v>
      </c>
      <c r="V123" s="15">
        <f>(((N123/45)*100)*H123)/$H$190</f>
        <v>0.58299666523064153</v>
      </c>
      <c r="W123" s="15">
        <f>(((O123/15)*100)*H123)/$H$190</f>
        <v>0.63172219296985943</v>
      </c>
      <c r="X123" s="49"/>
      <c r="Y123" s="15">
        <f>(T123*H123)/$H$190</f>
        <v>0.73293451725623482</v>
      </c>
    </row>
    <row r="124" spans="1:25" s="27" customFormat="1" x14ac:dyDescent="0.3">
      <c r="A124" s="27">
        <v>35</v>
      </c>
      <c r="B124" s="27">
        <v>3500</v>
      </c>
      <c r="C124" s="27">
        <v>1227</v>
      </c>
      <c r="D124" s="27" t="s">
        <v>33</v>
      </c>
      <c r="E124" s="27" t="s">
        <v>34</v>
      </c>
      <c r="F124" s="28">
        <v>116</v>
      </c>
      <c r="G124" s="28" t="s">
        <v>153</v>
      </c>
      <c r="H124" s="28">
        <v>2721</v>
      </c>
      <c r="I124" s="28">
        <v>2721</v>
      </c>
      <c r="J124" s="28">
        <v>0</v>
      </c>
      <c r="K124" s="28">
        <v>0</v>
      </c>
      <c r="L124" s="28">
        <v>0</v>
      </c>
      <c r="M124" s="28">
        <f t="shared" si="2"/>
        <v>2721</v>
      </c>
      <c r="N124" s="28">
        <v>32.25</v>
      </c>
      <c r="O124" s="28">
        <v>13.42</v>
      </c>
      <c r="P124" s="28">
        <v>7.6</v>
      </c>
      <c r="Q124" s="28">
        <v>11.57</v>
      </c>
      <c r="R124" s="28">
        <v>3.95</v>
      </c>
      <c r="S124" s="28">
        <v>6.8</v>
      </c>
      <c r="T124" s="29">
        <f>N124+O124+P124+Q124+R124+S124</f>
        <v>75.59</v>
      </c>
      <c r="U124" s="5"/>
      <c r="V124" s="30">
        <f>(((N124/45)*100)*H124)/$H$190</f>
        <v>1.1668002967785172</v>
      </c>
      <c r="W124" s="30">
        <f>(((O124/15)*100)*H124)/$H$190</f>
        <v>1.4566009286295531</v>
      </c>
      <c r="X124" s="43"/>
      <c r="Y124" s="30">
        <f>(T124*H124)/$H$190</f>
        <v>1.2306758293044853</v>
      </c>
    </row>
    <row r="125" spans="1:25" x14ac:dyDescent="0.3">
      <c r="A125" s="5">
        <v>35</v>
      </c>
      <c r="B125" s="5">
        <v>3500</v>
      </c>
      <c r="C125" s="5">
        <v>1228</v>
      </c>
      <c r="D125" s="5" t="s">
        <v>33</v>
      </c>
      <c r="E125" s="5" t="s">
        <v>34</v>
      </c>
      <c r="F125" s="13">
        <v>117</v>
      </c>
      <c r="G125" s="13" t="s">
        <v>154</v>
      </c>
      <c r="H125" s="13">
        <v>1146</v>
      </c>
      <c r="I125" s="13">
        <v>0</v>
      </c>
      <c r="J125" s="13">
        <v>41.672727272727272</v>
      </c>
      <c r="K125" s="13">
        <v>812.61818181818182</v>
      </c>
      <c r="L125" s="13">
        <v>291.70909090909089</v>
      </c>
      <c r="M125" s="13">
        <f t="shared" si="2"/>
        <v>1146</v>
      </c>
      <c r="N125" s="13">
        <v>23.24</v>
      </c>
      <c r="O125" s="13">
        <v>13.67</v>
      </c>
      <c r="P125" s="13">
        <v>7</v>
      </c>
      <c r="Q125" s="13">
        <v>10.5</v>
      </c>
      <c r="R125" s="13">
        <v>3.5</v>
      </c>
      <c r="S125" s="13">
        <v>7</v>
      </c>
      <c r="T125" s="14">
        <f>N125+O125+P125+Q125+R125+S125</f>
        <v>64.91</v>
      </c>
      <c r="V125" s="15">
        <f>(((N125/45)*100)*H125)/$H$190</f>
        <v>0.3541269765289678</v>
      </c>
      <c r="W125" s="15">
        <f>(((O125/15)*100)*H125)/$H$190</f>
        <v>0.62490306830692632</v>
      </c>
      <c r="X125" s="49"/>
      <c r="Y125" s="15">
        <f>(T125*H125)/$H$190</f>
        <v>0.44508915322387632</v>
      </c>
    </row>
    <row r="126" spans="1:25" x14ac:dyDescent="0.3">
      <c r="A126" s="5">
        <v>35</v>
      </c>
      <c r="B126" s="5">
        <v>3500</v>
      </c>
      <c r="C126" s="5">
        <v>1120</v>
      </c>
      <c r="D126" s="5" t="s">
        <v>33</v>
      </c>
      <c r="E126" s="5" t="s">
        <v>34</v>
      </c>
      <c r="F126" s="13">
        <v>118</v>
      </c>
      <c r="G126" s="13" t="s">
        <v>155</v>
      </c>
      <c r="H126" s="13">
        <v>1058</v>
      </c>
      <c r="I126" s="13">
        <v>104.30985915492957</v>
      </c>
      <c r="J126" s="13">
        <v>432.14084507042253</v>
      </c>
      <c r="K126" s="13">
        <v>342.73239436619718</v>
      </c>
      <c r="L126" s="13">
        <v>178.81690140845069</v>
      </c>
      <c r="M126" s="13">
        <f t="shared" si="2"/>
        <v>1058</v>
      </c>
      <c r="N126" s="13">
        <v>27.41</v>
      </c>
      <c r="O126" s="13">
        <v>14.34</v>
      </c>
      <c r="P126" s="13">
        <v>6.48</v>
      </c>
      <c r="Q126" s="13">
        <v>10.51</v>
      </c>
      <c r="R126" s="13">
        <v>3.73</v>
      </c>
      <c r="S126" s="13">
        <v>6.2</v>
      </c>
      <c r="T126" s="14">
        <f>N126+O126+P126+Q126+R126+S126</f>
        <v>68.67</v>
      </c>
      <c r="V126" s="15">
        <f>(((N126/45)*100)*H126)/$H$190</f>
        <v>0.38559640249123761</v>
      </c>
      <c r="W126" s="15">
        <f>(((O126/15)*100)*H126)/$H$190</f>
        <v>0.60519362404863331</v>
      </c>
      <c r="X126" s="49"/>
      <c r="Y126" s="15">
        <f>(T126*H126)/$H$190</f>
        <v>0.43471387200229766</v>
      </c>
    </row>
    <row r="127" spans="1:25" s="44" customFormat="1" x14ac:dyDescent="0.3">
      <c r="A127" s="44">
        <v>35</v>
      </c>
      <c r="B127" s="44">
        <v>3500</v>
      </c>
      <c r="C127" s="44">
        <v>1121</v>
      </c>
      <c r="D127" s="44" t="s">
        <v>33</v>
      </c>
      <c r="E127" s="44" t="s">
        <v>34</v>
      </c>
      <c r="F127" s="45">
        <v>119</v>
      </c>
      <c r="G127" s="45" t="s">
        <v>156</v>
      </c>
      <c r="H127" s="45">
        <v>2433</v>
      </c>
      <c r="I127" s="45">
        <v>2323.4054054054054</v>
      </c>
      <c r="J127" s="45">
        <v>109.59459459459461</v>
      </c>
      <c r="K127" s="45">
        <v>0</v>
      </c>
      <c r="L127" s="45">
        <v>0</v>
      </c>
      <c r="M127" s="45">
        <f t="shared" si="2"/>
        <v>2433</v>
      </c>
      <c r="N127" s="45">
        <v>31</v>
      </c>
      <c r="O127" s="45">
        <v>11.91</v>
      </c>
      <c r="P127" s="45">
        <v>4.46</v>
      </c>
      <c r="Q127" s="45">
        <v>8.02</v>
      </c>
      <c r="R127" s="45">
        <v>3.65</v>
      </c>
      <c r="S127" s="45">
        <v>5.56</v>
      </c>
      <c r="T127" s="46">
        <f>N127+O127+P127+Q127+R127+S127</f>
        <v>64.599999999999994</v>
      </c>
      <c r="U127" s="5"/>
      <c r="V127" s="47">
        <f>(((N127/45)*100)*H127)/$H$190</f>
        <v>1.0028640722480173</v>
      </c>
      <c r="W127" s="47">
        <f>(((O127/15)*100)*H127)/$H$190</f>
        <v>1.1558817194006989</v>
      </c>
      <c r="X127" s="48"/>
      <c r="Y127" s="15">
        <f>(T127*H127)/$H$190</f>
        <v>0.94042769613709243</v>
      </c>
    </row>
    <row r="128" spans="1:25" x14ac:dyDescent="0.3">
      <c r="A128" s="5">
        <v>35</v>
      </c>
      <c r="B128" s="5">
        <v>3500</v>
      </c>
      <c r="C128" s="5">
        <v>1122</v>
      </c>
      <c r="D128" s="5" t="s">
        <v>33</v>
      </c>
      <c r="E128" s="5" t="s">
        <v>34</v>
      </c>
      <c r="F128" s="13">
        <v>120</v>
      </c>
      <c r="G128" s="13" t="s">
        <v>157</v>
      </c>
      <c r="H128" s="13">
        <v>1273</v>
      </c>
      <c r="I128" s="13">
        <v>25.71717171717172</v>
      </c>
      <c r="J128" s="13">
        <v>154.30303030303028</v>
      </c>
      <c r="K128" s="13">
        <v>848.66666666666663</v>
      </c>
      <c r="L128" s="13">
        <v>244.31313131313129</v>
      </c>
      <c r="M128" s="13">
        <f t="shared" si="2"/>
        <v>1273</v>
      </c>
      <c r="N128" s="13">
        <v>23.58</v>
      </c>
      <c r="O128" s="13">
        <v>7.75</v>
      </c>
      <c r="P128" s="13">
        <v>6.48</v>
      </c>
      <c r="Q128" s="13">
        <v>10.66</v>
      </c>
      <c r="R128" s="13">
        <v>4.03</v>
      </c>
      <c r="S128" s="13">
        <v>7</v>
      </c>
      <c r="T128" s="14">
        <f>N128+O128+P128+Q128+R128+S128</f>
        <v>59.5</v>
      </c>
      <c r="V128" s="15">
        <f>(((N128/45)*100)*H128)/$H$190</f>
        <v>0.39912641807476895</v>
      </c>
      <c r="W128" s="15">
        <f>(((O128/15)*100)*H128)/$H$190</f>
        <v>0.39354067939942244</v>
      </c>
      <c r="X128" s="49"/>
      <c r="Y128" s="15">
        <f>(T128*H128)/$H$190</f>
        <v>0.45320652434062514</v>
      </c>
    </row>
    <row r="129" spans="1:25" x14ac:dyDescent="0.3">
      <c r="A129" s="5">
        <v>35</v>
      </c>
      <c r="B129" s="5">
        <v>3500</v>
      </c>
      <c r="C129" s="5">
        <v>1123</v>
      </c>
      <c r="D129" s="5" t="s">
        <v>33</v>
      </c>
      <c r="E129" s="5" t="s">
        <v>34</v>
      </c>
      <c r="F129" s="13">
        <v>121</v>
      </c>
      <c r="G129" s="13" t="s">
        <v>158</v>
      </c>
      <c r="H129" s="13">
        <v>1332</v>
      </c>
      <c r="I129" s="13">
        <v>0</v>
      </c>
      <c r="J129" s="13">
        <v>356.0792079207921</v>
      </c>
      <c r="K129" s="13">
        <v>857.22772277227727</v>
      </c>
      <c r="L129" s="13">
        <v>118.69306930693071</v>
      </c>
      <c r="M129" s="13">
        <f t="shared" si="2"/>
        <v>1332</v>
      </c>
      <c r="N129" s="13">
        <v>23.17</v>
      </c>
      <c r="O129" s="13">
        <v>11.2</v>
      </c>
      <c r="P129" s="13">
        <v>6.48</v>
      </c>
      <c r="Q129" s="13">
        <v>11.18</v>
      </c>
      <c r="R129" s="13">
        <v>4.03</v>
      </c>
      <c r="S129" s="13">
        <v>8.0500000000000007</v>
      </c>
      <c r="T129" s="14">
        <f>N129+O129+P129+Q129+R129+S129</f>
        <v>64.110000000000014</v>
      </c>
      <c r="V129" s="15">
        <f>(((N129/45)*100)*H129)/$H$190</f>
        <v>0.41036331434589063</v>
      </c>
      <c r="W129" s="15">
        <f>(((O129/15)*100)*H129)/$H$190</f>
        <v>0.59508879421760563</v>
      </c>
      <c r="X129" s="49"/>
      <c r="Y129" s="15">
        <f>(T129*H129)/$H$190</f>
        <v>0.51095280264228626</v>
      </c>
    </row>
    <row r="130" spans="1:25" x14ac:dyDescent="0.3">
      <c r="A130" s="5">
        <v>35</v>
      </c>
      <c r="B130" s="5">
        <v>3500</v>
      </c>
      <c r="C130" s="5">
        <v>1124</v>
      </c>
      <c r="D130" s="5" t="s">
        <v>33</v>
      </c>
      <c r="E130" s="5" t="s">
        <v>34</v>
      </c>
      <c r="F130" s="13">
        <v>122</v>
      </c>
      <c r="G130" s="13" t="s">
        <v>159</v>
      </c>
      <c r="H130" s="13">
        <v>1045</v>
      </c>
      <c r="I130" s="13"/>
      <c r="J130" s="13">
        <v>514.92753623188412</v>
      </c>
      <c r="K130" s="13">
        <v>333.1884057971015</v>
      </c>
      <c r="L130" s="13">
        <v>196.88405797101453</v>
      </c>
      <c r="M130" s="13">
        <f t="shared" si="2"/>
        <v>1045.0000000000002</v>
      </c>
      <c r="N130" s="13">
        <v>27.22</v>
      </c>
      <c r="O130" s="13">
        <v>13.31</v>
      </c>
      <c r="P130" s="13">
        <v>6</v>
      </c>
      <c r="Q130" s="13">
        <v>8.68</v>
      </c>
      <c r="R130" s="13">
        <v>4.03</v>
      </c>
      <c r="S130" s="13">
        <v>7.08</v>
      </c>
      <c r="T130" s="14">
        <f>N130+O130+P130+Q130+R130+S130</f>
        <v>66.320000000000007</v>
      </c>
      <c r="V130" s="15">
        <f>(((N130/45)*100)*H130)/$H$190</f>
        <v>0.37821842473367051</v>
      </c>
      <c r="W130" s="15">
        <f>(((O130/15)*100)*H130)/$H$190</f>
        <v>0.55482225200644619</v>
      </c>
      <c r="X130" s="49"/>
      <c r="Y130" s="15">
        <f>(T130*H130)/$H$190</f>
        <v>0.41467856971901779</v>
      </c>
    </row>
    <row r="131" spans="1:25" s="27" customFormat="1" x14ac:dyDescent="0.3">
      <c r="A131" s="27">
        <v>35</v>
      </c>
      <c r="B131" s="27">
        <v>3500</v>
      </c>
      <c r="C131" s="27">
        <v>1067</v>
      </c>
      <c r="D131" s="27" t="s">
        <v>33</v>
      </c>
      <c r="E131" s="27" t="s">
        <v>34</v>
      </c>
      <c r="F131" s="28">
        <v>123</v>
      </c>
      <c r="G131" s="28" t="s">
        <v>160</v>
      </c>
      <c r="H131" s="28">
        <v>1000</v>
      </c>
      <c r="I131" s="28">
        <v>582.92709348932942</v>
      </c>
      <c r="J131" s="28">
        <v>417.07290651067058</v>
      </c>
      <c r="K131" s="28">
        <v>0</v>
      </c>
      <c r="L131" s="28">
        <v>0</v>
      </c>
      <c r="M131" s="28">
        <f t="shared" si="2"/>
        <v>1000</v>
      </c>
      <c r="N131" s="28">
        <v>30</v>
      </c>
      <c r="O131" s="28">
        <v>9.6300000000000008</v>
      </c>
      <c r="P131" s="28">
        <v>7.23</v>
      </c>
      <c r="Q131" s="28">
        <v>11.72</v>
      </c>
      <c r="R131" s="28">
        <v>4.18</v>
      </c>
      <c r="S131" s="28">
        <v>7</v>
      </c>
      <c r="T131" s="29">
        <f>N131+O131+P131+Q131+R131+S131</f>
        <v>69.759999999999991</v>
      </c>
      <c r="U131" s="5"/>
      <c r="V131" s="30">
        <f>(((N131/45)*100)*H131)/$H$190</f>
        <v>0.39889585626984503</v>
      </c>
      <c r="W131" s="30">
        <f>(((O131/15)*100)*H131)/$H$190</f>
        <v>0.38413670958786078</v>
      </c>
      <c r="X131" s="43"/>
      <c r="Y131" s="30">
        <f>(T131*H131)/$H$190</f>
        <v>0.41740462400076578</v>
      </c>
    </row>
    <row r="132" spans="1:25" x14ac:dyDescent="0.3">
      <c r="A132" s="5">
        <v>35</v>
      </c>
      <c r="B132" s="5">
        <v>3500</v>
      </c>
      <c r="C132" s="5">
        <v>1068</v>
      </c>
      <c r="D132" s="5" t="s">
        <v>33</v>
      </c>
      <c r="E132" s="5" t="s">
        <v>34</v>
      </c>
      <c r="F132" s="13">
        <v>124</v>
      </c>
      <c r="G132" s="13" t="s">
        <v>161</v>
      </c>
      <c r="H132" s="13">
        <v>1403</v>
      </c>
      <c r="I132" s="13">
        <v>0</v>
      </c>
      <c r="J132" s="13">
        <v>113.97678916827856</v>
      </c>
      <c r="K132" s="13">
        <v>949.8065764023213</v>
      </c>
      <c r="L132" s="13">
        <v>339.21663442940041</v>
      </c>
      <c r="M132" s="13">
        <f t="shared" si="2"/>
        <v>1403.0000000000005</v>
      </c>
      <c r="N132" s="13">
        <v>21.53</v>
      </c>
      <c r="O132" s="13">
        <v>14.91</v>
      </c>
      <c r="P132" s="13">
        <v>8.5</v>
      </c>
      <c r="Q132" s="13">
        <v>11.1</v>
      </c>
      <c r="R132" s="13">
        <v>4.25</v>
      </c>
      <c r="S132" s="13">
        <v>6.55</v>
      </c>
      <c r="T132" s="14">
        <f>N132+O132+P132+Q132+R132+S132</f>
        <v>66.84</v>
      </c>
      <c r="V132" s="15">
        <f>(((N132/45)*100)*H132)/$H$190</f>
        <v>0.40164278610140469</v>
      </c>
      <c r="W132" s="15">
        <f>(((O132/15)*100)*H132)/$H$190</f>
        <v>0.83443947154276965</v>
      </c>
      <c r="X132" s="49"/>
      <c r="Y132" s="15">
        <f>(T132*H132)/$H$190</f>
        <v>0.5611059786510938</v>
      </c>
    </row>
    <row r="133" spans="1:25" x14ac:dyDescent="0.3">
      <c r="A133" s="5">
        <v>35</v>
      </c>
      <c r="B133" s="5">
        <v>3500</v>
      </c>
      <c r="C133" s="5">
        <v>1069</v>
      </c>
      <c r="D133" s="5" t="s">
        <v>33</v>
      </c>
      <c r="E133" s="5" t="s">
        <v>34</v>
      </c>
      <c r="F133" s="13">
        <v>125</v>
      </c>
      <c r="G133" s="13" t="s">
        <v>162</v>
      </c>
      <c r="H133" s="13">
        <v>1370</v>
      </c>
      <c r="I133" s="13">
        <v>21.076923076923077</v>
      </c>
      <c r="J133" s="13">
        <v>295.07692307692304</v>
      </c>
      <c r="K133" s="13">
        <v>948.46153846153845</v>
      </c>
      <c r="L133" s="13">
        <v>105.38461538461539</v>
      </c>
      <c r="M133" s="13">
        <f t="shared" si="2"/>
        <v>1370</v>
      </c>
      <c r="N133" s="13">
        <v>30.94</v>
      </c>
      <c r="O133" s="13">
        <v>15</v>
      </c>
      <c r="P133" s="13">
        <v>7.23</v>
      </c>
      <c r="Q133" s="13">
        <v>11.72</v>
      </c>
      <c r="R133" s="13">
        <v>4.18</v>
      </c>
      <c r="S133" s="13">
        <v>7.75</v>
      </c>
      <c r="T133" s="14">
        <f>N133+O133+P133+Q133+R133+S133</f>
        <v>76.819999999999993</v>
      </c>
      <c r="V133" s="15">
        <f>(((N133/45)*100)*H133)/$H$190</f>
        <v>0.56361059254649803</v>
      </c>
      <c r="W133" s="15">
        <f>(((O133/15)*100)*H133)/$H$190</f>
        <v>0.81973098463453165</v>
      </c>
      <c r="X133" s="49"/>
      <c r="Y133" s="15">
        <f>(T133*H133)/$H$190</f>
        <v>0.6297173423962471</v>
      </c>
    </row>
    <row r="134" spans="1:25" x14ac:dyDescent="0.3">
      <c r="A134" s="5">
        <v>35</v>
      </c>
      <c r="B134" s="5">
        <v>3500</v>
      </c>
      <c r="C134" s="5">
        <v>1070</v>
      </c>
      <c r="D134" s="5" t="s">
        <v>33</v>
      </c>
      <c r="E134" s="5" t="s">
        <v>34</v>
      </c>
      <c r="F134" s="13">
        <v>126</v>
      </c>
      <c r="G134" s="13" t="s">
        <v>163</v>
      </c>
      <c r="H134" s="13">
        <v>1787</v>
      </c>
      <c r="I134" s="13">
        <v>0</v>
      </c>
      <c r="J134" s="13">
        <v>642.51685393258413</v>
      </c>
      <c r="K134" s="13">
        <v>1084.2471910112358</v>
      </c>
      <c r="L134" s="13">
        <v>60.235955056179762</v>
      </c>
      <c r="M134" s="13">
        <f t="shared" si="2"/>
        <v>1786.9999999999998</v>
      </c>
      <c r="N134" s="13">
        <v>27.97</v>
      </c>
      <c r="O134" s="13">
        <v>12.78</v>
      </c>
      <c r="P134" s="13">
        <v>4.1399999999999997</v>
      </c>
      <c r="Q134" s="13">
        <v>7.22</v>
      </c>
      <c r="R134" s="13">
        <v>2.9</v>
      </c>
      <c r="S134" s="13">
        <v>4.96</v>
      </c>
      <c r="T134" s="14">
        <f>N134+O134+P134+Q134+R134+S134</f>
        <v>59.97</v>
      </c>
      <c r="V134" s="15">
        <f>(((N134/45)*100)*H134)/$H$190</f>
        <v>0.66459227524877795</v>
      </c>
      <c r="W134" s="15">
        <f>(((O134/15)*100)*H134)/$H$190</f>
        <v>0.91099277200708439</v>
      </c>
      <c r="X134" s="49"/>
      <c r="Y134" s="15">
        <f>(T134*H134)/$H$190</f>
        <v>0.64122343353597244</v>
      </c>
    </row>
    <row r="135" spans="1:25" x14ac:dyDescent="0.3">
      <c r="A135" s="5">
        <v>35</v>
      </c>
      <c r="B135" s="5">
        <v>3500</v>
      </c>
      <c r="C135" s="5">
        <v>1071</v>
      </c>
      <c r="D135" s="5" t="s">
        <v>33</v>
      </c>
      <c r="E135" s="5" t="s">
        <v>34</v>
      </c>
      <c r="F135" s="13">
        <v>127</v>
      </c>
      <c r="G135" s="13" t="s">
        <v>164</v>
      </c>
      <c r="H135" s="13">
        <v>1096</v>
      </c>
      <c r="I135" s="13">
        <v>0</v>
      </c>
      <c r="J135" s="13">
        <v>381.75280898876406</v>
      </c>
      <c r="K135" s="13">
        <v>517.21348314606735</v>
      </c>
      <c r="L135" s="13">
        <v>197.03370786516854</v>
      </c>
      <c r="M135" s="13">
        <f t="shared" si="2"/>
        <v>1096</v>
      </c>
      <c r="N135" s="13">
        <v>25.69</v>
      </c>
      <c r="O135" s="13">
        <v>13</v>
      </c>
      <c r="P135" s="13">
        <v>6.15</v>
      </c>
      <c r="Q135" s="13">
        <v>9.64</v>
      </c>
      <c r="R135" s="13">
        <v>3.8</v>
      </c>
      <c r="S135" s="13">
        <v>7</v>
      </c>
      <c r="T135" s="14">
        <f>N135+O135+P135+Q135+R135+S135</f>
        <v>65.28</v>
      </c>
      <c r="V135" s="15">
        <f>(((N135/45)*100)*H135)/$H$190</f>
        <v>0.3743802488046421</v>
      </c>
      <c r="W135" s="15">
        <f>(((O135/15)*100)*H135)/$H$190</f>
        <v>0.5683468160132753</v>
      </c>
      <c r="X135" s="49"/>
      <c r="Y135" s="15">
        <f>(T135*H135)/$H$190</f>
        <v>0.42809630941553783</v>
      </c>
    </row>
    <row r="136" spans="1:25" x14ac:dyDescent="0.3">
      <c r="A136" s="5">
        <v>35</v>
      </c>
      <c r="B136" s="5">
        <v>3500</v>
      </c>
      <c r="C136" s="5">
        <v>1072</v>
      </c>
      <c r="D136" s="5" t="s">
        <v>33</v>
      </c>
      <c r="E136" s="5" t="s">
        <v>34</v>
      </c>
      <c r="F136" s="13">
        <v>128</v>
      </c>
      <c r="G136" s="13" t="s">
        <v>165</v>
      </c>
      <c r="H136" s="13">
        <v>1727</v>
      </c>
      <c r="I136" s="13">
        <v>0</v>
      </c>
      <c r="J136" s="13">
        <v>0</v>
      </c>
      <c r="K136" s="13">
        <v>888.02339999999992</v>
      </c>
      <c r="L136" s="13">
        <v>838.97660000000008</v>
      </c>
      <c r="M136" s="13">
        <f t="shared" si="2"/>
        <v>1727</v>
      </c>
      <c r="N136" s="13">
        <v>20</v>
      </c>
      <c r="O136" s="13">
        <v>9.3138390272148239</v>
      </c>
      <c r="P136" s="13">
        <v>7</v>
      </c>
      <c r="Q136" s="13">
        <v>12.33</v>
      </c>
      <c r="R136" s="13">
        <v>3.5</v>
      </c>
      <c r="S136" s="13">
        <v>5</v>
      </c>
      <c r="T136" s="14">
        <f>N136+O136+P136+Q136+R136+S136</f>
        <v>57.143839027214824</v>
      </c>
      <c r="V136" s="15">
        <f>(((N136/45)*100)*H136)/$H$190</f>
        <v>0.45926209585201488</v>
      </c>
      <c r="W136" s="15">
        <f>(((O136/15)*100)*H136)/$H$190</f>
        <v>0.6416239848100459</v>
      </c>
      <c r="X136" s="49"/>
      <c r="Y136" s="15">
        <f>(T136*H136)/$H$190</f>
        <v>0.59048998372504913</v>
      </c>
    </row>
    <row r="137" spans="1:25" x14ac:dyDescent="0.3">
      <c r="A137" s="5">
        <v>35</v>
      </c>
      <c r="B137" s="5">
        <v>3500</v>
      </c>
      <c r="C137" s="5">
        <v>1128</v>
      </c>
      <c r="D137" s="5" t="s">
        <v>33</v>
      </c>
      <c r="E137" s="5" t="s">
        <v>34</v>
      </c>
      <c r="F137" s="13">
        <v>129</v>
      </c>
      <c r="G137" s="13" t="s">
        <v>166</v>
      </c>
      <c r="H137" s="13">
        <v>1341</v>
      </c>
      <c r="I137" s="13">
        <v>0</v>
      </c>
      <c r="J137" s="13">
        <v>100.07462686567163</v>
      </c>
      <c r="K137" s="13">
        <v>300.22388059701495</v>
      </c>
      <c r="L137" s="13">
        <v>940.70149253731347</v>
      </c>
      <c r="M137" s="13">
        <f t="shared" si="2"/>
        <v>1341</v>
      </c>
      <c r="N137" s="13">
        <v>20.32</v>
      </c>
      <c r="O137" s="13">
        <v>11.61</v>
      </c>
      <c r="P137" s="13">
        <v>7</v>
      </c>
      <c r="Q137" s="13">
        <v>12.63</v>
      </c>
      <c r="R137" s="13">
        <v>3.5</v>
      </c>
      <c r="S137" s="13">
        <v>7.17</v>
      </c>
      <c r="T137" s="14">
        <f>N137+O137+P137+Q137+R137+S137</f>
        <v>62.230000000000004</v>
      </c>
      <c r="V137" s="15">
        <f>(((N137/45)*100)*H137)/$H$190</f>
        <v>0.36231870183332532</v>
      </c>
      <c r="W137" s="15">
        <f>(((O137/15)*100)*H137)/$H$190</f>
        <v>0.62104135752237799</v>
      </c>
      <c r="X137" s="49"/>
      <c r="Y137" s="15">
        <f>(T137*H137)/$H$190</f>
        <v>0.49932046096405153</v>
      </c>
    </row>
    <row r="138" spans="1:25" s="27" customFormat="1" x14ac:dyDescent="0.3">
      <c r="A138" s="27">
        <v>35</v>
      </c>
      <c r="B138" s="27">
        <v>3500</v>
      </c>
      <c r="C138" s="27">
        <v>122204</v>
      </c>
      <c r="D138" s="27" t="s">
        <v>33</v>
      </c>
      <c r="E138" s="27" t="s">
        <v>34</v>
      </c>
      <c r="F138" s="28">
        <v>130</v>
      </c>
      <c r="G138" s="28" t="s">
        <v>167</v>
      </c>
      <c r="H138" s="28">
        <v>1046</v>
      </c>
      <c r="I138" s="28">
        <v>1042.299528301887</v>
      </c>
      <c r="J138" s="28">
        <v>3.700471698113208</v>
      </c>
      <c r="K138" s="28">
        <v>0</v>
      </c>
      <c r="L138" s="28">
        <v>0</v>
      </c>
      <c r="M138" s="28">
        <f t="shared" si="2"/>
        <v>1046.0000000000002</v>
      </c>
      <c r="N138" s="28">
        <v>30</v>
      </c>
      <c r="O138" s="28">
        <v>9.64</v>
      </c>
      <c r="P138" s="28">
        <v>7</v>
      </c>
      <c r="Q138" s="28">
        <v>12.63</v>
      </c>
      <c r="R138" s="28">
        <v>3.5</v>
      </c>
      <c r="S138" s="28">
        <v>7</v>
      </c>
      <c r="T138" s="29">
        <f>N138+O138+P138+Q138+R138+S138</f>
        <v>69.77000000000001</v>
      </c>
      <c r="U138" s="5"/>
      <c r="V138" s="30">
        <f>(((N138/45)*100)*H138)/$H$190</f>
        <v>0.41724506565825792</v>
      </c>
      <c r="W138" s="30">
        <f>(((O138/15)*100)*H138)/$H$190</f>
        <v>0.40222424329456063</v>
      </c>
      <c r="X138" s="43"/>
      <c r="Y138" s="30">
        <f>(T138*H138)/$H$190</f>
        <v>0.43666782346464994</v>
      </c>
    </row>
    <row r="139" spans="1:25" x14ac:dyDescent="0.3">
      <c r="A139" s="5">
        <v>35</v>
      </c>
      <c r="B139" s="5">
        <v>3500</v>
      </c>
      <c r="C139" s="5">
        <v>1125</v>
      </c>
      <c r="D139" s="5" t="s">
        <v>33</v>
      </c>
      <c r="E139" s="5" t="s">
        <v>34</v>
      </c>
      <c r="F139" s="13">
        <v>131</v>
      </c>
      <c r="G139" s="13" t="s">
        <v>168</v>
      </c>
      <c r="H139" s="13">
        <v>1921</v>
      </c>
      <c r="I139" s="13"/>
      <c r="J139" s="13">
        <v>99.020618556701038</v>
      </c>
      <c r="K139" s="13">
        <v>1326.876288659794</v>
      </c>
      <c r="L139" s="13" t="s">
        <v>221</v>
      </c>
      <c r="M139" s="13">
        <f t="shared" si="2"/>
        <v>1425.896907216495</v>
      </c>
      <c r="N139" s="13">
        <v>22.88</v>
      </c>
      <c r="O139" s="13">
        <v>13.76</v>
      </c>
      <c r="P139" s="13">
        <v>7</v>
      </c>
      <c r="Q139" s="13">
        <v>12.63</v>
      </c>
      <c r="R139" s="13">
        <v>3.5</v>
      </c>
      <c r="S139" s="13">
        <v>7</v>
      </c>
      <c r="T139" s="14">
        <f>N139+O139+P139+Q139+R139+S139</f>
        <v>66.77000000000001</v>
      </c>
      <c r="V139" s="15">
        <f>(((N139/45)*100)*H139)/$H$190</f>
        <v>0.5844154048261081</v>
      </c>
      <c r="W139" s="15">
        <f>(((O139/15)*100)*H139)/$H$190</f>
        <v>1.0543998212946564</v>
      </c>
      <c r="X139" s="49"/>
      <c r="Y139" s="15">
        <f>(T139*H139)/$H$190</f>
        <v>0.76746667225120868</v>
      </c>
    </row>
    <row r="140" spans="1:25" x14ac:dyDescent="0.3">
      <c r="A140" s="5">
        <v>35</v>
      </c>
      <c r="B140" s="5">
        <v>3500</v>
      </c>
      <c r="C140" s="5">
        <v>1126</v>
      </c>
      <c r="D140" s="5" t="s">
        <v>33</v>
      </c>
      <c r="E140" s="5" t="s">
        <v>34</v>
      </c>
      <c r="F140" s="13">
        <v>132</v>
      </c>
      <c r="G140" s="13" t="s">
        <v>169</v>
      </c>
      <c r="H140" s="13">
        <v>1593</v>
      </c>
      <c r="I140" s="13">
        <v>0</v>
      </c>
      <c r="J140" s="13">
        <v>19.426829268292686</v>
      </c>
      <c r="K140" s="13">
        <v>757.64634146341473</v>
      </c>
      <c r="L140" s="13">
        <v>815.92682926829275</v>
      </c>
      <c r="M140" s="13">
        <f t="shared" si="2"/>
        <v>1593</v>
      </c>
      <c r="N140" s="13">
        <v>19.649999999999999</v>
      </c>
      <c r="O140" s="13">
        <v>9.86</v>
      </c>
      <c r="P140" s="13">
        <v>6.8</v>
      </c>
      <c r="Q140" s="13">
        <v>12.63</v>
      </c>
      <c r="R140" s="13">
        <v>3.5</v>
      </c>
      <c r="S140" s="13">
        <v>6.16</v>
      </c>
      <c r="T140" s="14">
        <f>N140+O140+P140+Q140+R140+S140</f>
        <v>58.599999999999994</v>
      </c>
      <c r="V140" s="15">
        <f>(((N140/45)*100)*H140)/$H$190</f>
        <v>0.41621391986980039</v>
      </c>
      <c r="W140" s="15">
        <f>(((O140/15)*100)*H140)/$H$190</f>
        <v>0.62654492365133307</v>
      </c>
      <c r="X140" s="49"/>
      <c r="Y140" s="15">
        <f>(T140*H140)/$H$190</f>
        <v>0.55855272605428163</v>
      </c>
    </row>
    <row r="141" spans="1:25" x14ac:dyDescent="0.3">
      <c r="A141" s="5">
        <v>35</v>
      </c>
      <c r="B141" s="5">
        <v>3500</v>
      </c>
      <c r="C141" s="5">
        <v>1127</v>
      </c>
      <c r="D141" s="5" t="s">
        <v>33</v>
      </c>
      <c r="E141" s="5" t="s">
        <v>34</v>
      </c>
      <c r="F141" s="13">
        <v>133</v>
      </c>
      <c r="G141" s="13" t="s">
        <v>170</v>
      </c>
      <c r="H141" s="13">
        <v>1246</v>
      </c>
      <c r="I141" s="13">
        <v>20.941176470588236</v>
      </c>
      <c r="J141" s="13">
        <v>41.882352941176471</v>
      </c>
      <c r="K141" s="13">
        <v>314.11764705882354</v>
      </c>
      <c r="L141" s="13">
        <v>869.0588235294116</v>
      </c>
      <c r="M141" s="13">
        <f t="shared" si="2"/>
        <v>1245.9999999999998</v>
      </c>
      <c r="N141" s="13">
        <v>22.94</v>
      </c>
      <c r="O141" s="13">
        <v>13.16</v>
      </c>
      <c r="P141" s="13">
        <v>5.28</v>
      </c>
      <c r="Q141" s="13">
        <v>10.6</v>
      </c>
      <c r="R141" s="13">
        <v>3.58</v>
      </c>
      <c r="S141" s="13">
        <v>5.76</v>
      </c>
      <c r="T141" s="14">
        <f>N141+O141+P141+Q141+R141+S141</f>
        <v>61.32</v>
      </c>
      <c r="V141" s="15">
        <f>(((N141/45)*100)*H141)/$H$190</f>
        <v>0.38005786649221618</v>
      </c>
      <c r="W141" s="15">
        <f>(((O141/15)*100)*H141)/$H$190</f>
        <v>0.65408389577649073</v>
      </c>
      <c r="X141" s="49"/>
      <c r="Y141" s="15">
        <f>(T141*H141)/$H$190</f>
        <v>0.45716289311186636</v>
      </c>
    </row>
    <row r="142" spans="1:25" x14ac:dyDescent="0.3">
      <c r="A142" s="5">
        <v>35</v>
      </c>
      <c r="B142" s="5">
        <v>3500</v>
      </c>
      <c r="C142" s="5">
        <v>1129</v>
      </c>
      <c r="D142" s="5" t="s">
        <v>33</v>
      </c>
      <c r="E142" s="5" t="s">
        <v>34</v>
      </c>
      <c r="F142" s="13">
        <v>134</v>
      </c>
      <c r="G142" s="13" t="s">
        <v>171</v>
      </c>
      <c r="H142" s="13">
        <v>1884</v>
      </c>
      <c r="I142" s="13">
        <v>20.008496176720477</v>
      </c>
      <c r="J142" s="13">
        <v>823.54970263381483</v>
      </c>
      <c r="K142" s="13">
        <v>900.38232795242163</v>
      </c>
      <c r="L142" s="13">
        <v>140.05947323704333</v>
      </c>
      <c r="M142" s="13">
        <f t="shared" si="2"/>
        <v>1884</v>
      </c>
      <c r="N142" s="13">
        <v>27.13</v>
      </c>
      <c r="O142" s="13">
        <v>8.3699999999999992</v>
      </c>
      <c r="P142" s="13">
        <v>7.68</v>
      </c>
      <c r="Q142" s="13">
        <v>12.05</v>
      </c>
      <c r="R142" s="13">
        <v>4.25</v>
      </c>
      <c r="S142" s="13">
        <v>8.5</v>
      </c>
      <c r="T142" s="14">
        <f>N142+O142+P142+Q142+R142+S142</f>
        <v>67.98</v>
      </c>
      <c r="V142" s="15">
        <f>(((N142/45)*100)*H142)/$H$190</f>
        <v>0.67962439966173638</v>
      </c>
      <c r="W142" s="15">
        <f>(((O142/15)*100)*H142)/$H$190</f>
        <v>0.62902206691876883</v>
      </c>
      <c r="X142" s="49"/>
      <c r="Y142" s="15">
        <f>(T142*H142)/$H$190</f>
        <v>0.76632473313867222</v>
      </c>
    </row>
    <row r="143" spans="1:25" x14ac:dyDescent="0.3">
      <c r="A143" s="5">
        <v>35</v>
      </c>
      <c r="B143" s="5">
        <v>3500</v>
      </c>
      <c r="C143" s="5">
        <v>1131</v>
      </c>
      <c r="D143" s="5" t="s">
        <v>33</v>
      </c>
      <c r="E143" s="5" t="s">
        <v>34</v>
      </c>
      <c r="F143" s="13">
        <v>135</v>
      </c>
      <c r="G143" s="13" t="s">
        <v>172</v>
      </c>
      <c r="H143" s="13">
        <v>1337</v>
      </c>
      <c r="I143" s="13">
        <v>0</v>
      </c>
      <c r="J143" s="13">
        <v>256.02127659574467</v>
      </c>
      <c r="K143" s="13">
        <v>967.191489361702</v>
      </c>
      <c r="L143" s="13">
        <v>113.78723404255319</v>
      </c>
      <c r="M143" s="13">
        <f t="shared" si="2"/>
        <v>1336.9999999999998</v>
      </c>
      <c r="N143" s="13">
        <v>26.07</v>
      </c>
      <c r="O143" s="13">
        <v>7.49</v>
      </c>
      <c r="P143" s="13">
        <v>6.78</v>
      </c>
      <c r="Q143" s="13">
        <v>11.57</v>
      </c>
      <c r="R143" s="13">
        <v>4.18</v>
      </c>
      <c r="S143" s="13">
        <v>7.15</v>
      </c>
      <c r="T143" s="14">
        <f>N143+O143+P143+Q143+R143+S143</f>
        <v>63.24</v>
      </c>
      <c r="V143" s="15">
        <f>(((N143/45)*100)*H143)/$H$190</f>
        <v>0.46345834729468832</v>
      </c>
      <c r="W143" s="15">
        <f>(((O143/15)*100)*H143)/$H$190</f>
        <v>0.3994594961147544</v>
      </c>
      <c r="X143" s="49"/>
      <c r="Y143" s="15">
        <f>(T143*H143)/$H$190</f>
        <v>0.5059109185773778</v>
      </c>
    </row>
    <row r="144" spans="1:25" x14ac:dyDescent="0.3">
      <c r="A144" s="5">
        <v>35</v>
      </c>
      <c r="B144" s="5">
        <v>3500</v>
      </c>
      <c r="C144" s="5">
        <v>122206</v>
      </c>
      <c r="D144" s="5" t="s">
        <v>33</v>
      </c>
      <c r="E144" s="5" t="s">
        <v>34</v>
      </c>
      <c r="F144" s="13">
        <v>136</v>
      </c>
      <c r="G144" s="13" t="s">
        <v>173</v>
      </c>
      <c r="H144" s="13">
        <v>1372</v>
      </c>
      <c r="I144" s="13">
        <v>0</v>
      </c>
      <c r="J144" s="13">
        <v>166.5433526011561</v>
      </c>
      <c r="K144" s="13">
        <v>761.34104046242783</v>
      </c>
      <c r="L144" s="13">
        <v>444.11560693641627</v>
      </c>
      <c r="M144" s="13">
        <f t="shared" si="2"/>
        <v>1372.0000000000002</v>
      </c>
      <c r="N144" s="13">
        <v>21.51</v>
      </c>
      <c r="O144" s="13">
        <v>8.18</v>
      </c>
      <c r="P144" s="13">
        <v>7</v>
      </c>
      <c r="Q144" s="13">
        <v>12.63</v>
      </c>
      <c r="R144" s="13">
        <v>3.5</v>
      </c>
      <c r="S144" s="13">
        <v>7</v>
      </c>
      <c r="T144" s="14">
        <f>N144+O144+P144+Q144+R144+S144</f>
        <v>59.82</v>
      </c>
      <c r="V144" s="15">
        <f>(((N144/45)*100)*H144)/$H$190</f>
        <v>0.39240342731319711</v>
      </c>
      <c r="W144" s="15">
        <f>(((O144/15)*100)*H144)/$H$190</f>
        <v>0.44767922390822207</v>
      </c>
      <c r="X144" s="49"/>
      <c r="Y144" s="15">
        <f>(T144*H144)/$H$190</f>
        <v>0.49107893351203863</v>
      </c>
    </row>
    <row r="145" spans="1:25" x14ac:dyDescent="0.3">
      <c r="A145" s="5">
        <v>35</v>
      </c>
      <c r="B145" s="5">
        <v>3500</v>
      </c>
      <c r="C145" s="5">
        <v>1132</v>
      </c>
      <c r="D145" s="5" t="s">
        <v>33</v>
      </c>
      <c r="E145" s="5" t="s">
        <v>34</v>
      </c>
      <c r="F145" s="13">
        <v>137</v>
      </c>
      <c r="G145" s="13" t="s">
        <v>174</v>
      </c>
      <c r="H145" s="13">
        <v>1733</v>
      </c>
      <c r="I145" s="13">
        <v>0</v>
      </c>
      <c r="J145" s="13">
        <v>295.87804878048775</v>
      </c>
      <c r="K145" s="13">
        <v>1246.9146341463413</v>
      </c>
      <c r="L145" s="13">
        <v>190.20731707317071</v>
      </c>
      <c r="M145" s="13">
        <f t="shared" si="2"/>
        <v>1732.9999999999998</v>
      </c>
      <c r="N145" s="13">
        <v>23.01</v>
      </c>
      <c r="O145" s="13">
        <v>13.37</v>
      </c>
      <c r="P145" s="13">
        <v>7.21</v>
      </c>
      <c r="Q145" s="13">
        <v>12.51</v>
      </c>
      <c r="R145" s="13">
        <v>3.5</v>
      </c>
      <c r="S145" s="13">
        <v>7</v>
      </c>
      <c r="T145" s="14">
        <f>N145+O145+P145+Q145+R145+S145</f>
        <v>66.599999999999994</v>
      </c>
      <c r="V145" s="15">
        <f>(((N145/45)*100)*H145)/$H$190</f>
        <v>0.53021676000829709</v>
      </c>
      <c r="W145" s="15">
        <f>(((O145/15)*100)*H145)/$H$190</f>
        <v>0.92425007579021257</v>
      </c>
      <c r="X145" s="49"/>
      <c r="Y145" s="15">
        <f>(T145*H145)/$H$190</f>
        <v>0.69059523239672582</v>
      </c>
    </row>
    <row r="146" spans="1:25" x14ac:dyDescent="0.3">
      <c r="A146" s="5">
        <v>35</v>
      </c>
      <c r="B146" s="5">
        <v>3500</v>
      </c>
      <c r="C146" s="5">
        <v>1133</v>
      </c>
      <c r="D146" s="5" t="s">
        <v>33</v>
      </c>
      <c r="E146" s="5" t="s">
        <v>34</v>
      </c>
      <c r="F146" s="13">
        <v>138</v>
      </c>
      <c r="G146" s="13" t="s">
        <v>175</v>
      </c>
      <c r="H146" s="13">
        <v>1347</v>
      </c>
      <c r="I146" s="13">
        <v>0</v>
      </c>
      <c r="J146" s="13">
        <v>687.66382200548605</v>
      </c>
      <c r="K146" s="13">
        <v>341.16336482779639</v>
      </c>
      <c r="L146" s="13">
        <v>318.17281316671745</v>
      </c>
      <c r="M146" s="13">
        <f t="shared" si="2"/>
        <v>1347</v>
      </c>
      <c r="N146" s="13">
        <v>26.61</v>
      </c>
      <c r="O146" s="13">
        <v>11.74</v>
      </c>
      <c r="P146" s="13">
        <v>7.21</v>
      </c>
      <c r="Q146" s="13">
        <v>12.63</v>
      </c>
      <c r="R146" s="13">
        <v>3.5</v>
      </c>
      <c r="S146" s="13">
        <v>7</v>
      </c>
      <c r="T146" s="14">
        <f>N146+O146+P146+Q146+R146+S146</f>
        <v>68.69</v>
      </c>
      <c r="V146" s="15">
        <f>(((N146/45)*100)*H146)/$H$190</f>
        <v>0.47659638121679188</v>
      </c>
      <c r="W146" s="15">
        <f>(((O146/15)*100)*H146)/$H$190</f>
        <v>0.63080513139629513</v>
      </c>
      <c r="X146" s="49"/>
      <c r="Y146" s="15">
        <f>(T146*H146)/$H$190</f>
        <v>0.55362015939878417</v>
      </c>
    </row>
    <row r="147" spans="1:25" x14ac:dyDescent="0.3">
      <c r="A147" s="5">
        <v>35</v>
      </c>
      <c r="B147" s="5">
        <v>3500</v>
      </c>
      <c r="C147" s="5">
        <v>1134</v>
      </c>
      <c r="D147" s="5" t="s">
        <v>33</v>
      </c>
      <c r="E147" s="5" t="s">
        <v>34</v>
      </c>
      <c r="F147" s="13">
        <v>139</v>
      </c>
      <c r="G147" s="13" t="s">
        <v>176</v>
      </c>
      <c r="H147" s="13">
        <v>1144</v>
      </c>
      <c r="I147" s="13">
        <v>0</v>
      </c>
      <c r="J147" s="13">
        <v>248.41142857142856</v>
      </c>
      <c r="K147" s="13">
        <v>685.09257142857143</v>
      </c>
      <c r="L147" s="13">
        <v>210.49600000000004</v>
      </c>
      <c r="M147" s="13">
        <f t="shared" si="2"/>
        <v>1144</v>
      </c>
      <c r="N147" s="13">
        <v>25.16</v>
      </c>
      <c r="O147" s="13">
        <v>13.3</v>
      </c>
      <c r="P147" s="13">
        <v>4.04</v>
      </c>
      <c r="Q147" s="13">
        <v>10.220000000000001</v>
      </c>
      <c r="R147" s="13">
        <v>2.85</v>
      </c>
      <c r="S147" s="13">
        <v>3.4</v>
      </c>
      <c r="T147" s="14">
        <f>N147+O147+P147+Q147+R147+S147</f>
        <v>58.97</v>
      </c>
      <c r="V147" s="15">
        <f>(((N147/45)*100)*H147)/$H$190</f>
        <v>0.38271451289497338</v>
      </c>
      <c r="W147" s="15">
        <f>(((O147/15)*100)*H147)/$H$190</f>
        <v>0.6069280232316947</v>
      </c>
      <c r="X147" s="49"/>
      <c r="Y147" s="15">
        <f>(T147*H147)/$H$190</f>
        <v>0.40365276913503417</v>
      </c>
    </row>
    <row r="148" spans="1:25" s="32" customFormat="1" x14ac:dyDescent="0.3">
      <c r="A148" s="32">
        <v>35</v>
      </c>
      <c r="B148" s="32">
        <v>3500</v>
      </c>
      <c r="C148" s="32">
        <v>1135</v>
      </c>
      <c r="D148" s="32" t="s">
        <v>33</v>
      </c>
      <c r="E148" s="32" t="s">
        <v>34</v>
      </c>
      <c r="F148" s="33">
        <v>140</v>
      </c>
      <c r="G148" s="33" t="s">
        <v>177</v>
      </c>
      <c r="H148" s="33">
        <v>2522</v>
      </c>
      <c r="I148" s="33">
        <v>1531.2142857142856</v>
      </c>
      <c r="J148" s="33">
        <v>990.78571428571422</v>
      </c>
      <c r="K148" s="33">
        <v>0</v>
      </c>
      <c r="L148" s="33">
        <v>0</v>
      </c>
      <c r="M148" s="33">
        <f t="shared" si="2"/>
        <v>2522</v>
      </c>
      <c r="N148" s="33">
        <v>34.270000000000003</v>
      </c>
      <c r="O148" s="33">
        <v>12.25</v>
      </c>
      <c r="P148" s="33">
        <v>4.8</v>
      </c>
      <c r="Q148" s="33">
        <v>8.1</v>
      </c>
      <c r="R148" s="33">
        <v>3.65</v>
      </c>
      <c r="S148" s="33">
        <v>4.96</v>
      </c>
      <c r="T148" s="34">
        <f>N148+O148+P148+Q148+R148+S148</f>
        <v>68.03</v>
      </c>
      <c r="U148" s="5"/>
      <c r="V148" s="16">
        <f>(((N148/45)*100)*H148)/$H$190</f>
        <v>1.149204867593169</v>
      </c>
      <c r="W148" s="16">
        <f>(((O148/15)*100)*H148)/$H$190</f>
        <v>1.232368803152873</v>
      </c>
      <c r="X148" s="50"/>
      <c r="Y148" s="15">
        <f>(T148*H148)/$H$190</f>
        <v>1.026588363410081</v>
      </c>
    </row>
    <row r="149" spans="1:25" s="27" customFormat="1" x14ac:dyDescent="0.3">
      <c r="A149" s="27">
        <v>35</v>
      </c>
      <c r="B149" s="27">
        <v>3500</v>
      </c>
      <c r="C149" s="27">
        <v>1136</v>
      </c>
      <c r="D149" s="27" t="s">
        <v>33</v>
      </c>
      <c r="E149" s="27" t="s">
        <v>34</v>
      </c>
      <c r="F149" s="28">
        <v>141</v>
      </c>
      <c r="G149" s="28" t="s">
        <v>178</v>
      </c>
      <c r="H149" s="28">
        <v>1229</v>
      </c>
      <c r="I149" s="28">
        <v>852.19670329670328</v>
      </c>
      <c r="J149" s="28">
        <v>376.80329670329672</v>
      </c>
      <c r="K149" s="28">
        <v>0</v>
      </c>
      <c r="L149" s="28">
        <v>0</v>
      </c>
      <c r="M149" s="28">
        <f t="shared" si="2"/>
        <v>1229</v>
      </c>
      <c r="N149" s="28">
        <v>32.15</v>
      </c>
      <c r="O149" s="28">
        <v>8.98</v>
      </c>
      <c r="P149" s="28">
        <v>7.21</v>
      </c>
      <c r="Q149" s="28">
        <v>12.63</v>
      </c>
      <c r="R149" s="28">
        <v>3.5</v>
      </c>
      <c r="S149" s="28">
        <v>4.43</v>
      </c>
      <c r="T149" s="29">
        <f>N149+O149+P149+Q149+R149+S149</f>
        <v>68.900000000000006</v>
      </c>
      <c r="U149" s="5"/>
      <c r="V149" s="30">
        <f>(((N149/45)*100)*H149)/$H$190</f>
        <v>0.52537708954946039</v>
      </c>
      <c r="W149" s="30">
        <f>(((O149/15)*100)*H149)/$H$190</f>
        <v>0.44023822060536433</v>
      </c>
      <c r="X149" s="43"/>
      <c r="Y149" s="30">
        <f>(T149*H149)/$H$190</f>
        <v>0.50666614810205357</v>
      </c>
    </row>
    <row r="150" spans="1:25" x14ac:dyDescent="0.3">
      <c r="A150" s="5">
        <v>35</v>
      </c>
      <c r="B150" s="5">
        <v>3500</v>
      </c>
      <c r="C150" s="5">
        <v>1137</v>
      </c>
      <c r="D150" s="5" t="s">
        <v>33</v>
      </c>
      <c r="E150" s="5" t="s">
        <v>34</v>
      </c>
      <c r="F150" s="13">
        <v>142</v>
      </c>
      <c r="G150" s="13" t="s">
        <v>179</v>
      </c>
      <c r="H150" s="13">
        <v>1475</v>
      </c>
      <c r="I150" s="13">
        <v>0</v>
      </c>
      <c r="J150" s="13">
        <v>584.43396226415098</v>
      </c>
      <c r="K150" s="13">
        <v>512.87061994609167</v>
      </c>
      <c r="L150" s="13">
        <v>377.69541778975736</v>
      </c>
      <c r="M150" s="13">
        <f t="shared" si="2"/>
        <v>1475</v>
      </c>
      <c r="N150" s="13">
        <v>16.59</v>
      </c>
      <c r="O150" s="13">
        <v>10.16</v>
      </c>
      <c r="P150" s="13">
        <v>4.29</v>
      </c>
      <c r="Q150" s="13">
        <v>11.25</v>
      </c>
      <c r="R150" s="13">
        <v>3.18</v>
      </c>
      <c r="S150" s="13">
        <v>3</v>
      </c>
      <c r="T150" s="14">
        <f>N150+O150+P150+Q150+R150+S150</f>
        <v>48.47</v>
      </c>
      <c r="V150" s="15">
        <f>(((N150/45)*100)*H150)/$H$190</f>
        <v>0.3253693775629059</v>
      </c>
      <c r="W150" s="15">
        <f>(((O150/15)*100)*H150)/$H$190</f>
        <v>0.5977853302059899</v>
      </c>
      <c r="X150" s="49"/>
      <c r="Y150" s="15">
        <f>(T150*H150)/$H$190</f>
        <v>0.42777541764396154</v>
      </c>
    </row>
    <row r="151" spans="1:25" x14ac:dyDescent="0.3">
      <c r="A151" s="5">
        <v>35</v>
      </c>
      <c r="B151" s="5">
        <v>3500</v>
      </c>
      <c r="C151" s="5">
        <v>1138</v>
      </c>
      <c r="D151" s="5" t="s">
        <v>33</v>
      </c>
      <c r="E151" s="5" t="s">
        <v>34</v>
      </c>
      <c r="F151" s="13">
        <v>143</v>
      </c>
      <c r="G151" s="13" t="s">
        <v>180</v>
      </c>
      <c r="H151" s="13">
        <v>1292</v>
      </c>
      <c r="I151" s="13">
        <v>0</v>
      </c>
      <c r="J151" s="13">
        <v>1228.1975308641977</v>
      </c>
      <c r="K151" s="13">
        <v>63.802469135802475</v>
      </c>
      <c r="L151" s="13">
        <v>0</v>
      </c>
      <c r="M151" s="13">
        <f t="shared" si="2"/>
        <v>1292.0000000000002</v>
      </c>
      <c r="N151" s="13">
        <v>27.83</v>
      </c>
      <c r="O151" s="13">
        <v>13.87</v>
      </c>
      <c r="P151" s="13">
        <v>8.9</v>
      </c>
      <c r="Q151" s="13">
        <v>11.01</v>
      </c>
      <c r="R151" s="13">
        <v>3.5</v>
      </c>
      <c r="S151" s="13">
        <v>6.11</v>
      </c>
      <c r="T151" s="14">
        <f>N151+O151+P151+Q151+R151+S151</f>
        <v>71.219999999999985</v>
      </c>
      <c r="V151" s="15">
        <f>(((N151/45)*100)*H151)/$H$190</f>
        <v>0.47809476701822679</v>
      </c>
      <c r="W151" s="15">
        <f>(((O151/15)*100)*H151)/$H$190</f>
        <v>0.71482297001898742</v>
      </c>
      <c r="X151" s="49"/>
      <c r="Y151" s="15">
        <f>(T151*H151)/$H$190</f>
        <v>0.55057345268297342</v>
      </c>
    </row>
    <row r="152" spans="1:25" s="44" customFormat="1" x14ac:dyDescent="0.3">
      <c r="A152" s="44">
        <v>35</v>
      </c>
      <c r="B152" s="44">
        <v>3500</v>
      </c>
      <c r="C152" s="44">
        <v>1139</v>
      </c>
      <c r="D152" s="44" t="s">
        <v>33</v>
      </c>
      <c r="E152" s="44" t="s">
        <v>34</v>
      </c>
      <c r="F152" s="45">
        <v>144</v>
      </c>
      <c r="G152" s="45" t="s">
        <v>181</v>
      </c>
      <c r="H152" s="45">
        <v>1274</v>
      </c>
      <c r="I152" s="45">
        <v>1270.1039755351683</v>
      </c>
      <c r="J152" s="45">
        <v>3.8960244648318048</v>
      </c>
      <c r="K152" s="45">
        <v>0</v>
      </c>
      <c r="L152" s="45">
        <v>0</v>
      </c>
      <c r="M152" s="45">
        <f t="shared" si="2"/>
        <v>1274</v>
      </c>
      <c r="N152" s="45">
        <v>30</v>
      </c>
      <c r="O152" s="45">
        <v>9.1199999999999992</v>
      </c>
      <c r="P152" s="45">
        <v>7</v>
      </c>
      <c r="Q152" s="45">
        <v>10.5</v>
      </c>
      <c r="R152" s="45">
        <v>3.5</v>
      </c>
      <c r="S152" s="45">
        <v>7.23</v>
      </c>
      <c r="T152" s="46">
        <f>N152+O152+P152+Q152+R152+S152</f>
        <v>67.349999999999994</v>
      </c>
      <c r="U152" s="5"/>
      <c r="V152" s="47">
        <f>(((N152/45)*100)*H152)/$H$190</f>
        <v>0.50819332088778257</v>
      </c>
      <c r="W152" s="47">
        <f>(((O152/15)*100)*H152)/$H$190</f>
        <v>0.46347230864965772</v>
      </c>
      <c r="X152" s="48"/>
      <c r="Y152" s="15">
        <f>(T152*H152)/$H$190</f>
        <v>0.51340230242688234</v>
      </c>
    </row>
    <row r="153" spans="1:25" x14ac:dyDescent="0.3">
      <c r="A153" s="5">
        <v>35</v>
      </c>
      <c r="B153" s="5">
        <v>3500</v>
      </c>
      <c r="C153" s="5">
        <v>1140</v>
      </c>
      <c r="D153" s="5" t="s">
        <v>33</v>
      </c>
      <c r="E153" s="5" t="s">
        <v>34</v>
      </c>
      <c r="F153" s="13">
        <v>145</v>
      </c>
      <c r="G153" s="13" t="s">
        <v>182</v>
      </c>
      <c r="H153" s="13">
        <v>1779</v>
      </c>
      <c r="I153" s="13">
        <v>0</v>
      </c>
      <c r="J153" s="13">
        <v>0</v>
      </c>
      <c r="K153" s="13">
        <v>761.01666666666677</v>
      </c>
      <c r="L153" s="13">
        <v>998.2166666666667</v>
      </c>
      <c r="M153" s="13">
        <f t="shared" si="2"/>
        <v>1759.2333333333336</v>
      </c>
      <c r="N153" s="13">
        <v>14.54</v>
      </c>
      <c r="O153" s="13">
        <v>9.64</v>
      </c>
      <c r="P153" s="13">
        <v>7</v>
      </c>
      <c r="Q153" s="13">
        <v>11.31</v>
      </c>
      <c r="R153" s="13">
        <v>3.5</v>
      </c>
      <c r="S153" s="13">
        <v>7.23</v>
      </c>
      <c r="T153" s="14">
        <f>N153+O153+P153+Q153+R153+S153</f>
        <v>53.22</v>
      </c>
      <c r="V153" s="15">
        <f>(((N153/45)*100)*H153)/$H$190</f>
        <v>0.34393678298469837</v>
      </c>
      <c r="W153" s="15">
        <f>(((O153/15)*100)*H153)/$H$190</f>
        <v>0.68408884208510834</v>
      </c>
      <c r="X153" s="49"/>
      <c r="Y153" s="15">
        <f>(T153*H153)/$H$190</f>
        <v>0.56650220190512668</v>
      </c>
    </row>
    <row r="154" spans="1:25" s="44" customFormat="1" x14ac:dyDescent="0.3">
      <c r="A154" s="44">
        <v>35</v>
      </c>
      <c r="B154" s="44">
        <v>3500</v>
      </c>
      <c r="C154" s="44">
        <v>1141</v>
      </c>
      <c r="D154" s="44" t="s">
        <v>33</v>
      </c>
      <c r="E154" s="44" t="s">
        <v>34</v>
      </c>
      <c r="F154" s="45">
        <v>146</v>
      </c>
      <c r="G154" s="45" t="s">
        <v>183</v>
      </c>
      <c r="H154" s="45">
        <v>1661</v>
      </c>
      <c r="I154" s="45">
        <v>296.14728682170545</v>
      </c>
      <c r="J154" s="45">
        <v>1364.8527131782946</v>
      </c>
      <c r="K154" s="45">
        <v>0</v>
      </c>
      <c r="L154" s="45">
        <v>0</v>
      </c>
      <c r="M154" s="45">
        <f t="shared" si="2"/>
        <v>1661</v>
      </c>
      <c r="N154" s="45">
        <v>31.1</v>
      </c>
      <c r="O154" s="45">
        <v>10.44</v>
      </c>
      <c r="P154" s="45">
        <v>7</v>
      </c>
      <c r="Q154" s="45">
        <v>10.5</v>
      </c>
      <c r="R154" s="45">
        <v>3.5</v>
      </c>
      <c r="S154" s="45">
        <v>6.4</v>
      </c>
      <c r="T154" s="46">
        <f>N154+O154+P154+Q154+R154+S154</f>
        <v>68.94</v>
      </c>
      <c r="U154" s="5"/>
      <c r="V154" s="47">
        <f>(((N154/45)*100)*H154)/$H$190</f>
        <v>0.68686010456390045</v>
      </c>
      <c r="W154" s="47">
        <f>(((O154/15)*100)*H154)/$H$190</f>
        <v>0.691718922023838</v>
      </c>
      <c r="X154" s="48"/>
      <c r="Y154" s="15">
        <f>(T154*H154)/$H$190</f>
        <v>0.68515951845292233</v>
      </c>
    </row>
    <row r="155" spans="1:25" x14ac:dyDescent="0.3">
      <c r="A155" s="5">
        <v>35</v>
      </c>
      <c r="B155" s="5">
        <v>3500</v>
      </c>
      <c r="C155" s="5">
        <v>1142</v>
      </c>
      <c r="D155" s="5" t="s">
        <v>33</v>
      </c>
      <c r="E155" s="5" t="s">
        <v>34</v>
      </c>
      <c r="F155" s="13">
        <v>147</v>
      </c>
      <c r="G155" s="13" t="s">
        <v>184</v>
      </c>
      <c r="H155" s="13">
        <v>1044</v>
      </c>
      <c r="I155" s="13">
        <v>0</v>
      </c>
      <c r="J155" s="13">
        <v>9.6666666666666679</v>
      </c>
      <c r="K155" s="13">
        <v>638</v>
      </c>
      <c r="L155" s="13">
        <v>396.33333333333337</v>
      </c>
      <c r="M155" s="13">
        <f t="shared" si="2"/>
        <v>1044</v>
      </c>
      <c r="N155" s="13">
        <v>20.72</v>
      </c>
      <c r="O155" s="13">
        <v>10.77</v>
      </c>
      <c r="P155" s="13">
        <v>8.5</v>
      </c>
      <c r="Q155" s="13">
        <v>12.31</v>
      </c>
      <c r="R155" s="13">
        <v>4.25</v>
      </c>
      <c r="S155" s="13">
        <v>7.4</v>
      </c>
      <c r="T155" s="14">
        <f>N155+O155+P155+Q155+R155+S155</f>
        <v>63.949999999999996</v>
      </c>
      <c r="V155" s="15">
        <f>(((N155/45)*100)*H155)/$H$190</f>
        <v>0.28762625053850943</v>
      </c>
      <c r="W155" s="15">
        <f>(((O155/15)*100)*H155)/$H$190</f>
        <v>0.44851371403953855</v>
      </c>
      <c r="X155" s="49"/>
      <c r="Y155" s="15">
        <f>(T155*H155)/$H$190</f>
        <v>0.39947704753243019</v>
      </c>
    </row>
    <row r="156" spans="1:25" x14ac:dyDescent="0.3">
      <c r="A156" s="5">
        <v>35</v>
      </c>
      <c r="B156" s="5">
        <v>3500</v>
      </c>
      <c r="C156" s="5">
        <v>1145</v>
      </c>
      <c r="D156" s="5" t="s">
        <v>33</v>
      </c>
      <c r="E156" s="5" t="s">
        <v>34</v>
      </c>
      <c r="F156" s="13">
        <v>148</v>
      </c>
      <c r="G156" s="13" t="s">
        <v>185</v>
      </c>
      <c r="H156" s="13">
        <v>1476</v>
      </c>
      <c r="I156" s="13"/>
      <c r="J156" s="13">
        <v>18.132808022922639</v>
      </c>
      <c r="K156" s="13">
        <v>329.56246418338105</v>
      </c>
      <c r="L156" s="13">
        <v>1128.3047277936962</v>
      </c>
      <c r="M156" s="13">
        <f t="shared" si="2"/>
        <v>1476</v>
      </c>
      <c r="N156" s="13">
        <v>12.06</v>
      </c>
      <c r="O156" s="13">
        <v>12.97</v>
      </c>
      <c r="P156" s="13">
        <v>7.21</v>
      </c>
      <c r="Q156" s="13">
        <v>10.4</v>
      </c>
      <c r="R156" s="13">
        <v>3.58</v>
      </c>
      <c r="S156" s="13">
        <v>3</v>
      </c>
      <c r="T156" s="14">
        <f>N156+O156+P156+Q156+R156+S156</f>
        <v>49.22</v>
      </c>
      <c r="V156" s="15">
        <f>(((N156/45)*100)*H156)/$H$190</f>
        <v>0.23668565410942513</v>
      </c>
      <c r="W156" s="15">
        <f>(((O156/15)*100)*H156)/$H$190</f>
        <v>0.76363505815901589</v>
      </c>
      <c r="X156" s="49"/>
      <c r="Y156" s="15">
        <f>(T156*H156)/$H$190</f>
        <v>0.43468910056962329</v>
      </c>
    </row>
    <row r="157" spans="1:25" x14ac:dyDescent="0.3">
      <c r="A157" s="5">
        <v>35</v>
      </c>
      <c r="B157" s="5">
        <v>3500</v>
      </c>
      <c r="C157" s="5">
        <v>1146</v>
      </c>
      <c r="D157" s="5" t="s">
        <v>33</v>
      </c>
      <c r="E157" s="5" t="s">
        <v>34</v>
      </c>
      <c r="F157" s="13">
        <v>149</v>
      </c>
      <c r="G157" s="13" t="s">
        <v>186</v>
      </c>
      <c r="H157" s="13">
        <v>1054</v>
      </c>
      <c r="I157" s="13">
        <v>0</v>
      </c>
      <c r="J157" s="13">
        <v>56.894637673779087</v>
      </c>
      <c r="K157" s="13">
        <v>252.5907215969853</v>
      </c>
      <c r="L157" s="13">
        <v>744.51464072923568</v>
      </c>
      <c r="M157" s="13">
        <f t="shared" si="2"/>
        <v>1054</v>
      </c>
      <c r="N157" s="13">
        <v>13.04</v>
      </c>
      <c r="O157" s="13">
        <v>6.9</v>
      </c>
      <c r="P157" s="13">
        <v>6.96</v>
      </c>
      <c r="Q157" s="13">
        <v>9.8000000000000007</v>
      </c>
      <c r="R157" s="13">
        <v>3.5</v>
      </c>
      <c r="S157" s="13">
        <v>4.2</v>
      </c>
      <c r="T157" s="14">
        <f>N157+O157+P157+Q157+R157+S157</f>
        <v>44.400000000000006</v>
      </c>
      <c r="V157" s="15">
        <f>(((N157/45)*100)*H157)/$H$190</f>
        <v>0.18274961573032511</v>
      </c>
      <c r="W157" s="15">
        <f>(((O157/15)*100)*H157)/$H$190</f>
        <v>0.2901010004308075</v>
      </c>
      <c r="X157" s="49"/>
      <c r="Y157" s="15">
        <f>(T157*H157)/$H$190</f>
        <v>0.28001053085060557</v>
      </c>
    </row>
    <row r="158" spans="1:25" x14ac:dyDescent="0.3">
      <c r="A158" s="5">
        <v>35</v>
      </c>
      <c r="B158" s="5">
        <v>3500</v>
      </c>
      <c r="C158" s="5">
        <v>1147</v>
      </c>
      <c r="D158" s="5" t="s">
        <v>33</v>
      </c>
      <c r="E158" s="5" t="s">
        <v>34</v>
      </c>
      <c r="F158" s="13">
        <v>150</v>
      </c>
      <c r="G158" s="13" t="s">
        <v>187</v>
      </c>
      <c r="H158" s="13">
        <v>1430</v>
      </c>
      <c r="I158" s="13"/>
      <c r="J158" s="13">
        <v>31.118509195728961</v>
      </c>
      <c r="K158" s="13">
        <v>297.19337420323978</v>
      </c>
      <c r="L158" s="13">
        <v>1101.6881166010312</v>
      </c>
      <c r="M158" s="13">
        <f t="shared" si="2"/>
        <v>1430</v>
      </c>
      <c r="N158" s="13">
        <v>19.53</v>
      </c>
      <c r="O158" s="13">
        <v>13.74</v>
      </c>
      <c r="P158" s="13">
        <v>7.29</v>
      </c>
      <c r="Q158" s="13">
        <v>10.09</v>
      </c>
      <c r="R158" s="13">
        <v>3.1</v>
      </c>
      <c r="S158" s="13">
        <v>5</v>
      </c>
      <c r="T158" s="14">
        <f>N158+O158+P158+Q158+R158+S158</f>
        <v>58.750000000000007</v>
      </c>
      <c r="V158" s="15">
        <f>(((N158/45)*100)*H158)/$H$190</f>
        <v>0.3713441194772869</v>
      </c>
      <c r="W158" s="15">
        <f>(((O158/15)*100)*H158)/$H$190</f>
        <v>0.78375855631611713</v>
      </c>
      <c r="X158" s="49"/>
      <c r="Y158" s="15">
        <f>(T158*H158)/$H$190</f>
        <v>0.50268357187305546</v>
      </c>
    </row>
    <row r="159" spans="1:25" x14ac:dyDescent="0.3">
      <c r="A159" s="5">
        <v>35</v>
      </c>
      <c r="B159" s="5">
        <v>3500</v>
      </c>
      <c r="C159" s="5">
        <v>1143</v>
      </c>
      <c r="D159" s="5" t="s">
        <v>33</v>
      </c>
      <c r="E159" s="5" t="s">
        <v>34</v>
      </c>
      <c r="F159" s="13">
        <v>151</v>
      </c>
      <c r="G159" s="13" t="s">
        <v>188</v>
      </c>
      <c r="H159" s="13">
        <v>1185</v>
      </c>
      <c r="I159" s="13">
        <v>115</v>
      </c>
      <c r="J159" s="13">
        <v>196</v>
      </c>
      <c r="K159" s="13">
        <v>542</v>
      </c>
      <c r="L159" s="13">
        <v>332</v>
      </c>
      <c r="M159" s="13">
        <f>SUM(I159:L159)</f>
        <v>1185</v>
      </c>
      <c r="N159" s="13">
        <v>26</v>
      </c>
      <c r="O159" s="13">
        <v>8</v>
      </c>
      <c r="P159" s="13">
        <v>6</v>
      </c>
      <c r="Q159" s="13">
        <v>8</v>
      </c>
      <c r="R159" s="13">
        <v>3</v>
      </c>
      <c r="S159" s="13">
        <v>6</v>
      </c>
      <c r="T159" s="14">
        <f>N159+O159+P159+Q159+R159+S159</f>
        <v>57</v>
      </c>
      <c r="V159" s="15">
        <f>(((N159/45)*100)*H159)/$H$190</f>
        <v>0.40966604438913085</v>
      </c>
      <c r="W159" s="15">
        <f>(((O159/15)*100)*H159)/$H$190</f>
        <v>0.37815327174381314</v>
      </c>
      <c r="X159" s="49"/>
      <c r="Y159" s="15">
        <f>(T159*H159)/$H$190</f>
        <v>0.40415130917620029</v>
      </c>
    </row>
    <row r="160" spans="1:25" x14ac:dyDescent="0.3">
      <c r="A160" s="5">
        <v>35</v>
      </c>
      <c r="B160" s="5">
        <v>3500</v>
      </c>
      <c r="C160" s="5">
        <v>1144</v>
      </c>
      <c r="D160" s="5" t="s">
        <v>33</v>
      </c>
      <c r="E160" s="5" t="s">
        <v>34</v>
      </c>
      <c r="F160" s="13">
        <v>152</v>
      </c>
      <c r="G160" s="13" t="s">
        <v>189</v>
      </c>
      <c r="H160" s="13">
        <v>1120</v>
      </c>
      <c r="I160" s="13">
        <v>0</v>
      </c>
      <c r="J160" s="13">
        <v>0</v>
      </c>
      <c r="K160" s="13">
        <v>42.836009381201521</v>
      </c>
      <c r="L160" s="13">
        <v>1077.1639906187986</v>
      </c>
      <c r="M160" s="13">
        <f>SUM(I160:L160)</f>
        <v>1120.0000000000002</v>
      </c>
      <c r="N160" s="13">
        <v>12.44</v>
      </c>
      <c r="O160" s="13">
        <v>14.29</v>
      </c>
      <c r="P160" s="13">
        <v>4.21</v>
      </c>
      <c r="Q160" s="13">
        <v>10.47</v>
      </c>
      <c r="R160" s="13">
        <v>2.1800000000000002</v>
      </c>
      <c r="S160" s="13">
        <v>4.4000000000000004</v>
      </c>
      <c r="T160" s="14">
        <f>N160+O160+P160+Q160+R160+S160</f>
        <v>47.989999999999995</v>
      </c>
      <c r="V160" s="15">
        <f>(((N160/45)*100)*H160)/$H$190</f>
        <v>0.18525787287454989</v>
      </c>
      <c r="W160" s="15">
        <f>(((O160/15)*100)*H160)/$H$190</f>
        <v>0.63842484004276168</v>
      </c>
      <c r="X160" s="49"/>
      <c r="Y160" s="15">
        <f>(T160*H160)/$H$190</f>
        <v>0.32160260399214968</v>
      </c>
    </row>
    <row r="161" spans="1:25" x14ac:dyDescent="0.3">
      <c r="F161" s="13"/>
      <c r="G161" s="17" t="s">
        <v>190</v>
      </c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4"/>
      <c r="V161" s="15">
        <f>(((N161/45)*100)*H161)/$H$190</f>
        <v>0</v>
      </c>
      <c r="W161" s="15">
        <f>(((O161/15)*100)*H161)/$H$190</f>
        <v>0</v>
      </c>
      <c r="X161" s="42">
        <f>SUM(W162:W174)</f>
        <v>5.4999816507906116</v>
      </c>
      <c r="Y161" s="15">
        <f>(T161*H161)/$H$190</f>
        <v>0</v>
      </c>
    </row>
    <row r="162" spans="1:25" s="44" customFormat="1" x14ac:dyDescent="0.3">
      <c r="A162" s="44">
        <v>35</v>
      </c>
      <c r="B162" s="44">
        <v>3500</v>
      </c>
      <c r="C162" s="44">
        <v>1229</v>
      </c>
      <c r="D162" s="44" t="s">
        <v>33</v>
      </c>
      <c r="E162" s="44" t="s">
        <v>34</v>
      </c>
      <c r="F162" s="45">
        <v>153</v>
      </c>
      <c r="G162" s="45" t="s">
        <v>191</v>
      </c>
      <c r="H162" s="45">
        <v>1151</v>
      </c>
      <c r="I162" s="45">
        <v>1075.6456996148909</v>
      </c>
      <c r="J162" s="45">
        <v>75.354300385109113</v>
      </c>
      <c r="K162" s="45">
        <v>0</v>
      </c>
      <c r="L162" s="45">
        <v>0</v>
      </c>
      <c r="M162" s="45">
        <f t="shared" ref="M162:M174" si="3">SUM(I162:L162)</f>
        <v>1151</v>
      </c>
      <c r="N162" s="45">
        <v>32.39</v>
      </c>
      <c r="O162" s="45">
        <v>13.55</v>
      </c>
      <c r="P162" s="45">
        <v>3.76</v>
      </c>
      <c r="Q162" s="45">
        <v>9.6999999999999993</v>
      </c>
      <c r="R162" s="45">
        <v>3.5</v>
      </c>
      <c r="S162" s="45">
        <v>5.56</v>
      </c>
      <c r="T162" s="46">
        <f>N162+O162+P162+Q162+R162+S162</f>
        <v>68.459999999999994</v>
      </c>
      <c r="U162" s="5"/>
      <c r="V162" s="47">
        <f>(((N162/45)*100)*H162)/$H$190</f>
        <v>0.49570641796839676</v>
      </c>
      <c r="W162" s="47">
        <f>(((O162/15)*100)*H162)/$H$190</f>
        <v>0.62211997191773172</v>
      </c>
      <c r="X162" s="48"/>
      <c r="Y162" s="15">
        <f>(T162*H162)/$H$190</f>
        <v>0.47147970417883295</v>
      </c>
    </row>
    <row r="163" spans="1:25" s="27" customFormat="1" x14ac:dyDescent="0.3">
      <c r="A163" s="27">
        <v>35</v>
      </c>
      <c r="B163" s="27">
        <v>3500</v>
      </c>
      <c r="C163" s="27">
        <v>1230</v>
      </c>
      <c r="D163" s="27" t="s">
        <v>33</v>
      </c>
      <c r="E163" s="27" t="s">
        <v>34</v>
      </c>
      <c r="F163" s="28">
        <v>154</v>
      </c>
      <c r="G163" s="28" t="s">
        <v>192</v>
      </c>
      <c r="H163" s="28">
        <v>319</v>
      </c>
      <c r="I163" s="28">
        <v>296.21428571428572</v>
      </c>
      <c r="J163" s="28">
        <v>22.785714285714285</v>
      </c>
      <c r="K163" s="28">
        <v>0</v>
      </c>
      <c r="L163" s="28">
        <v>0</v>
      </c>
      <c r="M163" s="28">
        <f t="shared" si="3"/>
        <v>319</v>
      </c>
      <c r="N163" s="28">
        <v>32.479999999999997</v>
      </c>
      <c r="O163" s="28">
        <v>13.4</v>
      </c>
      <c r="P163" s="28">
        <v>5.0599999999999996</v>
      </c>
      <c r="Q163" s="28">
        <v>10.71</v>
      </c>
      <c r="R163" s="28">
        <v>3.5</v>
      </c>
      <c r="S163" s="28">
        <v>7.95</v>
      </c>
      <c r="T163" s="29">
        <f>N163+O163+P163+Q163+R163+S163</f>
        <v>73.100000000000009</v>
      </c>
      <c r="U163" s="5"/>
      <c r="V163" s="30">
        <f>(((N163/45)*100)*H163)/$H$190</f>
        <v>0.13776692781048724</v>
      </c>
      <c r="W163" s="30">
        <f>(((O163/15)*100)*H163)/$H$190</f>
        <v>0.17051202272110796</v>
      </c>
      <c r="X163" s="43"/>
      <c r="Y163" s="30">
        <f>(T163*H163)/$H$190</f>
        <v>0.13952718874156336</v>
      </c>
    </row>
    <row r="164" spans="1:25" x14ac:dyDescent="0.3">
      <c r="A164" s="5">
        <v>35</v>
      </c>
      <c r="B164" s="5">
        <v>3500</v>
      </c>
      <c r="C164" s="5">
        <v>1231</v>
      </c>
      <c r="D164" s="5" t="s">
        <v>33</v>
      </c>
      <c r="E164" s="5" t="s">
        <v>34</v>
      </c>
      <c r="F164" s="13">
        <v>155</v>
      </c>
      <c r="G164" s="13" t="s">
        <v>193</v>
      </c>
      <c r="H164" s="13">
        <v>309</v>
      </c>
      <c r="I164" s="13">
        <v>22.888888888888889</v>
      </c>
      <c r="J164" s="13">
        <v>137.33333333333331</v>
      </c>
      <c r="K164" s="13">
        <v>80.1111111111111</v>
      </c>
      <c r="L164" s="13">
        <v>68.666666666666657</v>
      </c>
      <c r="M164" s="13">
        <f t="shared" si="3"/>
        <v>309</v>
      </c>
      <c r="N164" s="13">
        <v>26.08</v>
      </c>
      <c r="O164" s="13">
        <v>14.97</v>
      </c>
      <c r="P164" s="13">
        <v>6.31</v>
      </c>
      <c r="Q164" s="13">
        <v>13.15</v>
      </c>
      <c r="R164" s="13">
        <v>4.25</v>
      </c>
      <c r="S164" s="13">
        <v>7.46</v>
      </c>
      <c r="T164" s="14">
        <f>N164+O164+P164+Q164+R164+S164</f>
        <v>72.219999999999985</v>
      </c>
      <c r="V164" s="15">
        <f>(((N164/45)*100)*H164)/$H$190</f>
        <v>0.10715300049463083</v>
      </c>
      <c r="W164" s="15">
        <f>(((O164/15)*100)*H164)/$H$190</f>
        <v>0.18451845292231106</v>
      </c>
      <c r="X164" s="49"/>
      <c r="Y164" s="15">
        <f>(T164*H164)/$H$190</f>
        <v>0.13352627925901103</v>
      </c>
    </row>
    <row r="165" spans="1:25" x14ac:dyDescent="0.3">
      <c r="A165" s="5">
        <v>35</v>
      </c>
      <c r="B165" s="5">
        <v>3500</v>
      </c>
      <c r="C165" s="5">
        <v>1232</v>
      </c>
      <c r="D165" s="5" t="s">
        <v>33</v>
      </c>
      <c r="E165" s="5" t="s">
        <v>34</v>
      </c>
      <c r="F165" s="13">
        <v>156</v>
      </c>
      <c r="G165" s="13" t="s">
        <v>194</v>
      </c>
      <c r="H165" s="13">
        <v>350</v>
      </c>
      <c r="I165" s="13">
        <v>0</v>
      </c>
      <c r="J165" s="13">
        <v>109.375</v>
      </c>
      <c r="K165" s="13">
        <v>153.125</v>
      </c>
      <c r="L165" s="13">
        <v>87.5</v>
      </c>
      <c r="M165" s="13">
        <f t="shared" si="3"/>
        <v>350</v>
      </c>
      <c r="N165" s="13">
        <v>19.32</v>
      </c>
      <c r="O165" s="13">
        <v>4.95</v>
      </c>
      <c r="P165" s="13">
        <v>7.66</v>
      </c>
      <c r="Q165" s="13">
        <v>12.75</v>
      </c>
      <c r="R165" s="13">
        <v>4.25</v>
      </c>
      <c r="S165" s="13">
        <v>8.41</v>
      </c>
      <c r="T165" s="14">
        <f>N165+O165+P165+Q165+R165+S165</f>
        <v>57.34</v>
      </c>
      <c r="V165" s="15">
        <f>(((N165/45)*100)*H165)/$H$190</f>
        <v>8.9911126003223082E-2</v>
      </c>
      <c r="W165" s="15">
        <f>(((O165/15)*100)*H165)/$H$190</f>
        <v>6.9108707098750652E-2</v>
      </c>
      <c r="X165" s="49"/>
      <c r="Y165" s="15">
        <f>(T165*H165)/$H$190</f>
        <v>0.12008161409219281</v>
      </c>
    </row>
    <row r="166" spans="1:25" x14ac:dyDescent="0.3">
      <c r="A166" s="5">
        <v>35</v>
      </c>
      <c r="B166" s="5">
        <v>3500</v>
      </c>
      <c r="C166" s="5">
        <v>1233</v>
      </c>
      <c r="D166" s="5" t="s">
        <v>33</v>
      </c>
      <c r="E166" s="5" t="s">
        <v>34</v>
      </c>
      <c r="F166" s="13">
        <v>157</v>
      </c>
      <c r="G166" s="13" t="s">
        <v>195</v>
      </c>
      <c r="H166" s="13">
        <v>63</v>
      </c>
      <c r="I166" s="13">
        <v>0</v>
      </c>
      <c r="J166" s="13">
        <v>25.200000000000003</v>
      </c>
      <c r="K166" s="13">
        <v>37.799999999999997</v>
      </c>
      <c r="L166" s="13">
        <v>0</v>
      </c>
      <c r="M166" s="13">
        <f t="shared" si="3"/>
        <v>63</v>
      </c>
      <c r="N166" s="13">
        <v>24.78</v>
      </c>
      <c r="O166" s="13">
        <v>14.94</v>
      </c>
      <c r="P166" s="13">
        <v>8.6999999999999993</v>
      </c>
      <c r="Q166" s="13">
        <v>12.75</v>
      </c>
      <c r="R166" s="13">
        <v>4.75</v>
      </c>
      <c r="S166" s="13">
        <v>7.7</v>
      </c>
      <c r="T166" s="14">
        <f>N166+O166+P166+Q166+R166+S166</f>
        <v>73.62</v>
      </c>
      <c r="V166" s="15">
        <f>(((N166/45)*100)*H166)/$H$190</f>
        <v>2.0757742568570197E-2</v>
      </c>
      <c r="W166" s="15">
        <f>(((O166/15)*100)*H166)/$H$190</f>
        <v>3.7544875783830353E-2</v>
      </c>
      <c r="X166" s="49"/>
      <c r="Y166" s="15">
        <f>(T166*H166)/$H$190</f>
        <v>2.7751543726963767E-2</v>
      </c>
    </row>
    <row r="167" spans="1:25" x14ac:dyDescent="0.3">
      <c r="A167" s="5">
        <v>35</v>
      </c>
      <c r="B167" s="5">
        <v>3500</v>
      </c>
      <c r="C167" s="5">
        <v>1234</v>
      </c>
      <c r="D167" s="5" t="s">
        <v>33</v>
      </c>
      <c r="E167" s="5" t="s">
        <v>34</v>
      </c>
      <c r="F167" s="13">
        <v>158</v>
      </c>
      <c r="G167" s="13" t="s">
        <v>196</v>
      </c>
      <c r="H167" s="13">
        <v>777</v>
      </c>
      <c r="I167" s="13">
        <v>40.709046454767723</v>
      </c>
      <c r="J167" s="13">
        <v>552.88312958435199</v>
      </c>
      <c r="K167" s="13">
        <v>97.701711491442538</v>
      </c>
      <c r="L167" s="13">
        <v>85.706112469437642</v>
      </c>
      <c r="M167" s="13">
        <f t="shared" si="3"/>
        <v>777</v>
      </c>
      <c r="N167" s="13">
        <v>32.61</v>
      </c>
      <c r="O167" s="13">
        <v>11.01</v>
      </c>
      <c r="P167" s="13">
        <v>6</v>
      </c>
      <c r="Q167" s="13">
        <v>12.12</v>
      </c>
      <c r="R167" s="13">
        <v>3.4</v>
      </c>
      <c r="S167" s="13">
        <v>6.35</v>
      </c>
      <c r="T167" s="14">
        <f>N167+O167+P167+Q167+R167+S167</f>
        <v>71.489999999999995</v>
      </c>
      <c r="V167" s="15">
        <f>(((N167/45)*100)*H167)/$H$190</f>
        <v>0.33690704130965488</v>
      </c>
      <c r="W167" s="15">
        <f>(((O167/15)*100)*H167)/$H$190</f>
        <v>0.34124623043415825</v>
      </c>
      <c r="X167" s="49"/>
      <c r="Y167" s="15">
        <f>(T167*H167)/$H$190</f>
        <v>0.33236638983294237</v>
      </c>
    </row>
    <row r="168" spans="1:25" x14ac:dyDescent="0.3">
      <c r="A168" s="5">
        <v>35</v>
      </c>
      <c r="B168" s="5">
        <v>3500</v>
      </c>
      <c r="C168" s="5">
        <v>1235</v>
      </c>
      <c r="D168" s="5" t="s">
        <v>33</v>
      </c>
      <c r="E168" s="5" t="s">
        <v>34</v>
      </c>
      <c r="F168" s="13">
        <v>159</v>
      </c>
      <c r="G168" s="13" t="s">
        <v>197</v>
      </c>
      <c r="H168" s="13">
        <v>80</v>
      </c>
      <c r="I168" s="13">
        <v>0</v>
      </c>
      <c r="J168" s="13">
        <v>0</v>
      </c>
      <c r="K168" s="13">
        <v>26.666666666666664</v>
      </c>
      <c r="L168" s="13">
        <v>53.333333333333329</v>
      </c>
      <c r="M168" s="13">
        <f t="shared" si="3"/>
        <v>80</v>
      </c>
      <c r="N168" s="13">
        <v>4.5199999999999996</v>
      </c>
      <c r="O168" s="13">
        <v>5.29</v>
      </c>
      <c r="P168" s="13">
        <v>3.8</v>
      </c>
      <c r="Q168" s="13">
        <v>12.75</v>
      </c>
      <c r="R168" s="13">
        <v>4.25</v>
      </c>
      <c r="S168" s="13">
        <v>6.7</v>
      </c>
      <c r="T168" s="14">
        <f>N168+O168+P168+Q168+R168+S168</f>
        <v>37.31</v>
      </c>
      <c r="V168" s="15">
        <f>(((N168/45)*100)*H168)/$H$190</f>
        <v>4.8080247209058655E-3</v>
      </c>
      <c r="W168" s="15">
        <f>(((O168/15)*100)*H168)/$H$190</f>
        <v>1.688127263733984E-2</v>
      </c>
      <c r="X168" s="49"/>
      <c r="Y168" s="15">
        <f>(T168*H168)/$H$190</f>
        <v>1.7859365276913505E-2</v>
      </c>
    </row>
    <row r="169" spans="1:25" s="32" customFormat="1" x14ac:dyDescent="0.3">
      <c r="A169" s="32">
        <v>35</v>
      </c>
      <c r="B169" s="32">
        <v>3500</v>
      </c>
      <c r="C169" s="32">
        <v>1090</v>
      </c>
      <c r="D169" s="32" t="s">
        <v>33</v>
      </c>
      <c r="E169" s="32" t="s">
        <v>34</v>
      </c>
      <c r="F169" s="33">
        <v>160</v>
      </c>
      <c r="G169" s="33" t="s">
        <v>198</v>
      </c>
      <c r="H169" s="33">
        <v>1523</v>
      </c>
      <c r="I169" s="33">
        <v>921.3209876543209</v>
      </c>
      <c r="J169" s="33">
        <v>601.67901234567898</v>
      </c>
      <c r="K169" s="33">
        <v>0</v>
      </c>
      <c r="L169" s="33">
        <v>0</v>
      </c>
      <c r="M169" s="33">
        <f t="shared" si="3"/>
        <v>1523</v>
      </c>
      <c r="N169" s="33">
        <v>32.229999999999997</v>
      </c>
      <c r="O169" s="33">
        <v>5.29</v>
      </c>
      <c r="P169" s="33">
        <v>4.24</v>
      </c>
      <c r="Q169" s="33">
        <v>8.58</v>
      </c>
      <c r="R169" s="33">
        <v>3.5</v>
      </c>
      <c r="S169" s="33">
        <v>5.8</v>
      </c>
      <c r="T169" s="34">
        <f>N169+O169+P169+Q169+R169+S169</f>
        <v>59.639999999999993</v>
      </c>
      <c r="U169" s="5"/>
      <c r="V169" s="16">
        <f>(((N169/45)*100)*H169)/$H$190</f>
        <v>0.65267725602199778</v>
      </c>
      <c r="W169" s="16">
        <f>(((O169/15)*100)*H169)/$H$190</f>
        <v>0.32137722783335726</v>
      </c>
      <c r="X169" s="50"/>
      <c r="Y169" s="15">
        <f>(T169*H169)/$H$190</f>
        <v>0.54348595088794205</v>
      </c>
    </row>
    <row r="170" spans="1:25" s="27" customFormat="1" x14ac:dyDescent="0.3">
      <c r="A170" s="27">
        <v>35</v>
      </c>
      <c r="B170" s="27">
        <v>3500</v>
      </c>
      <c r="C170" s="27">
        <v>1091</v>
      </c>
      <c r="D170" s="27" t="s">
        <v>33</v>
      </c>
      <c r="E170" s="27" t="s">
        <v>34</v>
      </c>
      <c r="F170" s="28">
        <v>161</v>
      </c>
      <c r="G170" s="28" t="s">
        <v>199</v>
      </c>
      <c r="H170" s="28">
        <v>1736</v>
      </c>
      <c r="I170" s="28">
        <v>1458.2400000000002</v>
      </c>
      <c r="J170" s="28">
        <v>277.76</v>
      </c>
      <c r="K170" s="28">
        <v>0</v>
      </c>
      <c r="L170" s="28">
        <v>0</v>
      </c>
      <c r="M170" s="28">
        <f t="shared" si="3"/>
        <v>1736.0000000000002</v>
      </c>
      <c r="N170" s="28">
        <v>24.43</v>
      </c>
      <c r="O170" s="28">
        <v>11.81</v>
      </c>
      <c r="P170" s="28">
        <v>4.2</v>
      </c>
      <c r="Q170" s="28">
        <v>7.3</v>
      </c>
      <c r="R170" s="28">
        <v>3.58</v>
      </c>
      <c r="S170" s="28">
        <v>4.16</v>
      </c>
      <c r="T170" s="29">
        <f>N170+O170+P170+Q170+R170+S170</f>
        <v>55.480000000000004</v>
      </c>
      <c r="U170" s="5"/>
      <c r="V170" s="30">
        <f>(((N170/45)*100)*H170)/$H$190</f>
        <v>0.56391215781383797</v>
      </c>
      <c r="W170" s="30">
        <f>(((O170/15)*100)*H170)/$H$190</f>
        <v>0.81782266685813676</v>
      </c>
      <c r="X170" s="43"/>
      <c r="Y170" s="30">
        <f>(T170*H170)/$H$190</f>
        <v>0.57628452443636025</v>
      </c>
    </row>
    <row r="171" spans="1:25" x14ac:dyDescent="0.3">
      <c r="A171" s="5">
        <v>35</v>
      </c>
      <c r="B171" s="5">
        <v>3500</v>
      </c>
      <c r="C171" s="5">
        <v>1092</v>
      </c>
      <c r="D171" s="5" t="s">
        <v>33</v>
      </c>
      <c r="E171" s="5" t="s">
        <v>34</v>
      </c>
      <c r="F171" s="13">
        <v>162</v>
      </c>
      <c r="G171" s="13" t="s">
        <v>200</v>
      </c>
      <c r="H171" s="13">
        <v>1074</v>
      </c>
      <c r="I171" s="13">
        <v>3.9381050161337638</v>
      </c>
      <c r="J171" s="13">
        <v>258.02464065708421</v>
      </c>
      <c r="K171" s="13">
        <v>340.72484599589325</v>
      </c>
      <c r="L171" s="13">
        <v>471.31240833088884</v>
      </c>
      <c r="M171" s="13">
        <f t="shared" si="3"/>
        <v>1074</v>
      </c>
      <c r="N171" s="13">
        <v>27.37</v>
      </c>
      <c r="O171" s="13">
        <v>10.6</v>
      </c>
      <c r="P171" s="13">
        <v>6.63</v>
      </c>
      <c r="Q171" s="13">
        <v>11.49</v>
      </c>
      <c r="R171" s="13">
        <v>3.7</v>
      </c>
      <c r="S171" s="13">
        <v>6</v>
      </c>
      <c r="T171" s="14">
        <f>N171+O171+P171+Q171+R171+S171</f>
        <v>65.790000000000006</v>
      </c>
      <c r="V171" s="15">
        <f>(((N171/45)*100)*H171)/$H$190</f>
        <v>0.39085650918258258</v>
      </c>
      <c r="W171" s="15">
        <f>(((O171/15)*100)*H171)/$H$190</f>
        <v>0.45411899861184241</v>
      </c>
      <c r="X171" s="49"/>
      <c r="Y171" s="15">
        <f>(T171*H171)/$H$190</f>
        <v>0.42278050356612901</v>
      </c>
    </row>
    <row r="172" spans="1:25" x14ac:dyDescent="0.3">
      <c r="A172" s="5">
        <v>35</v>
      </c>
      <c r="B172" s="5">
        <v>3500</v>
      </c>
      <c r="C172" s="5">
        <v>1093</v>
      </c>
      <c r="D172" s="5" t="s">
        <v>33</v>
      </c>
      <c r="E172" s="5" t="s">
        <v>34</v>
      </c>
      <c r="F172" s="13">
        <v>163</v>
      </c>
      <c r="G172" s="13" t="s">
        <v>201</v>
      </c>
      <c r="H172" s="13">
        <v>1074</v>
      </c>
      <c r="I172" s="13">
        <v>0</v>
      </c>
      <c r="J172" s="13">
        <v>63.604060913705574</v>
      </c>
      <c r="K172" s="13">
        <v>483.39086294416245</v>
      </c>
      <c r="L172" s="13">
        <v>527.00507614213188</v>
      </c>
      <c r="M172" s="13">
        <f t="shared" si="3"/>
        <v>1074</v>
      </c>
      <c r="N172" s="13">
        <v>23.65</v>
      </c>
      <c r="O172" s="13">
        <v>10.16</v>
      </c>
      <c r="P172" s="13">
        <v>5</v>
      </c>
      <c r="Q172" s="13">
        <v>9.8000000000000007</v>
      </c>
      <c r="R172" s="13">
        <v>3.38</v>
      </c>
      <c r="S172" s="13">
        <v>5.16</v>
      </c>
      <c r="T172" s="14">
        <f>N172+O172+P172+Q172+R172+S172</f>
        <v>57.150000000000006</v>
      </c>
      <c r="V172" s="15">
        <f>(((N172/45)*100)*H172)/$H$190</f>
        <v>0.33773315462798975</v>
      </c>
      <c r="W172" s="15">
        <f>(((O172/15)*100)*H172)/$H$190</f>
        <v>0.43526877602795466</v>
      </c>
      <c r="X172" s="49"/>
      <c r="Y172" s="15">
        <f>(T172*H172)/$H$190</f>
        <v>0.36725802977358674</v>
      </c>
    </row>
    <row r="173" spans="1:25" x14ac:dyDescent="0.3">
      <c r="A173" s="5">
        <v>35</v>
      </c>
      <c r="B173" s="5">
        <v>3500</v>
      </c>
      <c r="C173" s="5">
        <v>1094</v>
      </c>
      <c r="D173" s="5" t="s">
        <v>33</v>
      </c>
      <c r="E173" s="5" t="s">
        <v>34</v>
      </c>
      <c r="F173" s="13">
        <v>164</v>
      </c>
      <c r="G173" s="13" t="s">
        <v>202</v>
      </c>
      <c r="H173" s="13">
        <v>1499</v>
      </c>
      <c r="I173" s="13">
        <v>0</v>
      </c>
      <c r="J173" s="13">
        <v>468.4375</v>
      </c>
      <c r="K173" s="13">
        <v>936.875</v>
      </c>
      <c r="L173" s="13">
        <v>93.6875</v>
      </c>
      <c r="M173" s="13">
        <f t="shared" si="3"/>
        <v>1499</v>
      </c>
      <c r="N173" s="13">
        <v>27.53</v>
      </c>
      <c r="O173" s="13">
        <v>15</v>
      </c>
      <c r="P173" s="13">
        <v>7.14</v>
      </c>
      <c r="Q173" s="13">
        <v>11.57</v>
      </c>
      <c r="R173" s="13">
        <v>4.25</v>
      </c>
      <c r="S173" s="13">
        <v>8.11</v>
      </c>
      <c r="T173" s="14">
        <f>N173+O173+P173+Q173+R173+S173</f>
        <v>73.600000000000009</v>
      </c>
      <c r="V173" s="15">
        <f>(((N173/45)*100)*H173)/$H$190</f>
        <v>0.54871409272467142</v>
      </c>
      <c r="W173" s="15">
        <f>(((O173/15)*100)*H173)/$H$190</f>
        <v>0.89691733282274666</v>
      </c>
      <c r="X173" s="49"/>
      <c r="Y173" s="15">
        <f>(T173*H173)/$H$190</f>
        <v>0.66013115695754154</v>
      </c>
    </row>
    <row r="174" spans="1:25" s="27" customFormat="1" x14ac:dyDescent="0.3">
      <c r="A174" s="27">
        <v>35</v>
      </c>
      <c r="B174" s="27">
        <v>3500</v>
      </c>
      <c r="C174" s="27">
        <v>1095</v>
      </c>
      <c r="D174" s="27" t="s">
        <v>33</v>
      </c>
      <c r="E174" s="27" t="s">
        <v>34</v>
      </c>
      <c r="F174" s="28">
        <v>165</v>
      </c>
      <c r="G174" s="28" t="s">
        <v>203</v>
      </c>
      <c r="H174" s="28">
        <v>2184</v>
      </c>
      <c r="I174" s="28">
        <v>1700.9999999999998</v>
      </c>
      <c r="J174" s="28">
        <v>482.99999999999994</v>
      </c>
      <c r="K174" s="28">
        <v>0</v>
      </c>
      <c r="L174" s="28">
        <v>0</v>
      </c>
      <c r="M174" s="28">
        <f t="shared" si="3"/>
        <v>2183.9999999999995</v>
      </c>
      <c r="N174" s="28">
        <v>34</v>
      </c>
      <c r="O174" s="28">
        <v>13</v>
      </c>
      <c r="P174" s="28">
        <v>6</v>
      </c>
      <c r="Q174" s="28">
        <v>9.5</v>
      </c>
      <c r="R174" s="28">
        <v>3.1</v>
      </c>
      <c r="S174" s="28">
        <v>5.56</v>
      </c>
      <c r="T174" s="29">
        <f>N174+O174+P174+Q174+R174+S174</f>
        <v>71.16</v>
      </c>
      <c r="U174" s="5"/>
      <c r="V174" s="30">
        <f>(((N174/45)*100)*H174)/$H$190</f>
        <v>0.98734702343912062</v>
      </c>
      <c r="W174" s="30">
        <f>(((O174/15)*100)*H174)/$H$190</f>
        <v>1.1325451151213441</v>
      </c>
      <c r="X174" s="43"/>
      <c r="Y174" s="30">
        <f>(T174*H174)/$H$190</f>
        <v>0.92990665836963282</v>
      </c>
    </row>
    <row r="175" spans="1:25" x14ac:dyDescent="0.3">
      <c r="F175" s="13"/>
      <c r="G175" s="17" t="s">
        <v>204</v>
      </c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4"/>
      <c r="V175" s="15">
        <f>(((N175/45)*100)*H175)/$H$190</f>
        <v>0</v>
      </c>
      <c r="W175" s="15">
        <f>(((O175/15)*100)*H175)/$H$190</f>
        <v>0</v>
      </c>
      <c r="X175" s="42">
        <f>SUM(W176:W188)</f>
        <v>10.670583425079382</v>
      </c>
      <c r="Y175" s="15">
        <f>(T175*H175)/$H$190</f>
        <v>0</v>
      </c>
    </row>
    <row r="176" spans="1:25" s="27" customFormat="1" x14ac:dyDescent="0.3">
      <c r="A176" s="27">
        <v>35</v>
      </c>
      <c r="B176" s="27">
        <v>3500</v>
      </c>
      <c r="C176" s="27">
        <v>1083</v>
      </c>
      <c r="D176" s="27" t="s">
        <v>33</v>
      </c>
      <c r="E176" s="27" t="s">
        <v>34</v>
      </c>
      <c r="F176" s="28">
        <v>166</v>
      </c>
      <c r="G176" s="28" t="s">
        <v>205</v>
      </c>
      <c r="H176" s="28">
        <v>1239</v>
      </c>
      <c r="I176" s="28">
        <v>437.29411764705878</v>
      </c>
      <c r="J176" s="28">
        <v>801.70588235294122</v>
      </c>
      <c r="K176" s="28">
        <v>0</v>
      </c>
      <c r="L176" s="28">
        <v>0</v>
      </c>
      <c r="M176" s="28">
        <f t="shared" ref="M176:M183" si="4">SUM(I176:L176)</f>
        <v>1239</v>
      </c>
      <c r="N176" s="28">
        <v>30</v>
      </c>
      <c r="O176" s="28">
        <v>14.53</v>
      </c>
      <c r="P176" s="28">
        <v>8.0500000000000007</v>
      </c>
      <c r="Q176" s="28">
        <v>11.9</v>
      </c>
      <c r="R176" s="28">
        <v>3.88</v>
      </c>
      <c r="S176" s="28">
        <v>7.06</v>
      </c>
      <c r="T176" s="29">
        <f>N176+O176+P176+Q176+R176+S176</f>
        <v>75.42</v>
      </c>
      <c r="U176" s="5"/>
      <c r="V176" s="30">
        <f>(((N176/45)*100)*H176)/$H$190</f>
        <v>0.49423196591833796</v>
      </c>
      <c r="W176" s="30">
        <f>(((O176/15)*100)*H176)/$H$190</f>
        <v>0.71811904647934521</v>
      </c>
      <c r="X176" s="43"/>
      <c r="Y176" s="30">
        <f>(T176*H176)/$H$190</f>
        <v>0.55912462304341581</v>
      </c>
    </row>
    <row r="177" spans="1:25" x14ac:dyDescent="0.3">
      <c r="A177" s="5">
        <v>35</v>
      </c>
      <c r="B177" s="5">
        <v>3500</v>
      </c>
      <c r="C177" s="5">
        <v>1084</v>
      </c>
      <c r="D177" s="5" t="s">
        <v>33</v>
      </c>
      <c r="E177" s="5" t="s">
        <v>34</v>
      </c>
      <c r="F177" s="13">
        <v>167</v>
      </c>
      <c r="G177" s="13" t="s">
        <v>206</v>
      </c>
      <c r="H177" s="13">
        <v>2323</v>
      </c>
      <c r="I177" s="13">
        <v>0</v>
      </c>
      <c r="J177" s="13">
        <v>1991.1428571428571</v>
      </c>
      <c r="K177" s="13">
        <v>258.11111111111109</v>
      </c>
      <c r="L177" s="13">
        <v>73.746031746031747</v>
      </c>
      <c r="M177" s="13">
        <f t="shared" si="4"/>
        <v>2323</v>
      </c>
      <c r="N177" s="13">
        <v>20.18</v>
      </c>
      <c r="O177" s="13">
        <v>12.05</v>
      </c>
      <c r="P177" s="13">
        <v>7.56</v>
      </c>
      <c r="Q177" s="13">
        <v>11.37</v>
      </c>
      <c r="R177" s="13">
        <v>3.65</v>
      </c>
      <c r="S177" s="13">
        <v>8.0500000000000007</v>
      </c>
      <c r="T177" s="14">
        <f>N177+O177+P177+Q177+R177+S177</f>
        <v>62.86</v>
      </c>
      <c r="V177" s="15">
        <f>(((N177/45)*100)*H177)/$H$190</f>
        <v>0.6233165265212558</v>
      </c>
      <c r="W177" s="15">
        <f>(((O177/15)*100)*H177)/$H$190</f>
        <v>1.1165952643083943</v>
      </c>
      <c r="X177" s="49"/>
      <c r="Y177" s="15">
        <f>(T177*H177)/$H$190</f>
        <v>0.87372421138289214</v>
      </c>
    </row>
    <row r="178" spans="1:25" x14ac:dyDescent="0.3">
      <c r="A178" s="5">
        <v>35</v>
      </c>
      <c r="B178" s="5">
        <v>3500</v>
      </c>
      <c r="C178" s="5">
        <v>1085</v>
      </c>
      <c r="D178" s="5" t="s">
        <v>33</v>
      </c>
      <c r="E178" s="5" t="s">
        <v>34</v>
      </c>
      <c r="F178" s="13">
        <v>168</v>
      </c>
      <c r="G178" s="13" t="s">
        <v>207</v>
      </c>
      <c r="H178" s="13">
        <v>1447</v>
      </c>
      <c r="I178" s="13">
        <v>0</v>
      </c>
      <c r="J178" s="13">
        <v>931.63013698630118</v>
      </c>
      <c r="K178" s="13">
        <v>416.2602739726027</v>
      </c>
      <c r="L178" s="13">
        <v>99.109589041095887</v>
      </c>
      <c r="M178" s="13">
        <f t="shared" si="4"/>
        <v>1446.9999999999998</v>
      </c>
      <c r="N178" s="13">
        <v>28.1</v>
      </c>
      <c r="O178" s="13">
        <v>11.53</v>
      </c>
      <c r="P178" s="13">
        <v>7.56</v>
      </c>
      <c r="Q178" s="13">
        <v>11.25</v>
      </c>
      <c r="R178" s="13">
        <v>3.73</v>
      </c>
      <c r="S178" s="13">
        <v>7.53</v>
      </c>
      <c r="T178" s="14">
        <f>N178+O178+P178+Q178+R178+S178</f>
        <v>69.7</v>
      </c>
      <c r="V178" s="15">
        <f>(((N178/45)*100)*H178)/$H$190</f>
        <v>0.54064615810104311</v>
      </c>
      <c r="W178" s="15">
        <f>(((O178/15)*100)*H178)/$H$190</f>
        <v>0.66551425653790297</v>
      </c>
      <c r="X178" s="49"/>
      <c r="Y178" s="15">
        <f>(T178*H178)/$H$190</f>
        <v>0.60346500885548804</v>
      </c>
    </row>
    <row r="179" spans="1:25" s="27" customFormat="1" x14ac:dyDescent="0.3">
      <c r="A179" s="27">
        <v>35</v>
      </c>
      <c r="B179" s="27">
        <v>3500</v>
      </c>
      <c r="C179" s="27">
        <v>1086</v>
      </c>
      <c r="D179" s="27" t="s">
        <v>33</v>
      </c>
      <c r="E179" s="27" t="s">
        <v>34</v>
      </c>
      <c r="F179" s="28">
        <v>169</v>
      </c>
      <c r="G179" s="28" t="s">
        <v>208</v>
      </c>
      <c r="H179" s="28">
        <v>2056</v>
      </c>
      <c r="I179" s="28">
        <v>221.4153846153846</v>
      </c>
      <c r="J179" s="28">
        <v>1834.5846153846153</v>
      </c>
      <c r="K179" s="28">
        <v>0</v>
      </c>
      <c r="L179" s="28">
        <v>0</v>
      </c>
      <c r="M179" s="28">
        <f t="shared" si="4"/>
        <v>2056</v>
      </c>
      <c r="N179" s="28">
        <v>28.8</v>
      </c>
      <c r="O179" s="28">
        <v>10.56</v>
      </c>
      <c r="P179" s="28">
        <v>7.8</v>
      </c>
      <c r="Q179" s="28">
        <v>11.61</v>
      </c>
      <c r="R179" s="28">
        <v>3.8</v>
      </c>
      <c r="S179" s="28">
        <v>7</v>
      </c>
      <c r="T179" s="29">
        <f>N179+O179+P179+Q179+R179+S179</f>
        <v>69.569999999999993</v>
      </c>
      <c r="U179" s="5"/>
      <c r="V179" s="30">
        <f>(((N179/45)*100)*H179)/$H$190</f>
        <v>0.78732468527116939</v>
      </c>
      <c r="W179" s="30">
        <f>(((O179/15)*100)*H179)/$H$190</f>
        <v>0.86605715379828652</v>
      </c>
      <c r="X179" s="43"/>
      <c r="Y179" s="30">
        <f>(T179*H179)/$H$190</f>
        <v>0.85584653678617573</v>
      </c>
    </row>
    <row r="180" spans="1:25" x14ac:dyDescent="0.3">
      <c r="A180" s="5">
        <v>35</v>
      </c>
      <c r="B180" s="5">
        <v>3500</v>
      </c>
      <c r="C180" s="5">
        <v>1087</v>
      </c>
      <c r="D180" s="5" t="s">
        <v>33</v>
      </c>
      <c r="E180" s="5" t="s">
        <v>34</v>
      </c>
      <c r="F180" s="13">
        <v>170</v>
      </c>
      <c r="G180" s="13" t="s">
        <v>209</v>
      </c>
      <c r="H180" s="13">
        <v>1879</v>
      </c>
      <c r="I180" s="13">
        <v>0</v>
      </c>
      <c r="J180" s="13">
        <v>113.9392101872205</v>
      </c>
      <c r="K180" s="13">
        <v>825.20472978094438</v>
      </c>
      <c r="L180" s="13">
        <v>939.85606003183511</v>
      </c>
      <c r="M180" s="13">
        <f t="shared" si="4"/>
        <v>1879</v>
      </c>
      <c r="N180" s="13">
        <v>24.38</v>
      </c>
      <c r="O180" s="13">
        <v>12.26</v>
      </c>
      <c r="P180" s="13">
        <v>4.5999999999999996</v>
      </c>
      <c r="Q180" s="13">
        <v>9.14</v>
      </c>
      <c r="R180" s="13">
        <v>3.18</v>
      </c>
      <c r="S180" s="13">
        <v>5.16</v>
      </c>
      <c r="T180" s="14">
        <f>N180+O180+P180+Q180+R180+S180</f>
        <v>58.72</v>
      </c>
      <c r="V180" s="15">
        <f>(((N180/45)*100)*H180)/$H$190</f>
        <v>0.60911423845462431</v>
      </c>
      <c r="W180" s="15">
        <f>(((O180/15)*100)*H180)/$H$190</f>
        <v>0.91891803487945378</v>
      </c>
      <c r="X180" s="49"/>
      <c r="Y180" s="15">
        <f>(T180*H180)/$H$190</f>
        <v>0.66018189651045911</v>
      </c>
    </row>
    <row r="181" spans="1:25" s="32" customFormat="1" x14ac:dyDescent="0.3">
      <c r="A181" s="32">
        <v>35</v>
      </c>
      <c r="B181" s="32">
        <v>3500</v>
      </c>
      <c r="C181" s="32">
        <v>1088</v>
      </c>
      <c r="D181" s="32" t="s">
        <v>33</v>
      </c>
      <c r="E181" s="32" t="s">
        <v>34</v>
      </c>
      <c r="F181" s="33">
        <v>171</v>
      </c>
      <c r="G181" s="33" t="s">
        <v>210</v>
      </c>
      <c r="H181" s="33">
        <v>1244</v>
      </c>
      <c r="I181" s="33">
        <v>172.77777777777777</v>
      </c>
      <c r="J181" s="33">
        <v>1071.2222222222222</v>
      </c>
      <c r="K181" s="33">
        <v>0</v>
      </c>
      <c r="L181" s="33">
        <v>0</v>
      </c>
      <c r="M181" s="33">
        <f t="shared" si="4"/>
        <v>1244</v>
      </c>
      <c r="N181" s="33">
        <v>32.25</v>
      </c>
      <c r="O181" s="33">
        <v>14.66</v>
      </c>
      <c r="P181" s="33">
        <v>7.88</v>
      </c>
      <c r="Q181" s="33">
        <v>11.58</v>
      </c>
      <c r="R181" s="33">
        <v>4.03</v>
      </c>
      <c r="S181" s="33">
        <v>7.53</v>
      </c>
      <c r="T181" s="14">
        <f>N181+O181+P181+Q181+R181+S181</f>
        <v>77.930000000000007</v>
      </c>
      <c r="U181" s="5"/>
      <c r="V181" s="16">
        <f>(((N181/45)*100)*H181)/$H$190</f>
        <v>0.53344342858966387</v>
      </c>
      <c r="W181" s="16">
        <f>(((O181/15)*100)*H181)/$H$190</f>
        <v>0.72746796866274155</v>
      </c>
      <c r="X181" s="50"/>
      <c r="Y181" s="15">
        <f>(T181*H181)/$H$190</f>
        <v>0.58006390311617451</v>
      </c>
    </row>
    <row r="182" spans="1:25" s="32" customFormat="1" x14ac:dyDescent="0.3">
      <c r="A182" s="32">
        <v>35</v>
      </c>
      <c r="B182" s="32">
        <v>3500</v>
      </c>
      <c r="C182" s="32">
        <v>1089</v>
      </c>
      <c r="D182" s="32" t="s">
        <v>33</v>
      </c>
      <c r="E182" s="32" t="s">
        <v>34</v>
      </c>
      <c r="F182" s="33">
        <v>172</v>
      </c>
      <c r="G182" s="33" t="s">
        <v>211</v>
      </c>
      <c r="H182" s="33">
        <v>1393</v>
      </c>
      <c r="I182" s="33">
        <v>767.15942028985489</v>
      </c>
      <c r="J182" s="33">
        <v>625.84057971014488</v>
      </c>
      <c r="K182" s="33">
        <v>0</v>
      </c>
      <c r="L182" s="33">
        <v>0</v>
      </c>
      <c r="M182" s="33">
        <f t="shared" si="4"/>
        <v>1392.9999999999998</v>
      </c>
      <c r="N182" s="33">
        <v>33.1</v>
      </c>
      <c r="O182" s="33">
        <v>14.2</v>
      </c>
      <c r="P182" s="33">
        <v>8.15</v>
      </c>
      <c r="Q182" s="33">
        <v>11.51</v>
      </c>
      <c r="R182" s="33">
        <v>3.88</v>
      </c>
      <c r="S182" s="33">
        <v>7.23</v>
      </c>
      <c r="T182" s="14">
        <f>N182+O182+P182+Q182+R182+S182</f>
        <v>78.069999999999993</v>
      </c>
      <c r="U182" s="5"/>
      <c r="V182" s="16">
        <f>(((N182/45)*100)*H182)/$H$190</f>
        <v>0.6130803269882299</v>
      </c>
      <c r="W182" s="16">
        <f>(((O182/15)*100)*H182)/$H$190</f>
        <v>0.78903993745312984</v>
      </c>
      <c r="X182" s="50"/>
      <c r="Y182" s="15">
        <f>(T182*H182)/$H$190</f>
        <v>0.65070790053132921</v>
      </c>
    </row>
    <row r="183" spans="1:25" s="27" customFormat="1" x14ac:dyDescent="0.3">
      <c r="A183" s="27">
        <v>35</v>
      </c>
      <c r="B183" s="27">
        <v>3500</v>
      </c>
      <c r="C183" s="27">
        <v>1082</v>
      </c>
      <c r="D183" s="27" t="s">
        <v>33</v>
      </c>
      <c r="E183" s="27" t="s">
        <v>34</v>
      </c>
      <c r="F183" s="28">
        <v>173</v>
      </c>
      <c r="G183" s="28" t="s">
        <v>212</v>
      </c>
      <c r="H183" s="28">
        <v>2188</v>
      </c>
      <c r="I183" s="28">
        <v>923.82222222222219</v>
      </c>
      <c r="J183" s="28">
        <v>1264.1777777777779</v>
      </c>
      <c r="K183" s="28">
        <v>0</v>
      </c>
      <c r="L183" s="28">
        <v>0</v>
      </c>
      <c r="M183" s="28">
        <f t="shared" si="4"/>
        <v>2188</v>
      </c>
      <c r="N183" s="28">
        <v>30.37</v>
      </c>
      <c r="O183" s="28">
        <v>13.02</v>
      </c>
      <c r="P183" s="28">
        <v>7.77</v>
      </c>
      <c r="Q183" s="28">
        <v>11.61</v>
      </c>
      <c r="R183" s="28">
        <v>3.95</v>
      </c>
      <c r="S183" s="28">
        <v>7</v>
      </c>
      <c r="T183" s="29">
        <f>N183+O183+P183+Q183+R183+S183</f>
        <v>73.72</v>
      </c>
      <c r="U183" s="5"/>
      <c r="V183" s="30">
        <f>(((N183/45)*100)*H183)/$H$190</f>
        <v>0.88354847116514801</v>
      </c>
      <c r="W183" s="30">
        <f>(((O183/15)*100)*H183)/$H$190</f>
        <v>1.136364941840984</v>
      </c>
      <c r="X183" s="43"/>
      <c r="Y183" s="30">
        <f>(T183*H183)/$H$190</f>
        <v>0.96512469484466989</v>
      </c>
    </row>
    <row r="184" spans="1:25" s="44" customFormat="1" x14ac:dyDescent="0.3">
      <c r="A184" s="44">
        <v>35</v>
      </c>
      <c r="B184" s="44">
        <v>3500</v>
      </c>
      <c r="C184" s="44">
        <v>1077</v>
      </c>
      <c r="D184" s="44" t="s">
        <v>33</v>
      </c>
      <c r="E184" s="44" t="s">
        <v>34</v>
      </c>
      <c r="F184" s="45">
        <v>174</v>
      </c>
      <c r="G184" s="45" t="s">
        <v>213</v>
      </c>
      <c r="H184" s="45">
        <v>1094</v>
      </c>
      <c r="I184" s="45">
        <v>906.45714285714291</v>
      </c>
      <c r="J184" s="45">
        <v>187.54285714285714</v>
      </c>
      <c r="K184" s="45">
        <v>0</v>
      </c>
      <c r="L184" s="45">
        <v>0</v>
      </c>
      <c r="M184" s="45">
        <f>SUM(I184:L184)</f>
        <v>1094</v>
      </c>
      <c r="N184" s="45">
        <v>32.119999999999997</v>
      </c>
      <c r="O184" s="45">
        <v>10.34</v>
      </c>
      <c r="P184" s="45">
        <v>7</v>
      </c>
      <c r="Q184" s="45">
        <v>10.5</v>
      </c>
      <c r="R184" s="45">
        <v>3.5</v>
      </c>
      <c r="S184" s="45">
        <v>7</v>
      </c>
      <c r="T184" s="14">
        <f>N184+O184+P184+Q184+R184+S184</f>
        <v>70.459999999999994</v>
      </c>
      <c r="U184" s="5"/>
      <c r="V184" s="47">
        <f>(((N184/45)*100)*H184)/$H$190</f>
        <v>0.46723043947686138</v>
      </c>
      <c r="W184" s="47">
        <f>(((O184/15)*100)*H184)/$H$190</f>
        <v>0.45122939702902365</v>
      </c>
      <c r="X184" s="48"/>
      <c r="Y184" s="15">
        <f>(T184*H184)/$H$190</f>
        <v>0.46122277535780953</v>
      </c>
    </row>
    <row r="185" spans="1:25" s="44" customFormat="1" x14ac:dyDescent="0.3">
      <c r="A185" s="44">
        <v>35</v>
      </c>
      <c r="B185" s="44">
        <v>3500</v>
      </c>
      <c r="C185" s="44">
        <v>1078</v>
      </c>
      <c r="D185" s="44" t="s">
        <v>33</v>
      </c>
      <c r="E185" s="44" t="s">
        <v>34</v>
      </c>
      <c r="F185" s="45">
        <v>175</v>
      </c>
      <c r="G185" s="45" t="s">
        <v>214</v>
      </c>
      <c r="H185" s="45">
        <v>1867</v>
      </c>
      <c r="I185" s="45">
        <v>1465.9379642642039</v>
      </c>
      <c r="J185" s="45">
        <v>401.06203573579597</v>
      </c>
      <c r="K185" s="45">
        <v>0</v>
      </c>
      <c r="L185" s="45">
        <v>0</v>
      </c>
      <c r="M185" s="45">
        <f>SUM(I185:L185)</f>
        <v>1866.9999999999998</v>
      </c>
      <c r="N185" s="45">
        <v>31.15</v>
      </c>
      <c r="O185" s="45">
        <v>13</v>
      </c>
      <c r="P185" s="45">
        <v>7.86</v>
      </c>
      <c r="Q185" s="45">
        <v>11.36</v>
      </c>
      <c r="R185" s="45">
        <v>3.95</v>
      </c>
      <c r="S185" s="45">
        <v>7</v>
      </c>
      <c r="T185" s="14">
        <f>N185+O185+P185+Q185+R185+S185</f>
        <v>74.319999999999993</v>
      </c>
      <c r="U185" s="5"/>
      <c r="V185" s="47">
        <f>(((N185/45)*100)*H185)/$H$190</f>
        <v>0.77328687526260631</v>
      </c>
      <c r="W185" s="47">
        <f>(((O185/15)*100)*H185)/$H$190</f>
        <v>0.96816013275254109</v>
      </c>
      <c r="X185" s="48"/>
      <c r="Y185" s="15">
        <f>(T185*H185)/$H$190</f>
        <v>0.83023455076348651</v>
      </c>
    </row>
    <row r="186" spans="1:25" x14ac:dyDescent="0.3">
      <c r="A186" s="5">
        <v>35</v>
      </c>
      <c r="B186" s="5">
        <v>3500</v>
      </c>
      <c r="C186" s="5">
        <v>1079</v>
      </c>
      <c r="D186" s="5" t="s">
        <v>33</v>
      </c>
      <c r="E186" s="5" t="s">
        <v>34</v>
      </c>
      <c r="F186" s="13">
        <v>176</v>
      </c>
      <c r="G186" s="13" t="s">
        <v>215</v>
      </c>
      <c r="H186" s="13">
        <v>1088</v>
      </c>
      <c r="I186" s="13">
        <v>0</v>
      </c>
      <c r="J186" s="13">
        <v>462.25906735751289</v>
      </c>
      <c r="K186" s="13">
        <v>129.65803108808291</v>
      </c>
      <c r="L186" s="13">
        <v>496.08290155440415</v>
      </c>
      <c r="M186" s="13">
        <f>SUM(I186:L186)</f>
        <v>1088</v>
      </c>
      <c r="N186" s="13">
        <v>21.64</v>
      </c>
      <c r="O186" s="13">
        <v>14.86</v>
      </c>
      <c r="P186" s="13">
        <v>7.7</v>
      </c>
      <c r="Q186" s="13">
        <v>11.15</v>
      </c>
      <c r="R186" s="13">
        <v>3.95</v>
      </c>
      <c r="S186" s="13">
        <v>7.8</v>
      </c>
      <c r="T186" s="14">
        <f>N186+O186+P186+Q186+R186+S186</f>
        <v>67.100000000000009</v>
      </c>
      <c r="V186" s="15">
        <f>(((N186/45)*100)*H186)/$H$190</f>
        <v>0.31305772288970796</v>
      </c>
      <c r="W186" s="15">
        <f>(((O186/15)*100)*H186)/$H$190</f>
        <v>0.64492205574968486</v>
      </c>
      <c r="X186" s="49"/>
      <c r="Y186" s="15">
        <f>(T186*H186)/$H$190</f>
        <v>0.43681968311713182</v>
      </c>
    </row>
    <row r="187" spans="1:25" x14ac:dyDescent="0.3">
      <c r="A187" s="5">
        <v>35</v>
      </c>
      <c r="B187" s="5">
        <v>3500</v>
      </c>
      <c r="C187" s="5">
        <v>1080</v>
      </c>
      <c r="D187" s="5" t="s">
        <v>33</v>
      </c>
      <c r="E187" s="5" t="s">
        <v>34</v>
      </c>
      <c r="F187" s="13">
        <v>177</v>
      </c>
      <c r="G187" s="13" t="s">
        <v>216</v>
      </c>
      <c r="H187" s="13">
        <v>1920</v>
      </c>
      <c r="I187" s="13">
        <v>0</v>
      </c>
      <c r="J187" s="13">
        <v>929.68421052631584</v>
      </c>
      <c r="K187" s="13">
        <v>882.52631578947364</v>
      </c>
      <c r="L187" s="13">
        <v>107.78947368421053</v>
      </c>
      <c r="M187" s="13">
        <f>SUM(I187:L187)</f>
        <v>1920.0000000000002</v>
      </c>
      <c r="N187" s="13">
        <v>22.26</v>
      </c>
      <c r="O187" s="13">
        <v>13</v>
      </c>
      <c r="P187" s="13">
        <v>7.86</v>
      </c>
      <c r="Q187" s="13">
        <v>11.36</v>
      </c>
      <c r="R187" s="13">
        <v>3.95</v>
      </c>
      <c r="S187" s="13">
        <v>7</v>
      </c>
      <c r="T187" s="14">
        <f>N187+O187+P187+Q187+R187+S187</f>
        <v>65.430000000000007</v>
      </c>
      <c r="V187" s="15">
        <f>(((N187/45)*100)*H187)/$H$190</f>
        <v>0.56828299267627203</v>
      </c>
      <c r="W187" s="15">
        <f>(((O187/15)*100)*H187)/$H$190</f>
        <v>0.99564405724953331</v>
      </c>
      <c r="X187" s="49"/>
      <c r="Y187" s="15">
        <f>(T187*H187)/$H$190</f>
        <v>0.75167296922119575</v>
      </c>
    </row>
    <row r="188" spans="1:25" x14ac:dyDescent="0.3">
      <c r="A188" s="5">
        <v>35</v>
      </c>
      <c r="B188" s="5">
        <v>3500</v>
      </c>
      <c r="C188" s="5">
        <v>1081</v>
      </c>
      <c r="D188" s="5" t="s">
        <v>33</v>
      </c>
      <c r="E188" s="5" t="s">
        <v>34</v>
      </c>
      <c r="F188" s="19">
        <v>178</v>
      </c>
      <c r="G188" s="19" t="s">
        <v>217</v>
      </c>
      <c r="H188" s="19">
        <v>1262</v>
      </c>
      <c r="I188" s="19">
        <v>0</v>
      </c>
      <c r="J188" s="19">
        <v>172.09090909090907</v>
      </c>
      <c r="K188" s="19">
        <v>286.81818181818181</v>
      </c>
      <c r="L188" s="19">
        <v>803.09090909090889</v>
      </c>
      <c r="M188" s="19">
        <f>SUM(I188:L188)</f>
        <v>1261.9999999999998</v>
      </c>
      <c r="N188" s="19">
        <v>23.34</v>
      </c>
      <c r="O188" s="19">
        <v>13.36</v>
      </c>
      <c r="P188" s="19">
        <v>7.88</v>
      </c>
      <c r="Q188" s="19">
        <v>12.03</v>
      </c>
      <c r="R188" s="19">
        <v>4.03</v>
      </c>
      <c r="S188" s="19">
        <v>7.62</v>
      </c>
      <c r="T188" s="20">
        <f>N188+O188+P188+Q188+R188+S188</f>
        <v>68.260000000000005</v>
      </c>
      <c r="V188" s="21">
        <f>(((N188/45)*100)*H188)/$H$190</f>
        <v>0.39165031193655953</v>
      </c>
      <c r="W188" s="21">
        <f>(((O188/15)*100)*H188)/$H$190</f>
        <v>0.67255117833835942</v>
      </c>
      <c r="X188" s="49"/>
      <c r="Y188" s="15">
        <f>(T188*H188)/$H$190</f>
        <v>0.51543798765018434</v>
      </c>
    </row>
    <row r="190" spans="1:25" ht="18" x14ac:dyDescent="0.35">
      <c r="H190" s="22">
        <f>SUM(H6:H188)</f>
        <v>167128</v>
      </c>
      <c r="N190" s="23">
        <f>AVERAGE(N6:N188)</f>
        <v>25.932640449438214</v>
      </c>
      <c r="O190" s="23">
        <f>AVERAGE(O6:O188)</f>
        <v>12.077999095658511</v>
      </c>
      <c r="P190" s="51"/>
      <c r="Q190" s="52" t="e">
        <f>N191-#REF!</f>
        <v>#REF!</v>
      </c>
      <c r="R190" s="52" t="e">
        <f>#REF!-#REF!</f>
        <v>#REF!</v>
      </c>
      <c r="S190" s="51"/>
      <c r="T190" s="51"/>
      <c r="U190" s="53"/>
      <c r="V190" s="24">
        <f>SUM(V6:V189)</f>
        <v>60.763204915460683</v>
      </c>
      <c r="W190" s="24">
        <f>SUM(W6:W189)</f>
        <v>79.078802674197789</v>
      </c>
      <c r="X190" s="24">
        <f>SUM(X5:X188)</f>
        <v>84.578784324988419</v>
      </c>
      <c r="Y190" s="24">
        <f>SUM(Y6:Y189)</f>
        <v>64.694244710640916</v>
      </c>
    </row>
    <row r="191" spans="1:25" ht="18" x14ac:dyDescent="0.35">
      <c r="N191" s="25">
        <f>N190/45*100</f>
        <v>57.628089887640478</v>
      </c>
      <c r="O191" s="25">
        <f>O190/15*100</f>
        <v>80.519993971056735</v>
      </c>
      <c r="P191" s="51"/>
      <c r="Q191" s="51" t="e">
        <f>Q190/15</f>
        <v>#REF!</v>
      </c>
      <c r="R191" s="51" t="e">
        <f>R190/9</f>
        <v>#REF!</v>
      </c>
      <c r="S191" s="51"/>
      <c r="T191" s="51"/>
      <c r="U191" s="51"/>
    </row>
    <row r="192" spans="1:25" x14ac:dyDescent="0.3">
      <c r="P192" s="51"/>
      <c r="Q192" s="51"/>
      <c r="R192" s="51"/>
      <c r="S192" s="51"/>
      <c r="T192" s="51"/>
      <c r="U192" s="51"/>
    </row>
    <row r="193" spans="7:24" x14ac:dyDescent="0.3">
      <c r="P193" s="51"/>
      <c r="Q193" s="51"/>
      <c r="R193" s="51"/>
      <c r="S193" s="51"/>
      <c r="T193" s="51"/>
      <c r="U193" s="51"/>
    </row>
    <row r="194" spans="7:24" x14ac:dyDescent="0.3">
      <c r="P194" s="51"/>
      <c r="Q194" s="51"/>
      <c r="R194" s="51"/>
      <c r="S194" s="51"/>
      <c r="T194" s="51"/>
      <c r="U194" s="51"/>
    </row>
    <row r="195" spans="7:24" x14ac:dyDescent="0.3">
      <c r="P195" s="51"/>
      <c r="Q195" s="51"/>
      <c r="R195" s="51"/>
      <c r="S195" s="51"/>
      <c r="T195" s="51"/>
      <c r="U195" s="51"/>
    </row>
    <row r="196" spans="7:24" x14ac:dyDescent="0.3">
      <c r="P196" s="54" t="e">
        <f>V190-#REF!</f>
        <v>#REF!</v>
      </c>
      <c r="Q196" s="51">
        <v>4.24</v>
      </c>
      <c r="R196" s="55">
        <f>63737947001+3000000000+3347168000</f>
        <v>70085115001</v>
      </c>
      <c r="S196" s="51" t="s">
        <v>222</v>
      </c>
      <c r="T196" s="51">
        <v>17</v>
      </c>
      <c r="U196" s="51"/>
    </row>
    <row r="197" spans="7:24" x14ac:dyDescent="0.3">
      <c r="P197" s="54" t="e">
        <f>#REF!-#REF!</f>
        <v>#REF!</v>
      </c>
      <c r="Q197" s="51">
        <v>1.98</v>
      </c>
      <c r="R197" s="55">
        <f>54344664000-(3000000000+3347168000)</f>
        <v>47997496000</v>
      </c>
      <c r="S197" s="51" t="s">
        <v>223</v>
      </c>
      <c r="T197" s="51">
        <v>9</v>
      </c>
      <c r="U197" s="51"/>
    </row>
    <row r="198" spans="7:24" x14ac:dyDescent="0.3">
      <c r="N198" s="26" t="s">
        <v>218</v>
      </c>
      <c r="O198" s="26"/>
      <c r="P198" s="51"/>
      <c r="Q198" s="51"/>
      <c r="R198" s="51"/>
      <c r="S198" s="51"/>
      <c r="T198" s="51"/>
      <c r="U198" s="51"/>
      <c r="V198" s="26" t="s">
        <v>219</v>
      </c>
      <c r="W198" s="26"/>
      <c r="X198" s="56"/>
    </row>
    <row r="199" spans="7:24" x14ac:dyDescent="0.3">
      <c r="P199" s="51"/>
      <c r="Q199" s="51">
        <f>(Q197/R197)*R199</f>
        <v>1.8054652801054454</v>
      </c>
      <c r="R199" s="55">
        <v>43766572000</v>
      </c>
      <c r="S199" s="51"/>
      <c r="T199" s="51"/>
      <c r="U199" s="51"/>
    </row>
    <row r="201" spans="7:24" x14ac:dyDescent="0.3">
      <c r="G201" s="27"/>
      <c r="H201" s="5" t="s">
        <v>224</v>
      </c>
    </row>
    <row r="203" spans="7:24" x14ac:dyDescent="0.3">
      <c r="G203" s="32"/>
      <c r="H203" s="5" t="s">
        <v>225</v>
      </c>
    </row>
    <row r="205" spans="7:24" x14ac:dyDescent="0.3">
      <c r="G205" s="44"/>
      <c r="H205" s="5" t="s">
        <v>226</v>
      </c>
    </row>
  </sheetData>
  <mergeCells count="17">
    <mergeCell ref="N198:O198"/>
    <mergeCell ref="V198:W198"/>
    <mergeCell ref="G1:G3"/>
    <mergeCell ref="H1:H3"/>
    <mergeCell ref="I1:M1"/>
    <mergeCell ref="N1:T1"/>
    <mergeCell ref="I2:I3"/>
    <mergeCell ref="J2:J3"/>
    <mergeCell ref="K2:K3"/>
    <mergeCell ref="L2:L3"/>
    <mergeCell ref="M2:M3"/>
    <mergeCell ref="A1:A4"/>
    <mergeCell ref="B1:B4"/>
    <mergeCell ref="C1:C4"/>
    <mergeCell ref="D1:D4"/>
    <mergeCell ref="E1:E4"/>
    <mergeCell ref="F1:F3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69" orientation="landscape" r:id="rId1"/>
  <rowBreaks count="2" manualBreakCount="2">
    <brk id="145" max="26" man="1"/>
    <brk id="193" max="2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605B4-47DB-4D56-8E7B-E186CB36034E}">
  <dimension ref="A1:Y205"/>
  <sheetViews>
    <sheetView tabSelected="1" view="pageBreakPreview" topLeftCell="F1" zoomScale="86" zoomScaleNormal="85" zoomScaleSheetLayoutView="80" workbookViewId="0">
      <pane xSplit="2" ySplit="4" topLeftCell="I5" activePane="bottomRight" state="frozen"/>
      <selection activeCell="F1" sqref="F1"/>
      <selection pane="topRight" activeCell="H1" sqref="H1"/>
      <selection pane="bottomLeft" activeCell="F5" sqref="F5"/>
      <selection pane="bottomRight" activeCell="U8" sqref="U8"/>
    </sheetView>
  </sheetViews>
  <sheetFormatPr defaultRowHeight="14.4" x14ac:dyDescent="0.3"/>
  <cols>
    <col min="1" max="4" width="0" style="5" hidden="1" customWidth="1"/>
    <col min="5" max="5" width="12.109375" style="5" hidden="1" customWidth="1"/>
    <col min="6" max="6" width="4.21875" style="5" bestFit="1" customWidth="1"/>
    <col min="7" max="7" width="36.44140625" style="5" customWidth="1"/>
    <col min="8" max="8" width="11.44140625" style="5" bestFit="1" customWidth="1"/>
    <col min="9" max="10" width="8.88671875" style="5"/>
    <col min="11" max="12" width="8.77734375" style="5" customWidth="1"/>
    <col min="13" max="13" width="8.88671875" style="5"/>
    <col min="14" max="14" width="12.6640625" style="5" bestFit="1" customWidth="1"/>
    <col min="15" max="15" width="12.77734375" style="5" bestFit="1" customWidth="1"/>
    <col min="16" max="16" width="9.33203125" style="5" bestFit="1" customWidth="1"/>
    <col min="17" max="17" width="10.21875" style="5" bestFit="1" customWidth="1"/>
    <col min="18" max="18" width="10.6640625" style="5" customWidth="1"/>
    <col min="19" max="21" width="8.88671875" style="5"/>
    <col min="22" max="22" width="14.33203125" style="5" bestFit="1" customWidth="1"/>
    <col min="23" max="24" width="10.6640625" style="5" customWidth="1"/>
    <col min="25" max="25" width="14.33203125" style="5" bestFit="1" customWidth="1"/>
    <col min="26" max="97" width="8.88671875" style="5"/>
    <col min="98" max="98" width="10.44140625" style="5" customWidth="1"/>
    <col min="99" max="16384" width="8.88671875" style="5"/>
  </cols>
  <sheetData>
    <row r="1" spans="1:25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6" t="s">
        <v>5</v>
      </c>
      <c r="G1" s="37" t="s">
        <v>6</v>
      </c>
      <c r="H1" s="4" t="s">
        <v>7</v>
      </c>
      <c r="I1" s="4" t="s">
        <v>8</v>
      </c>
      <c r="J1" s="4"/>
      <c r="K1" s="4"/>
      <c r="L1" s="4"/>
      <c r="M1" s="4"/>
      <c r="N1" s="4" t="s">
        <v>9</v>
      </c>
      <c r="O1" s="4"/>
      <c r="P1" s="4"/>
      <c r="Q1" s="4"/>
      <c r="R1" s="4"/>
      <c r="S1" s="4"/>
      <c r="T1" s="4"/>
    </row>
    <row r="2" spans="1:25" ht="33.75" customHeight="1" x14ac:dyDescent="0.3">
      <c r="A2" s="1"/>
      <c r="B2" s="1"/>
      <c r="C2" s="1"/>
      <c r="D2" s="1"/>
      <c r="E2" s="1"/>
      <c r="F2" s="36"/>
      <c r="G2" s="38"/>
      <c r="H2" s="4"/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7" t="s">
        <v>15</v>
      </c>
      <c r="O2" s="7" t="s">
        <v>16</v>
      </c>
      <c r="P2" s="7" t="s">
        <v>17</v>
      </c>
      <c r="Q2" s="7" t="s">
        <v>18</v>
      </c>
      <c r="R2" s="7" t="s">
        <v>19</v>
      </c>
      <c r="S2" s="7" t="s">
        <v>20</v>
      </c>
      <c r="T2" s="7" t="s">
        <v>21</v>
      </c>
      <c r="V2" s="7" t="s">
        <v>22</v>
      </c>
      <c r="W2" s="7" t="s">
        <v>23</v>
      </c>
      <c r="X2" s="39"/>
      <c r="Y2" s="7" t="s">
        <v>24</v>
      </c>
    </row>
    <row r="3" spans="1:25" ht="34.950000000000003" customHeight="1" x14ac:dyDescent="0.3">
      <c r="A3" s="1"/>
      <c r="B3" s="1"/>
      <c r="C3" s="1"/>
      <c r="D3" s="1"/>
      <c r="E3" s="1"/>
      <c r="F3" s="36"/>
      <c r="G3" s="40"/>
      <c r="H3" s="4"/>
      <c r="I3" s="4"/>
      <c r="J3" s="4"/>
      <c r="K3" s="4"/>
      <c r="L3" s="4"/>
      <c r="M3" s="4"/>
      <c r="N3" s="7" t="s">
        <v>25</v>
      </c>
      <c r="O3" s="7" t="s">
        <v>26</v>
      </c>
      <c r="P3" s="7" t="s">
        <v>27</v>
      </c>
      <c r="Q3" s="7" t="s">
        <v>26</v>
      </c>
      <c r="R3" s="7" t="s">
        <v>28</v>
      </c>
      <c r="S3" s="7" t="s">
        <v>27</v>
      </c>
      <c r="T3" s="7" t="s">
        <v>29</v>
      </c>
      <c r="V3" s="7" t="s">
        <v>30</v>
      </c>
      <c r="W3" s="7" t="s">
        <v>31</v>
      </c>
      <c r="X3" s="39"/>
      <c r="Y3" s="7" t="s">
        <v>30</v>
      </c>
    </row>
    <row r="4" spans="1:25" ht="12.75" customHeight="1" x14ac:dyDescent="0.3">
      <c r="A4" s="1"/>
      <c r="B4" s="1"/>
      <c r="C4" s="1"/>
      <c r="D4" s="1"/>
      <c r="E4" s="1"/>
      <c r="F4" s="9">
        <v>1</v>
      </c>
      <c r="G4" s="9">
        <f>F4+1</f>
        <v>2</v>
      </c>
      <c r="H4" s="9">
        <v>3</v>
      </c>
      <c r="I4" s="9">
        <v>4</v>
      </c>
      <c r="J4" s="9">
        <v>5</v>
      </c>
      <c r="K4" s="9">
        <v>6</v>
      </c>
      <c r="L4" s="9">
        <v>7</v>
      </c>
      <c r="M4" s="9">
        <v>8</v>
      </c>
      <c r="N4" s="9">
        <v>9</v>
      </c>
      <c r="O4" s="9">
        <v>10</v>
      </c>
      <c r="P4" s="9">
        <v>11</v>
      </c>
      <c r="Q4" s="9">
        <v>12</v>
      </c>
      <c r="R4" s="9">
        <v>13</v>
      </c>
      <c r="S4" s="9">
        <v>14</v>
      </c>
      <c r="T4" s="9">
        <v>15</v>
      </c>
      <c r="V4" s="10">
        <v>16</v>
      </c>
      <c r="W4" s="10">
        <v>17</v>
      </c>
      <c r="X4" s="41"/>
      <c r="Y4" s="10">
        <v>16</v>
      </c>
    </row>
    <row r="5" spans="1:25" ht="12.75" customHeight="1" x14ac:dyDescent="0.3">
      <c r="A5" s="11"/>
      <c r="B5" s="11"/>
      <c r="C5" s="11"/>
      <c r="D5" s="11"/>
      <c r="E5" s="11"/>
      <c r="F5" s="10"/>
      <c r="G5" s="12" t="s">
        <v>32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V5" s="13"/>
      <c r="W5" s="13"/>
      <c r="X5" s="42" t="e">
        <f>SUM(W6:W30)</f>
        <v>#REF!</v>
      </c>
      <c r="Y5" s="13"/>
    </row>
    <row r="6" spans="1:25" s="27" customFormat="1" x14ac:dyDescent="0.3">
      <c r="A6" s="27">
        <v>35</v>
      </c>
      <c r="B6" s="27">
        <v>3500</v>
      </c>
      <c r="C6" s="27">
        <v>1096</v>
      </c>
      <c r="D6" s="27" t="s">
        <v>33</v>
      </c>
      <c r="E6" s="27" t="s">
        <v>34</v>
      </c>
      <c r="F6" s="28">
        <v>1</v>
      </c>
      <c r="G6" s="28" t="s">
        <v>35</v>
      </c>
      <c r="H6" s="28">
        <v>1523</v>
      </c>
      <c r="I6" s="28"/>
      <c r="J6" s="28"/>
      <c r="K6" s="28"/>
      <c r="L6" s="28"/>
      <c r="M6" s="28"/>
      <c r="N6" s="66">
        <v>31.88</v>
      </c>
      <c r="O6" s="66">
        <v>13</v>
      </c>
      <c r="P6" s="66">
        <v>6</v>
      </c>
      <c r="Q6" s="66">
        <v>11</v>
      </c>
      <c r="R6" s="66">
        <v>3.8</v>
      </c>
      <c r="S6" s="66">
        <v>6.41</v>
      </c>
      <c r="T6" s="29">
        <f>N6+O6+P6+Q6+R6+S6</f>
        <v>72.089999999999989</v>
      </c>
      <c r="U6" s="30">
        <f>(((100/45)*N6)*H6)/$H$190</f>
        <v>0.6455895414825098</v>
      </c>
      <c r="V6" s="30">
        <f>(((N6/45)*100)*H6)/$H$190</f>
        <v>0.6455895414825098</v>
      </c>
      <c r="W6" s="30">
        <f>(((O6/15)*100)*H6)/$H$190</f>
        <v>0.78977390582866636</v>
      </c>
      <c r="X6" s="43"/>
      <c r="Y6" s="30">
        <f>(T6*H6)/$H$190</f>
        <v>0.65694001005217539</v>
      </c>
    </row>
    <row r="7" spans="1:25" s="44" customFormat="1" x14ac:dyDescent="0.3">
      <c r="A7" s="44">
        <v>35</v>
      </c>
      <c r="B7" s="44">
        <v>3500</v>
      </c>
      <c r="C7" s="44">
        <v>1097</v>
      </c>
      <c r="D7" s="44" t="s">
        <v>33</v>
      </c>
      <c r="E7" s="44" t="s">
        <v>34</v>
      </c>
      <c r="F7" s="45">
        <v>2</v>
      </c>
      <c r="G7" s="45" t="s">
        <v>36</v>
      </c>
      <c r="H7" s="45">
        <v>1744</v>
      </c>
      <c r="I7" s="45"/>
      <c r="J7" s="45"/>
      <c r="K7" s="45"/>
      <c r="L7" s="45"/>
      <c r="M7" s="45"/>
      <c r="N7" s="66">
        <v>31.21</v>
      </c>
      <c r="O7" s="66">
        <v>11.54</v>
      </c>
      <c r="P7" s="66">
        <v>4.54</v>
      </c>
      <c r="Q7" s="66">
        <v>7.66</v>
      </c>
      <c r="R7" s="66">
        <v>2.2999999999999998</v>
      </c>
      <c r="S7" s="66">
        <v>5.16</v>
      </c>
      <c r="T7" s="46">
        <f>N7+O7+P7+Q7+R7+S7</f>
        <v>62.41</v>
      </c>
      <c r="U7" s="5"/>
      <c r="V7" s="47">
        <f>(((N7/45)*100)*H7)/$H$190</f>
        <v>0.72373323972577241</v>
      </c>
      <c r="W7" s="47">
        <f>(((O7/15)*100)*H7)/$H$190</f>
        <v>0.80280822682813968</v>
      </c>
      <c r="X7" s="48"/>
      <c r="Y7" s="15">
        <f>(T7*H7)/$H$190</f>
        <v>0.65125556459719491</v>
      </c>
    </row>
    <row r="8" spans="1:25" x14ac:dyDescent="0.3">
      <c r="A8" s="5">
        <v>35</v>
      </c>
      <c r="B8" s="5">
        <v>3500</v>
      </c>
      <c r="C8" s="5">
        <v>1098</v>
      </c>
      <c r="D8" s="5" t="s">
        <v>33</v>
      </c>
      <c r="E8" s="5" t="s">
        <v>34</v>
      </c>
      <c r="F8" s="13">
        <v>3</v>
      </c>
      <c r="G8" s="13" t="s">
        <v>37</v>
      </c>
      <c r="H8" s="13">
        <v>1126</v>
      </c>
      <c r="I8" s="13"/>
      <c r="J8" s="13"/>
      <c r="K8" s="13"/>
      <c r="L8" s="13"/>
      <c r="M8" s="13"/>
      <c r="N8" s="66">
        <v>32.32</v>
      </c>
      <c r="O8" s="66">
        <v>13.28</v>
      </c>
      <c r="P8" s="66">
        <v>5.08</v>
      </c>
      <c r="Q8" s="66">
        <v>10.6</v>
      </c>
      <c r="R8" s="66">
        <v>3.18</v>
      </c>
      <c r="S8" s="66">
        <v>5.31</v>
      </c>
      <c r="T8" s="14">
        <f>N9+O9+P9+Q9+R9+S9</f>
        <v>61.62</v>
      </c>
      <c r="V8" s="15">
        <f>(((N9/45)*100)*H8)/$H$190</f>
        <v>0.45394773932421728</v>
      </c>
      <c r="W8" s="15">
        <f>(((O9/15)*100)*H8)/$H$190</f>
        <v>0.50395385572734674</v>
      </c>
      <c r="X8" s="49"/>
      <c r="Y8" s="15">
        <f>(T8*H8)/$H$190</f>
        <v>0.41515556938394521</v>
      </c>
    </row>
    <row r="9" spans="1:25" s="27" customFormat="1" x14ac:dyDescent="0.3">
      <c r="A9" s="27">
        <v>35</v>
      </c>
      <c r="B9" s="27">
        <v>3500</v>
      </c>
      <c r="C9" s="27">
        <v>1099</v>
      </c>
      <c r="D9" s="27" t="s">
        <v>33</v>
      </c>
      <c r="E9" s="27" t="s">
        <v>34</v>
      </c>
      <c r="F9" s="28">
        <v>4</v>
      </c>
      <c r="G9" s="28" t="s">
        <v>38</v>
      </c>
      <c r="H9" s="28">
        <v>1909</v>
      </c>
      <c r="I9" s="28"/>
      <c r="J9" s="28"/>
      <c r="K9" s="28"/>
      <c r="L9" s="28"/>
      <c r="M9" s="28"/>
      <c r="N9" s="66">
        <v>30.32</v>
      </c>
      <c r="O9" s="66">
        <v>11.22</v>
      </c>
      <c r="P9" s="66">
        <v>4.3600000000000003</v>
      </c>
      <c r="Q9" s="66">
        <v>8.58</v>
      </c>
      <c r="R9" s="66">
        <v>3.1</v>
      </c>
      <c r="S9" s="66">
        <v>4.04</v>
      </c>
      <c r="T9" s="14">
        <f>N10+O10+P10+Q10+R10+S10</f>
        <v>62.42</v>
      </c>
      <c r="U9" s="5"/>
      <c r="V9" s="30" t="e">
        <f>(((#REF!/45)*100)*H9)/$H$190</f>
        <v>#REF!</v>
      </c>
      <c r="W9" s="30" t="e">
        <f>(((#REF!/15)*100)*H9)/$H$190</f>
        <v>#REF!</v>
      </c>
      <c r="X9" s="43"/>
      <c r="Y9" s="30">
        <f>(T9*H9)/$H$190</f>
        <v>0.71298513714039535</v>
      </c>
    </row>
    <row r="10" spans="1:25" x14ac:dyDescent="0.3">
      <c r="A10" s="5">
        <v>35</v>
      </c>
      <c r="B10" s="5">
        <v>3500</v>
      </c>
      <c r="C10" s="5">
        <v>1100</v>
      </c>
      <c r="D10" s="5" t="s">
        <v>33</v>
      </c>
      <c r="E10" s="5" t="s">
        <v>34</v>
      </c>
      <c r="F10" s="13">
        <v>5</v>
      </c>
      <c r="G10" s="13" t="s">
        <v>39</v>
      </c>
      <c r="H10" s="13">
        <v>1513</v>
      </c>
      <c r="I10" s="13"/>
      <c r="J10" s="13"/>
      <c r="K10" s="13"/>
      <c r="L10" s="13"/>
      <c r="M10" s="13"/>
      <c r="N10" s="66">
        <v>23.99</v>
      </c>
      <c r="O10" s="66">
        <v>14.58</v>
      </c>
      <c r="P10" s="66">
        <v>7.35</v>
      </c>
      <c r="Q10" s="66">
        <v>4.5</v>
      </c>
      <c r="R10" s="66">
        <v>3.5</v>
      </c>
      <c r="S10" s="66">
        <v>8.5</v>
      </c>
      <c r="T10" s="14">
        <f>N10+O10+P10+Q10+R10+S10</f>
        <v>62.42</v>
      </c>
      <c r="V10" s="15">
        <f>(((N10/45)*100)*H10)/$H$190</f>
        <v>0.48262236795217506</v>
      </c>
      <c r="W10" s="15">
        <f>(((O10/15)*100)*H10)/$H$190</f>
        <v>0.8799459097218898</v>
      </c>
      <c r="X10" s="49"/>
      <c r="Y10" s="15">
        <f>(T10*H10)/$H$190</f>
        <v>0.56508460581111486</v>
      </c>
    </row>
    <row r="11" spans="1:25" s="27" customFormat="1" x14ac:dyDescent="0.3">
      <c r="A11" s="27">
        <v>35</v>
      </c>
      <c r="B11" s="27">
        <v>3500</v>
      </c>
      <c r="C11" s="27">
        <v>1101</v>
      </c>
      <c r="D11" s="27" t="s">
        <v>33</v>
      </c>
      <c r="E11" s="27" t="s">
        <v>34</v>
      </c>
      <c r="F11" s="28">
        <v>6</v>
      </c>
      <c r="G11" s="28" t="s">
        <v>40</v>
      </c>
      <c r="H11" s="28">
        <v>1843</v>
      </c>
      <c r="I11" s="28"/>
      <c r="J11" s="28"/>
      <c r="K11" s="28"/>
      <c r="L11" s="28"/>
      <c r="M11" s="28"/>
      <c r="N11" s="66">
        <v>31</v>
      </c>
      <c r="O11" s="66">
        <v>12.03</v>
      </c>
      <c r="P11" s="66">
        <v>4.5999999999999996</v>
      </c>
      <c r="Q11" s="66">
        <v>8.18</v>
      </c>
      <c r="R11" s="66">
        <v>3.5</v>
      </c>
      <c r="S11" s="66">
        <v>5.64</v>
      </c>
      <c r="T11" s="29">
        <f>N11+O11+P11+Q11+R11+S11</f>
        <v>64.95</v>
      </c>
      <c r="U11" s="5"/>
      <c r="V11" s="30">
        <f>(((N11/45)*100)*H11)/$H$190</f>
        <v>0.75967056520883525</v>
      </c>
      <c r="W11" s="30">
        <f>(((O11/15)*100)*H11)/$H$190</f>
        <v>0.88440357091570521</v>
      </c>
      <c r="X11" s="43"/>
      <c r="Y11" s="30">
        <f>(T11*H11)/$H$190</f>
        <v>0.71623456273036235</v>
      </c>
    </row>
    <row r="12" spans="1:25" x14ac:dyDescent="0.3">
      <c r="A12" s="5">
        <v>35</v>
      </c>
      <c r="B12" s="5">
        <v>3500</v>
      </c>
      <c r="C12" s="5">
        <v>1102</v>
      </c>
      <c r="D12" s="5" t="s">
        <v>33</v>
      </c>
      <c r="E12" s="5" t="s">
        <v>34</v>
      </c>
      <c r="F12" s="13">
        <v>7</v>
      </c>
      <c r="G12" s="13" t="s">
        <v>41</v>
      </c>
      <c r="H12" s="13">
        <v>1613</v>
      </c>
      <c r="I12" s="13"/>
      <c r="J12" s="13"/>
      <c r="K12" s="13"/>
      <c r="L12" s="13"/>
      <c r="M12" s="13"/>
      <c r="N12" s="66">
        <v>36.08</v>
      </c>
      <c r="O12" s="66">
        <v>14.12</v>
      </c>
      <c r="P12" s="66">
        <v>3</v>
      </c>
      <c r="Q12" s="66">
        <v>6.5</v>
      </c>
      <c r="R12" s="66">
        <v>1.5</v>
      </c>
      <c r="S12" s="66">
        <v>3</v>
      </c>
      <c r="T12" s="14">
        <f>N12+O12+P12+Q12+R12+S12</f>
        <v>64.199999999999989</v>
      </c>
      <c r="V12" s="15">
        <f>(((N12/45)*100)*H12)/$H$190</f>
        <v>0.77381860343901421</v>
      </c>
      <c r="W12" s="15">
        <f>(((O12/15)*100)*H12)/$H$190</f>
        <v>0.90850765082252316</v>
      </c>
      <c r="X12" s="49"/>
      <c r="Y12" s="15">
        <f>(T12*H12)/$H$190</f>
        <v>0.61961251256521932</v>
      </c>
    </row>
    <row r="13" spans="1:25" s="27" customFormat="1" x14ac:dyDescent="0.3">
      <c r="A13" s="27">
        <v>35</v>
      </c>
      <c r="B13" s="27">
        <v>3500</v>
      </c>
      <c r="C13" s="27">
        <v>1103</v>
      </c>
      <c r="D13" s="27" t="s">
        <v>33</v>
      </c>
      <c r="E13" s="27" t="s">
        <v>34</v>
      </c>
      <c r="F13" s="28">
        <v>8</v>
      </c>
      <c r="G13" s="28" t="s">
        <v>42</v>
      </c>
      <c r="H13" s="28">
        <v>1057</v>
      </c>
      <c r="I13" s="28"/>
      <c r="J13" s="28"/>
      <c r="K13" s="28"/>
      <c r="L13" s="28"/>
      <c r="M13" s="28"/>
      <c r="N13" s="66">
        <v>34.049999999999997</v>
      </c>
      <c r="O13" s="66">
        <v>13.68</v>
      </c>
      <c r="P13" s="66">
        <v>6.48</v>
      </c>
      <c r="Q13" s="66">
        <v>8.5299999999999994</v>
      </c>
      <c r="R13" s="66">
        <v>4.25</v>
      </c>
      <c r="S13" s="66">
        <v>7.9</v>
      </c>
      <c r="T13" s="29">
        <f>N13+O13+P13+Q13+R13+S13</f>
        <v>74.89</v>
      </c>
      <c r="U13" s="5"/>
      <c r="V13" s="30">
        <f>(((N13/45)*100)*H13)/$H$190</f>
        <v>0.47855336428765172</v>
      </c>
      <c r="W13" s="30">
        <f>(((O13/15)*100)*H13)/$H$190</f>
        <v>0.5767938346656456</v>
      </c>
      <c r="X13" s="43"/>
      <c r="Y13" s="30">
        <f>(T13*H13)/$H$190</f>
        <v>0.47364134076875208</v>
      </c>
    </row>
    <row r="14" spans="1:25" s="44" customFormat="1" x14ac:dyDescent="0.3">
      <c r="A14" s="44">
        <v>35</v>
      </c>
      <c r="B14" s="44">
        <v>3500</v>
      </c>
      <c r="C14" s="44">
        <v>1104</v>
      </c>
      <c r="D14" s="44" t="s">
        <v>33</v>
      </c>
      <c r="E14" s="44" t="s">
        <v>34</v>
      </c>
      <c r="F14" s="45">
        <v>9</v>
      </c>
      <c r="G14" s="45" t="s">
        <v>43</v>
      </c>
      <c r="H14" s="45">
        <v>1008</v>
      </c>
      <c r="I14" s="45"/>
      <c r="J14" s="45"/>
      <c r="K14" s="45"/>
      <c r="L14" s="45"/>
      <c r="M14" s="45"/>
      <c r="N14" s="66">
        <v>30.41</v>
      </c>
      <c r="O14" s="66">
        <v>12.27</v>
      </c>
      <c r="P14" s="66">
        <v>4.5999999999999996</v>
      </c>
      <c r="Q14" s="66">
        <v>7.54</v>
      </c>
      <c r="R14" s="66">
        <v>3.18</v>
      </c>
      <c r="S14" s="66">
        <v>5</v>
      </c>
      <c r="T14" s="46">
        <f>N14+O14+P14+Q14+R14+S14</f>
        <v>63</v>
      </c>
      <c r="U14" s="5"/>
      <c r="V14" s="47">
        <f>(((N14/45)*100)*H14)/$H$190</f>
        <v>0.40758221243597725</v>
      </c>
      <c r="W14" s="47">
        <f>(((O14/15)*100)*H14)/$H$190</f>
        <v>0.49336077736824469</v>
      </c>
      <c r="X14" s="48"/>
      <c r="Y14" s="15">
        <f>(T14*H14)/$H$190</f>
        <v>0.37997223684840364</v>
      </c>
    </row>
    <row r="15" spans="1:25" s="32" customFormat="1" x14ac:dyDescent="0.3">
      <c r="A15" s="32">
        <v>35</v>
      </c>
      <c r="B15" s="32">
        <v>3500</v>
      </c>
      <c r="C15" s="32">
        <v>1105</v>
      </c>
      <c r="D15" s="32" t="s">
        <v>33</v>
      </c>
      <c r="E15" s="32" t="s">
        <v>34</v>
      </c>
      <c r="F15" s="33">
        <v>10</v>
      </c>
      <c r="G15" s="33" t="s">
        <v>44</v>
      </c>
      <c r="H15" s="33">
        <v>1449</v>
      </c>
      <c r="I15" s="33"/>
      <c r="J15" s="33"/>
      <c r="K15" s="33"/>
      <c r="L15" s="33"/>
      <c r="M15" s="33"/>
      <c r="N15" s="66">
        <v>37.79</v>
      </c>
      <c r="O15" s="66">
        <v>13.5</v>
      </c>
      <c r="P15" s="66">
        <v>6.5</v>
      </c>
      <c r="Q15" s="66">
        <v>8.1</v>
      </c>
      <c r="R15" s="66">
        <v>3.5</v>
      </c>
      <c r="S15" s="66">
        <v>7.5</v>
      </c>
      <c r="T15" s="34">
        <f>N15+O15+P15+Q15+R15+S15</f>
        <v>76.89</v>
      </c>
      <c r="U15" s="5"/>
      <c r="V15" s="16">
        <f>(((N15/45)*100)*H15)/$H$190</f>
        <v>0.72808745392752849</v>
      </c>
      <c r="W15" s="16">
        <f>(((O15/15)*100)*H15)/$H$190</f>
        <v>0.78030012924225745</v>
      </c>
      <c r="X15" s="50"/>
      <c r="Y15" s="15">
        <f>(T15*H15)/$H$190</f>
        <v>0.66663641041596855</v>
      </c>
    </row>
    <row r="16" spans="1:25" x14ac:dyDescent="0.3">
      <c r="A16" s="5">
        <v>35</v>
      </c>
      <c r="B16" s="5">
        <v>3500</v>
      </c>
      <c r="C16" s="5">
        <v>1106</v>
      </c>
      <c r="D16" s="5" t="s">
        <v>33</v>
      </c>
      <c r="E16" s="5" t="s">
        <v>34</v>
      </c>
      <c r="F16" s="13">
        <v>11</v>
      </c>
      <c r="G16" s="13" t="s">
        <v>45</v>
      </c>
      <c r="H16" s="13">
        <v>1085</v>
      </c>
      <c r="I16" s="13"/>
      <c r="J16" s="13"/>
      <c r="K16" s="13"/>
      <c r="L16" s="13"/>
      <c r="M16" s="13"/>
      <c r="N16" s="66">
        <v>20.16</v>
      </c>
      <c r="O16" s="66">
        <v>6.41</v>
      </c>
      <c r="P16" s="66">
        <v>3</v>
      </c>
      <c r="Q16" s="66">
        <v>6.1</v>
      </c>
      <c r="R16" s="66">
        <v>1.55</v>
      </c>
      <c r="S16" s="66">
        <v>3</v>
      </c>
      <c r="T16" s="14">
        <f>N16+O16+P16+Q16+R16+S16</f>
        <v>40.22</v>
      </c>
      <c r="V16" s="15">
        <f>(((N16/45)*100)*H16)/$H$190</f>
        <v>0.2908429467234695</v>
      </c>
      <c r="W16" s="15">
        <f>(((O16/15)*100)*H16)/$H$190</f>
        <v>0.27742608459783319</v>
      </c>
      <c r="X16" s="49"/>
      <c r="Y16" s="15">
        <f>(T16*H16)/$H$190</f>
        <v>0.2611094490450433</v>
      </c>
    </row>
    <row r="17" spans="1:25" s="44" customFormat="1" x14ac:dyDescent="0.3">
      <c r="A17" s="44">
        <v>35</v>
      </c>
      <c r="B17" s="44">
        <v>3500</v>
      </c>
      <c r="C17" s="44">
        <v>1107</v>
      </c>
      <c r="D17" s="44" t="s">
        <v>33</v>
      </c>
      <c r="E17" s="44" t="s">
        <v>34</v>
      </c>
      <c r="F17" s="45">
        <v>12</v>
      </c>
      <c r="G17" s="45" t="s">
        <v>46</v>
      </c>
      <c r="H17" s="45">
        <v>1090</v>
      </c>
      <c r="I17" s="45"/>
      <c r="J17" s="45"/>
      <c r="K17" s="45"/>
      <c r="L17" s="45"/>
      <c r="M17" s="45"/>
      <c r="N17" s="66">
        <v>30.5</v>
      </c>
      <c r="O17" s="66">
        <v>12.88</v>
      </c>
      <c r="P17" s="66">
        <v>3.94</v>
      </c>
      <c r="Q17" s="66">
        <v>7.3</v>
      </c>
      <c r="R17" s="66">
        <v>3.18</v>
      </c>
      <c r="S17" s="66">
        <v>5</v>
      </c>
      <c r="T17" s="46">
        <f>N17+O17+P17+Q17+R17+S17</f>
        <v>62.8</v>
      </c>
      <c r="U17" s="5"/>
      <c r="V17" s="47">
        <f>(((N17/45)*100)*H17)/$H$190</f>
        <v>0.44204309138969999</v>
      </c>
      <c r="W17" s="47">
        <f>(((O17/15)*100)*H17)/$H$190</f>
        <v>0.56001787053436092</v>
      </c>
      <c r="X17" s="48"/>
      <c r="Y17" s="15">
        <f>(T17*H17)/$H$190</f>
        <v>0.40957828730075152</v>
      </c>
    </row>
    <row r="18" spans="1:25" x14ac:dyDescent="0.3">
      <c r="A18" s="5">
        <v>35</v>
      </c>
      <c r="B18" s="5">
        <v>3500</v>
      </c>
      <c r="C18" s="5">
        <v>1108</v>
      </c>
      <c r="D18" s="5" t="s">
        <v>33</v>
      </c>
      <c r="E18" s="5" t="s">
        <v>34</v>
      </c>
      <c r="F18" s="13">
        <v>13</v>
      </c>
      <c r="G18" s="13" t="s">
        <v>47</v>
      </c>
      <c r="H18" s="13">
        <v>1132</v>
      </c>
      <c r="I18" s="13"/>
      <c r="J18" s="13"/>
      <c r="K18" s="13"/>
      <c r="L18" s="13"/>
      <c r="M18" s="13"/>
      <c r="N18" s="66">
        <v>25.4</v>
      </c>
      <c r="O18" s="66">
        <v>6</v>
      </c>
      <c r="P18" s="66">
        <v>3</v>
      </c>
      <c r="Q18" s="66">
        <v>6.5</v>
      </c>
      <c r="R18" s="66">
        <v>1.5</v>
      </c>
      <c r="S18" s="66">
        <v>3</v>
      </c>
      <c r="T18" s="14">
        <f>N18+O18+P18+Q18+R18+S18</f>
        <v>45.4</v>
      </c>
      <c r="V18" s="15">
        <f>(((N18/45)*100)*H18)/$H$190</f>
        <v>0.38231242587185338</v>
      </c>
      <c r="W18" s="15">
        <f>(((O18/15)*100)*H18)/$H$190</f>
        <v>0.27093006557847876</v>
      </c>
      <c r="X18" s="49"/>
      <c r="Y18" s="15">
        <f>(T18*H18)/$H$190</f>
        <v>0.30750562443157337</v>
      </c>
    </row>
    <row r="19" spans="1:25" x14ac:dyDescent="0.3">
      <c r="A19" s="5">
        <v>35</v>
      </c>
      <c r="B19" s="5">
        <v>3500</v>
      </c>
      <c r="C19" s="5">
        <v>1236</v>
      </c>
      <c r="D19" s="5" t="s">
        <v>33</v>
      </c>
      <c r="E19" s="5" t="s">
        <v>34</v>
      </c>
      <c r="F19" s="13">
        <v>14</v>
      </c>
      <c r="G19" s="13" t="s">
        <v>48</v>
      </c>
      <c r="H19" s="13">
        <v>190</v>
      </c>
      <c r="I19" s="13"/>
      <c r="J19" s="13"/>
      <c r="K19" s="13"/>
      <c r="L19" s="13"/>
      <c r="M19" s="13"/>
      <c r="N19" s="66">
        <v>26.75</v>
      </c>
      <c r="O19" s="66">
        <v>14.63</v>
      </c>
      <c r="P19" s="66">
        <v>4.3</v>
      </c>
      <c r="Q19" s="66">
        <v>9.3000000000000007</v>
      </c>
      <c r="R19" s="66">
        <v>3.5</v>
      </c>
      <c r="S19" s="66">
        <v>3</v>
      </c>
      <c r="T19" s="14">
        <f>N19+O19+P19+Q19+R19+S19</f>
        <v>61.480000000000004</v>
      </c>
      <c r="V19" s="15">
        <f>(((N19/45)*100)*H19)/$H$190</f>
        <v>6.7579606316382906E-2</v>
      </c>
      <c r="W19" s="15">
        <f>(((O19/15)*100)*H19)/$H$190</f>
        <v>0.11088108116732882</v>
      </c>
      <c r="X19" s="49"/>
      <c r="Y19" s="15">
        <f>(T19*H19)/$H$190</f>
        <v>6.9893734143889719E-2</v>
      </c>
    </row>
    <row r="20" spans="1:25" x14ac:dyDescent="0.3">
      <c r="A20" s="5">
        <v>35</v>
      </c>
      <c r="B20" s="5">
        <v>3500</v>
      </c>
      <c r="C20" s="5">
        <v>1237</v>
      </c>
      <c r="D20" s="5" t="s">
        <v>33</v>
      </c>
      <c r="E20" s="5" t="s">
        <v>34</v>
      </c>
      <c r="F20" s="13">
        <v>15</v>
      </c>
      <c r="G20" s="13" t="s">
        <v>49</v>
      </c>
      <c r="H20" s="13">
        <v>151</v>
      </c>
      <c r="I20" s="13"/>
      <c r="J20" s="13"/>
      <c r="K20" s="13"/>
      <c r="L20" s="13"/>
      <c r="M20" s="13"/>
      <c r="N20" s="66">
        <v>12.05</v>
      </c>
      <c r="O20" s="66">
        <v>13.64</v>
      </c>
      <c r="P20" s="66">
        <v>7</v>
      </c>
      <c r="Q20" s="66">
        <v>10.5</v>
      </c>
      <c r="R20" s="66">
        <v>3.5</v>
      </c>
      <c r="S20" s="66">
        <v>3</v>
      </c>
      <c r="T20" s="14">
        <f>N20+O20+P20+Q20+R20+S20</f>
        <v>49.69</v>
      </c>
      <c r="V20" s="15">
        <f>(((N20/45)*100)*H20)/$H$190</f>
        <v>2.4193698509193218E-2</v>
      </c>
      <c r="W20" s="15">
        <f>(((O20/15)*100)*H20)/$H$190</f>
        <v>8.2158186140762382E-2</v>
      </c>
      <c r="X20" s="49"/>
      <c r="Y20" s="15">
        <f>(T20*H20)/$H$190</f>
        <v>4.4894870997080082E-2</v>
      </c>
    </row>
    <row r="21" spans="1:25" x14ac:dyDescent="0.3">
      <c r="A21" s="5">
        <v>35</v>
      </c>
      <c r="B21" s="5">
        <v>3500</v>
      </c>
      <c r="C21" s="5">
        <v>1238</v>
      </c>
      <c r="D21" s="5" t="s">
        <v>33</v>
      </c>
      <c r="E21" s="5" t="s">
        <v>34</v>
      </c>
      <c r="F21" s="13">
        <v>16</v>
      </c>
      <c r="G21" s="13" t="s">
        <v>50</v>
      </c>
      <c r="H21" s="13">
        <v>62</v>
      </c>
      <c r="I21" s="13"/>
      <c r="J21" s="13"/>
      <c r="K21" s="13"/>
      <c r="L21" s="13"/>
      <c r="M21" s="13"/>
      <c r="N21" s="66">
        <v>15.95</v>
      </c>
      <c r="O21" s="66">
        <v>12.99</v>
      </c>
      <c r="P21" s="66">
        <v>7.41</v>
      </c>
      <c r="Q21" s="66">
        <v>12.75</v>
      </c>
      <c r="R21" s="66">
        <v>3.95</v>
      </c>
      <c r="S21" s="66">
        <v>3</v>
      </c>
      <c r="T21" s="14">
        <f>N21+O21+P21+Q21+R21+S21</f>
        <v>56.05</v>
      </c>
      <c r="V21" s="15">
        <f>(((N21/45)*100)*H21)/$H$190</f>
        <v>1.3148937075508326E-2</v>
      </c>
      <c r="W21" s="15">
        <f>(((O21/15)*100)*H21)/$H$190</f>
        <v>3.2126274472260782E-2</v>
      </c>
      <c r="X21" s="49"/>
      <c r="Y21" s="15">
        <f>(T21*H21)/$H$190</f>
        <v>2.079304485185008E-2</v>
      </c>
    </row>
    <row r="22" spans="1:25" x14ac:dyDescent="0.3">
      <c r="A22" s="5">
        <v>35</v>
      </c>
      <c r="B22" s="5">
        <v>3500</v>
      </c>
      <c r="C22" s="5">
        <v>1239</v>
      </c>
      <c r="D22" s="5" t="s">
        <v>33</v>
      </c>
      <c r="E22" s="5" t="s">
        <v>34</v>
      </c>
      <c r="F22" s="13">
        <v>17</v>
      </c>
      <c r="G22" s="13" t="s">
        <v>51</v>
      </c>
      <c r="H22" s="13">
        <v>696</v>
      </c>
      <c r="I22" s="13"/>
      <c r="J22" s="13"/>
      <c r="K22" s="13"/>
      <c r="L22" s="13"/>
      <c r="M22" s="13"/>
      <c r="N22" s="66">
        <v>29.64</v>
      </c>
      <c r="O22" s="66">
        <v>14.5</v>
      </c>
      <c r="P22" s="66">
        <v>7.41</v>
      </c>
      <c r="Q22" s="66">
        <v>4.55</v>
      </c>
      <c r="R22" s="66">
        <v>2</v>
      </c>
      <c r="S22" s="66">
        <v>8.5</v>
      </c>
      <c r="T22" s="14">
        <f>N22+O22+P22+Q22+R22+S22</f>
        <v>66.599999999999994</v>
      </c>
      <c r="V22" s="15">
        <f>(((N22/45)*100)*H22)/$H$190</f>
        <v>0.27429993777224643</v>
      </c>
      <c r="W22" s="15">
        <f>(((O22/15)*100)*H22)/$H$190</f>
        <v>0.40256569814752763</v>
      </c>
      <c r="X22" s="49"/>
      <c r="Y22" s="15">
        <f>(T22*H22)/$H$190</f>
        <v>0.27735388444784836</v>
      </c>
    </row>
    <row r="23" spans="1:25" x14ac:dyDescent="0.3">
      <c r="A23" s="5">
        <v>35</v>
      </c>
      <c r="B23" s="5">
        <v>3500</v>
      </c>
      <c r="C23" s="5">
        <v>1240</v>
      </c>
      <c r="D23" s="5" t="s">
        <v>33</v>
      </c>
      <c r="E23" s="5" t="s">
        <v>34</v>
      </c>
      <c r="F23" s="13">
        <v>18</v>
      </c>
      <c r="G23" s="13" t="s">
        <v>52</v>
      </c>
      <c r="H23" s="13">
        <v>598</v>
      </c>
      <c r="I23" s="13"/>
      <c r="J23" s="13"/>
      <c r="K23" s="13"/>
      <c r="L23" s="13"/>
      <c r="M23" s="13"/>
      <c r="N23" s="66">
        <v>27.75</v>
      </c>
      <c r="O23" s="66">
        <v>14.38</v>
      </c>
      <c r="P23" s="66">
        <v>7.41</v>
      </c>
      <c r="Q23" s="66">
        <v>12.75</v>
      </c>
      <c r="R23" s="66">
        <v>4.25</v>
      </c>
      <c r="S23" s="66">
        <v>8.5</v>
      </c>
      <c r="T23" s="14">
        <f>N23+O23+P23+Q23+R23+S23</f>
        <v>75.040000000000006</v>
      </c>
      <c r="V23" s="15">
        <f>(((N23/45)*100)*H23)/$H$190</f>
        <v>0.22064924289566482</v>
      </c>
      <c r="W23" s="15">
        <f>(((O23/15)*100)*H23)/$H$190</f>
        <v>0.34302012030699025</v>
      </c>
      <c r="X23" s="49"/>
      <c r="Y23" s="15">
        <f>(T23*H23)/$H$190</f>
        <v>0.26850031113876793</v>
      </c>
    </row>
    <row r="24" spans="1:25" x14ac:dyDescent="0.3">
      <c r="A24" s="5">
        <v>35</v>
      </c>
      <c r="B24" s="5">
        <v>3500</v>
      </c>
      <c r="C24" s="5">
        <v>1241</v>
      </c>
      <c r="D24" s="5" t="s">
        <v>33</v>
      </c>
      <c r="E24" s="5" t="s">
        <v>34</v>
      </c>
      <c r="F24" s="13">
        <v>19</v>
      </c>
      <c r="G24" s="13" t="s">
        <v>53</v>
      </c>
      <c r="H24" s="13">
        <v>445</v>
      </c>
      <c r="I24" s="13"/>
      <c r="J24" s="13"/>
      <c r="K24" s="13"/>
      <c r="L24" s="13"/>
      <c r="M24" s="13"/>
      <c r="N24" s="66">
        <v>31.38</v>
      </c>
      <c r="O24" s="66">
        <v>14.63</v>
      </c>
      <c r="P24" s="66">
        <v>7.41</v>
      </c>
      <c r="Q24" s="66">
        <v>12.45</v>
      </c>
      <c r="R24" s="66">
        <v>3.5</v>
      </c>
      <c r="S24" s="66">
        <v>8.5</v>
      </c>
      <c r="T24" s="14">
        <f>N24+O24+P24+Q24+R24+S24</f>
        <v>77.87</v>
      </c>
      <c r="V24" s="15">
        <f>(((N24/45)*100)*H24)/$H$190</f>
        <v>0.18567405421792477</v>
      </c>
      <c r="W24" s="15">
        <f>(((O24/15)*100)*H24)/$H$190</f>
        <v>0.25969516378663859</v>
      </c>
      <c r="X24" s="49"/>
      <c r="Y24" s="15">
        <f>(T24*H24)/$H$190</f>
        <v>0.20733898568761669</v>
      </c>
    </row>
    <row r="25" spans="1:25" x14ac:dyDescent="0.3">
      <c r="A25" s="5">
        <v>35</v>
      </c>
      <c r="B25" s="5">
        <v>3500</v>
      </c>
      <c r="C25" s="5">
        <v>1242</v>
      </c>
      <c r="D25" s="5" t="s">
        <v>33</v>
      </c>
      <c r="E25" s="5" t="s">
        <v>34</v>
      </c>
      <c r="F25" s="13">
        <v>20</v>
      </c>
      <c r="G25" s="13" t="s">
        <v>54</v>
      </c>
      <c r="H25" s="13">
        <v>64</v>
      </c>
      <c r="I25" s="13"/>
      <c r="J25" s="13"/>
      <c r="K25" s="13"/>
      <c r="L25" s="13"/>
      <c r="M25" s="13"/>
      <c r="N25" s="66">
        <v>28.94</v>
      </c>
      <c r="O25" s="66">
        <v>14.1</v>
      </c>
      <c r="P25" s="66">
        <v>4.0999999999999996</v>
      </c>
      <c r="Q25" s="66">
        <v>4.5</v>
      </c>
      <c r="R25" s="66">
        <v>2.7</v>
      </c>
      <c r="S25" s="66">
        <v>3</v>
      </c>
      <c r="T25" s="14">
        <f>N25+O25+P25+Q25+R25+S25</f>
        <v>57.34</v>
      </c>
      <c r="V25" s="15">
        <f>(((N25/45)*100)*H25)/$H$190</f>
        <v>2.4627298304958543E-2</v>
      </c>
      <c r="W25" s="15">
        <f>(((O25/15)*100)*H25)/$H$190</f>
        <v>3.5996362069790816E-2</v>
      </c>
      <c r="X25" s="49"/>
      <c r="Y25" s="15">
        <f>(T25*H25)/$H$190</f>
        <v>2.1957780862572402E-2</v>
      </c>
    </row>
    <row r="26" spans="1:25" x14ac:dyDescent="0.3">
      <c r="A26" s="5">
        <v>35</v>
      </c>
      <c r="B26" s="5">
        <v>3500</v>
      </c>
      <c r="C26" s="5">
        <v>1243</v>
      </c>
      <c r="D26" s="5" t="s">
        <v>33</v>
      </c>
      <c r="E26" s="5" t="s">
        <v>34</v>
      </c>
      <c r="F26" s="13">
        <v>21</v>
      </c>
      <c r="G26" s="13" t="s">
        <v>55</v>
      </c>
      <c r="H26" s="13">
        <v>695</v>
      </c>
      <c r="I26" s="13"/>
      <c r="J26" s="13"/>
      <c r="K26" s="13"/>
      <c r="L26" s="13"/>
      <c r="M26" s="13"/>
      <c r="N26" s="66">
        <v>27.51</v>
      </c>
      <c r="O26" s="66">
        <v>14.96</v>
      </c>
      <c r="P26" s="66">
        <v>6.88</v>
      </c>
      <c r="Q26" s="66">
        <v>9.68</v>
      </c>
      <c r="R26" s="66">
        <v>2.9</v>
      </c>
      <c r="S26" s="66">
        <v>6.1</v>
      </c>
      <c r="T26" s="14">
        <f>N26+O26+P26+Q26+R26+S26</f>
        <v>68.03</v>
      </c>
      <c r="V26" s="15">
        <f>(((N26/45)*100)*H26)/$H$190</f>
        <v>0.25422231263861633</v>
      </c>
      <c r="W26" s="15">
        <f>(((O26/15)*100)*H26)/$H$190</f>
        <v>0.41473999968088332</v>
      </c>
      <c r="X26" s="49"/>
      <c r="Y26" s="15">
        <f>(T26*H26)/$H$190</f>
        <v>0.28290202718874158</v>
      </c>
    </row>
    <row r="27" spans="1:25" x14ac:dyDescent="0.3">
      <c r="A27" s="5">
        <v>35</v>
      </c>
      <c r="B27" s="5">
        <v>3500</v>
      </c>
      <c r="C27" s="5">
        <v>1244</v>
      </c>
      <c r="D27" s="5" t="s">
        <v>33</v>
      </c>
      <c r="E27" s="5" t="s">
        <v>34</v>
      </c>
      <c r="F27" s="13">
        <v>22</v>
      </c>
      <c r="G27" s="13" t="s">
        <v>56</v>
      </c>
      <c r="H27" s="13">
        <v>463</v>
      </c>
      <c r="I27" s="13"/>
      <c r="J27" s="13"/>
      <c r="K27" s="13"/>
      <c r="L27" s="13"/>
      <c r="M27" s="13"/>
      <c r="N27" s="66">
        <v>23.63</v>
      </c>
      <c r="O27" s="66">
        <v>6.15</v>
      </c>
      <c r="P27" s="66">
        <v>5.36</v>
      </c>
      <c r="Q27" s="66">
        <v>8.5299999999999994</v>
      </c>
      <c r="R27" s="66">
        <v>3.35</v>
      </c>
      <c r="S27" s="66">
        <v>7.9</v>
      </c>
      <c r="T27" s="14">
        <f>N27+O27+P27+Q27+R27+S27</f>
        <v>54.92</v>
      </c>
      <c r="V27" s="15">
        <f>(((N27/45)*100)*H27)/$H$190</f>
        <v>0.14547319685776436</v>
      </c>
      <c r="W27" s="15">
        <f>(((O27/15)*100)*H27)/$H$190</f>
        <v>0.11358360059355703</v>
      </c>
      <c r="X27" s="49"/>
      <c r="Y27" s="15">
        <f>(T27*H27)/$H$190</f>
        <v>0.15214661816093053</v>
      </c>
    </row>
    <row r="28" spans="1:25" x14ac:dyDescent="0.3">
      <c r="A28" s="5">
        <v>35</v>
      </c>
      <c r="B28" s="5">
        <v>3500</v>
      </c>
      <c r="C28" s="5">
        <v>1245</v>
      </c>
      <c r="D28" s="5" t="s">
        <v>33</v>
      </c>
      <c r="E28" s="5" t="s">
        <v>34</v>
      </c>
      <c r="F28" s="13">
        <v>23</v>
      </c>
      <c r="G28" s="13" t="s">
        <v>57</v>
      </c>
      <c r="H28" s="13">
        <v>296</v>
      </c>
      <c r="I28" s="13"/>
      <c r="J28" s="13"/>
      <c r="K28" s="13"/>
      <c r="L28" s="13"/>
      <c r="M28" s="13"/>
      <c r="N28" s="66">
        <v>11.45</v>
      </c>
      <c r="O28" s="66">
        <v>8.51</v>
      </c>
      <c r="P28" s="66">
        <v>4.33</v>
      </c>
      <c r="Q28" s="66">
        <v>8.84</v>
      </c>
      <c r="R28" s="66">
        <v>3.93</v>
      </c>
      <c r="S28" s="66">
        <v>3.2</v>
      </c>
      <c r="T28" s="14">
        <f>N28+O28+P28+Q28+R28+S28</f>
        <v>40.26</v>
      </c>
      <c r="V28" s="15">
        <f>(((N28/45)*100)*H28)/$H$190</f>
        <v>4.5064594535658628E-2</v>
      </c>
      <c r="W28" s="15">
        <f>(((O28/15)*100)*H28)/$H$190</f>
        <v>0.10048027061094889</v>
      </c>
      <c r="X28" s="49"/>
      <c r="Y28" s="15">
        <f>(T28*H28)/$H$190</f>
        <v>7.1304389450002392E-2</v>
      </c>
    </row>
    <row r="29" spans="1:25" s="32" customFormat="1" x14ac:dyDescent="0.3">
      <c r="A29" s="32">
        <v>35</v>
      </c>
      <c r="B29" s="32">
        <v>3500</v>
      </c>
      <c r="C29" s="32">
        <v>1246</v>
      </c>
      <c r="D29" s="32" t="s">
        <v>33</v>
      </c>
      <c r="E29" s="32" t="s">
        <v>34</v>
      </c>
      <c r="F29" s="33">
        <v>24</v>
      </c>
      <c r="G29" s="33" t="s">
        <v>58</v>
      </c>
      <c r="H29" s="33">
        <v>2581</v>
      </c>
      <c r="I29" s="33"/>
      <c r="J29" s="33"/>
      <c r="K29" s="33"/>
      <c r="L29" s="33"/>
      <c r="M29" s="33"/>
      <c r="N29" s="66">
        <v>31.17</v>
      </c>
      <c r="O29" s="66">
        <v>11.95</v>
      </c>
      <c r="P29" s="66">
        <v>4</v>
      </c>
      <c r="Q29" s="66">
        <v>7.54</v>
      </c>
      <c r="R29" s="66">
        <v>2.7</v>
      </c>
      <c r="S29" s="66">
        <v>4.3600000000000003</v>
      </c>
      <c r="T29" s="34">
        <f>N29+O29+P29+Q29+R29+S29</f>
        <v>61.720000000000006</v>
      </c>
      <c r="U29" s="5"/>
      <c r="V29" s="16">
        <f>(((N29/45)*100)*H29)/$H$190</f>
        <v>1.0697026630287365</v>
      </c>
      <c r="W29" s="16">
        <f>(((O29/15)*100)*H29)/$H$190</f>
        <v>1.2303124950138016</v>
      </c>
      <c r="X29" s="50"/>
      <c r="Y29" s="15">
        <f>(T29*H29)/$H$190</f>
        <v>0.95315757981906091</v>
      </c>
    </row>
    <row r="30" spans="1:25" x14ac:dyDescent="0.3">
      <c r="A30" s="5">
        <v>35</v>
      </c>
      <c r="B30" s="5">
        <v>3500</v>
      </c>
      <c r="C30" s="5">
        <v>1247</v>
      </c>
      <c r="D30" s="5" t="s">
        <v>33</v>
      </c>
      <c r="E30" s="5" t="s">
        <v>34</v>
      </c>
      <c r="F30" s="13">
        <v>25</v>
      </c>
      <c r="G30" s="13" t="s">
        <v>59</v>
      </c>
      <c r="H30" s="13">
        <v>876</v>
      </c>
      <c r="I30" s="13"/>
      <c r="J30" s="13"/>
      <c r="K30" s="13"/>
      <c r="L30" s="13"/>
      <c r="M30" s="13"/>
      <c r="N30" s="66">
        <v>26.13</v>
      </c>
      <c r="O30" s="66">
        <v>12.13</v>
      </c>
      <c r="P30" s="66">
        <v>3</v>
      </c>
      <c r="Q30" s="66">
        <v>6.5</v>
      </c>
      <c r="R30" s="66">
        <v>1.65</v>
      </c>
      <c r="S30" s="66">
        <v>3</v>
      </c>
      <c r="T30" s="14">
        <f>N30+O30+P30+Q30+R30+S30</f>
        <v>52.41</v>
      </c>
      <c r="V30" s="15">
        <f>(((N30/45)*100)*H30)/$H$190</f>
        <v>0.30435594275046668</v>
      </c>
      <c r="W30" s="15">
        <f>(((O30/15)*100)*H30)/$H$190</f>
        <v>0.42386195012206218</v>
      </c>
      <c r="X30" s="49"/>
      <c r="Y30" s="15">
        <f>(T30*H30)/$H$190</f>
        <v>0.27470657220812789</v>
      </c>
    </row>
    <row r="31" spans="1:25" x14ac:dyDescent="0.3">
      <c r="F31" s="13"/>
      <c r="G31" s="17" t="s">
        <v>60</v>
      </c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4"/>
      <c r="V31" s="15">
        <f>(((N31/45)*100)*H31)/$H$190</f>
        <v>0</v>
      </c>
      <c r="W31" s="15">
        <f>(((O31/15)*100)*H31)/$H$190</f>
        <v>0</v>
      </c>
      <c r="X31" s="42">
        <f>SUM(W32:W36)</f>
        <v>4.2177807827932288</v>
      </c>
      <c r="Y31" s="15">
        <f>(T31*H31)/$H$190</f>
        <v>0</v>
      </c>
    </row>
    <row r="32" spans="1:25" s="27" customFormat="1" x14ac:dyDescent="0.3">
      <c r="A32" s="27">
        <v>35</v>
      </c>
      <c r="B32" s="27">
        <v>3500</v>
      </c>
      <c r="C32" s="27">
        <v>1148</v>
      </c>
      <c r="D32" s="27" t="s">
        <v>33</v>
      </c>
      <c r="E32" s="27" t="s">
        <v>34</v>
      </c>
      <c r="F32" s="28">
        <v>26</v>
      </c>
      <c r="G32" s="28" t="s">
        <v>61</v>
      </c>
      <c r="H32" s="28">
        <v>1085</v>
      </c>
      <c r="I32" s="29"/>
      <c r="J32" s="28"/>
      <c r="K32" s="28"/>
      <c r="L32" s="28"/>
      <c r="M32" s="28"/>
      <c r="N32" s="62">
        <v>27.01</v>
      </c>
      <c r="O32" s="62">
        <v>12.95</v>
      </c>
      <c r="P32" s="62">
        <v>5.4</v>
      </c>
      <c r="Q32" s="62">
        <v>7.14</v>
      </c>
      <c r="R32" s="62">
        <v>2.7</v>
      </c>
      <c r="S32" s="62">
        <v>5</v>
      </c>
      <c r="T32" s="29">
        <f>N32+O32+P32+Q32+R32+S32</f>
        <v>60.2</v>
      </c>
      <c r="U32" s="5"/>
      <c r="V32" s="30">
        <f>(((N32/45)*100)*H32)/$H$190</f>
        <v>0.38966607098218797</v>
      </c>
      <c r="W32" s="30">
        <f>(((O32/15)*100)*H32)/$H$190</f>
        <v>0.56047859524835253</v>
      </c>
      <c r="X32" s="43"/>
      <c r="Y32" s="30">
        <f>(T32*H32)/$H$190</f>
        <v>0.39082020965966208</v>
      </c>
    </row>
    <row r="33" spans="1:25" s="44" customFormat="1" x14ac:dyDescent="0.3">
      <c r="A33" s="44">
        <v>35</v>
      </c>
      <c r="B33" s="44">
        <v>3500</v>
      </c>
      <c r="C33" s="44">
        <v>1149</v>
      </c>
      <c r="D33" s="44" t="s">
        <v>33</v>
      </c>
      <c r="E33" s="44" t="s">
        <v>34</v>
      </c>
      <c r="F33" s="45">
        <v>27</v>
      </c>
      <c r="G33" s="45" t="s">
        <v>62</v>
      </c>
      <c r="H33" s="45">
        <v>1807</v>
      </c>
      <c r="I33" s="46"/>
      <c r="J33" s="45"/>
      <c r="K33" s="45"/>
      <c r="L33" s="45"/>
      <c r="M33" s="45"/>
      <c r="N33" s="62">
        <v>39.49</v>
      </c>
      <c r="O33" s="62">
        <v>12.64</v>
      </c>
      <c r="P33" s="62">
        <v>3.94</v>
      </c>
      <c r="Q33" s="62">
        <v>7.46</v>
      </c>
      <c r="R33" s="62">
        <v>2.78</v>
      </c>
      <c r="S33" s="62">
        <v>3.4</v>
      </c>
      <c r="T33" s="46">
        <f>N33+O33+P33+Q33+R33+S33</f>
        <v>69.710000000000008</v>
      </c>
      <c r="U33" s="5"/>
      <c r="V33" s="47">
        <f>(((N33/45)*100)*H33)/$H$190</f>
        <v>0.94881940123072672</v>
      </c>
      <c r="W33" s="47">
        <f>(((O33/15)*100)*H33)/$H$190</f>
        <v>0.91109728272142709</v>
      </c>
      <c r="X33" s="48"/>
      <c r="Y33" s="15">
        <f>(T33*H33)/$H$190</f>
        <v>0.75370955196017431</v>
      </c>
    </row>
    <row r="34" spans="1:25" x14ac:dyDescent="0.3">
      <c r="A34" s="5">
        <v>35</v>
      </c>
      <c r="B34" s="5">
        <v>3500</v>
      </c>
      <c r="C34" s="5">
        <v>1150</v>
      </c>
      <c r="D34" s="5" t="s">
        <v>33</v>
      </c>
      <c r="E34" s="5" t="s">
        <v>34</v>
      </c>
      <c r="F34" s="13">
        <v>28</v>
      </c>
      <c r="G34" s="13" t="s">
        <v>63</v>
      </c>
      <c r="H34" s="13">
        <v>1799</v>
      </c>
      <c r="I34" s="18"/>
      <c r="J34" s="13"/>
      <c r="K34" s="13"/>
      <c r="L34" s="13"/>
      <c r="M34" s="13"/>
      <c r="N34" s="62">
        <v>19.59</v>
      </c>
      <c r="O34" s="62">
        <v>13.02</v>
      </c>
      <c r="P34" s="62">
        <v>4.68</v>
      </c>
      <c r="Q34" s="62">
        <v>10.78</v>
      </c>
      <c r="R34" s="62">
        <v>3.65</v>
      </c>
      <c r="S34" s="62">
        <v>4.16</v>
      </c>
      <c r="T34" s="14">
        <f>N34+O34+P34+Q34+R34+S34</f>
        <v>55.879999999999995</v>
      </c>
      <c r="V34" s="15">
        <f>(((N34/45)*100)*H34)/$H$190</f>
        <v>0.46860171046543164</v>
      </c>
      <c r="W34" s="15">
        <f>(((O34/15)*100)*H34)/$H$190</f>
        <v>0.93433296634914542</v>
      </c>
      <c r="X34" s="49"/>
      <c r="Y34" s="15">
        <f>(T34*H34)/$H$190</f>
        <v>0.60150375759896602</v>
      </c>
    </row>
    <row r="35" spans="1:25" s="32" customFormat="1" x14ac:dyDescent="0.3">
      <c r="A35" s="32">
        <v>35</v>
      </c>
      <c r="B35" s="32">
        <v>3500</v>
      </c>
      <c r="C35" s="32">
        <v>1151</v>
      </c>
      <c r="D35" s="32" t="s">
        <v>33</v>
      </c>
      <c r="E35" s="32" t="s">
        <v>34</v>
      </c>
      <c r="F35" s="33">
        <v>29</v>
      </c>
      <c r="G35" s="33" t="s">
        <v>64</v>
      </c>
      <c r="H35" s="33">
        <v>2462</v>
      </c>
      <c r="I35" s="34"/>
      <c r="J35" s="33"/>
      <c r="K35" s="34"/>
      <c r="L35" s="34"/>
      <c r="M35" s="33"/>
      <c r="N35" s="62">
        <v>33.450000000000003</v>
      </c>
      <c r="O35" s="62">
        <v>11.15</v>
      </c>
      <c r="P35" s="62">
        <v>6.5</v>
      </c>
      <c r="Q35" s="62">
        <v>11.2</v>
      </c>
      <c r="R35" s="62">
        <v>3.5</v>
      </c>
      <c r="S35" s="62">
        <v>7</v>
      </c>
      <c r="T35" s="34">
        <f>N35+O35+P35+Q35+R35+S35</f>
        <v>72.8</v>
      </c>
      <c r="U35" s="5"/>
      <c r="V35" s="16">
        <f>(((N35/45)*100)*H35)/$H$190</f>
        <v>1.09502098192204</v>
      </c>
      <c r="W35" s="16">
        <f>(((O35/15)*100)*H35)/$H$190</f>
        <v>1.09502098192204</v>
      </c>
      <c r="X35" s="50"/>
      <c r="Y35" s="15">
        <f>(T35*H35)/$H$190</f>
        <v>1.0724331051649036</v>
      </c>
    </row>
    <row r="36" spans="1:25" s="44" customFormat="1" x14ac:dyDescent="0.3">
      <c r="A36" s="44">
        <v>35</v>
      </c>
      <c r="B36" s="44">
        <v>3500</v>
      </c>
      <c r="C36" s="44">
        <v>1152</v>
      </c>
      <c r="D36" s="44" t="s">
        <v>33</v>
      </c>
      <c r="E36" s="44" t="s">
        <v>34</v>
      </c>
      <c r="F36" s="45">
        <v>30</v>
      </c>
      <c r="G36" s="45" t="s">
        <v>65</v>
      </c>
      <c r="H36" s="45">
        <v>1424</v>
      </c>
      <c r="I36" s="45"/>
      <c r="J36" s="45"/>
      <c r="K36" s="45"/>
      <c r="L36" s="46"/>
      <c r="M36" s="45"/>
      <c r="N36" s="62">
        <v>35.369999999999997</v>
      </c>
      <c r="O36" s="62">
        <v>12.62</v>
      </c>
      <c r="P36" s="62">
        <v>4.4000000000000004</v>
      </c>
      <c r="Q36" s="62">
        <v>7.46</v>
      </c>
      <c r="R36" s="62">
        <v>3.73</v>
      </c>
      <c r="S36" s="62">
        <v>5.8</v>
      </c>
      <c r="T36" s="46">
        <f>N36+O36+P36+Q36+R36+S36</f>
        <v>69.38</v>
      </c>
      <c r="U36" s="5"/>
      <c r="V36" s="47">
        <f>(((N36/45)*100)*H36)/$H$190</f>
        <v>0.66970465750801778</v>
      </c>
      <c r="W36" s="47">
        <f>(((O36/15)*100)*H36)/$H$190</f>
        <v>0.71685095655226327</v>
      </c>
      <c r="X36" s="48"/>
      <c r="Y36" s="15">
        <f>(T36*H36)/$H$190</f>
        <v>0.59114642669091955</v>
      </c>
    </row>
    <row r="37" spans="1:25" x14ac:dyDescent="0.3">
      <c r="F37" s="13"/>
      <c r="G37" s="17" t="s">
        <v>66</v>
      </c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4"/>
      <c r="V37" s="15"/>
      <c r="W37" s="15"/>
      <c r="X37" s="42">
        <f>SUM(W38:W101)</f>
        <v>16.505127407336492</v>
      </c>
      <c r="Y37" s="15">
        <f>(T37*H37)/$H$190</f>
        <v>0</v>
      </c>
    </row>
    <row r="38" spans="1:25" x14ac:dyDescent="0.3">
      <c r="A38" s="5">
        <v>35</v>
      </c>
      <c r="B38" s="5">
        <v>3500</v>
      </c>
      <c r="C38" s="5">
        <v>122203</v>
      </c>
      <c r="D38" s="5" t="s">
        <v>33</v>
      </c>
      <c r="E38" s="5" t="s">
        <v>34</v>
      </c>
      <c r="F38" s="13">
        <v>31</v>
      </c>
      <c r="G38" s="13" t="s">
        <v>67</v>
      </c>
      <c r="H38" s="13">
        <v>148</v>
      </c>
      <c r="I38" s="13"/>
      <c r="J38" s="13"/>
      <c r="K38" s="13"/>
      <c r="L38" s="13"/>
      <c r="M38" s="13"/>
      <c r="N38" s="57">
        <v>29.82</v>
      </c>
      <c r="O38" s="57">
        <v>13.38</v>
      </c>
      <c r="P38" s="57">
        <v>6</v>
      </c>
      <c r="Q38" s="57">
        <v>6.5</v>
      </c>
      <c r="R38" s="57">
        <v>3.1</v>
      </c>
      <c r="S38" s="57">
        <v>3.4</v>
      </c>
      <c r="T38" s="14">
        <f>N38+O38+P38+Q38+R38+S38</f>
        <v>62.2</v>
      </c>
      <c r="V38" s="15">
        <f>(((N38/45)*100)*H38)/$H$190</f>
        <v>5.8682367207569454E-2</v>
      </c>
      <c r="W38" s="15">
        <f>(((O38/15)*100)*H38)/$H$190</f>
        <v>7.8990953041979797E-2</v>
      </c>
      <c r="X38" s="49"/>
      <c r="Y38" s="15">
        <f>(T38*H38)/$H$190</f>
        <v>5.5081135417165292E-2</v>
      </c>
    </row>
    <row r="39" spans="1:25" x14ac:dyDescent="0.3">
      <c r="A39" s="5">
        <v>35</v>
      </c>
      <c r="B39" s="5">
        <v>3500</v>
      </c>
      <c r="C39" s="5">
        <v>1153</v>
      </c>
      <c r="D39" s="5" t="s">
        <v>33</v>
      </c>
      <c r="E39" s="5" t="s">
        <v>34</v>
      </c>
      <c r="F39" s="13">
        <v>32</v>
      </c>
      <c r="G39" s="13" t="s">
        <v>68</v>
      </c>
      <c r="H39" s="13">
        <v>156</v>
      </c>
      <c r="I39" s="13"/>
      <c r="J39" s="13"/>
      <c r="K39" s="13"/>
      <c r="L39" s="13"/>
      <c r="M39" s="13"/>
      <c r="N39" s="58">
        <v>29.92</v>
      </c>
      <c r="O39" s="59">
        <v>13.36</v>
      </c>
      <c r="P39" s="59">
        <v>6</v>
      </c>
      <c r="Q39" s="59">
        <v>6.5</v>
      </c>
      <c r="R39" s="59">
        <v>3.1</v>
      </c>
      <c r="S39" s="59">
        <v>3</v>
      </c>
      <c r="T39" s="14">
        <f>N39+O39+P39+Q39+R39+S39</f>
        <v>61.88</v>
      </c>
      <c r="V39" s="15">
        <f>(((N39/45)*100)*H39)/$H$190</f>
        <v>6.2061812901887586E-2</v>
      </c>
      <c r="W39" s="15">
        <f>(((O39/15)*100)*H39)/$H$190</f>
        <v>8.3136278780336026E-2</v>
      </c>
      <c r="X39" s="49"/>
      <c r="Y39" s="15">
        <f>(T39*H39)/$H$190</f>
        <v>5.7759800871188552E-2</v>
      </c>
    </row>
    <row r="40" spans="1:25" s="27" customFormat="1" x14ac:dyDescent="0.3">
      <c r="A40" s="27">
        <v>35</v>
      </c>
      <c r="B40" s="27">
        <v>3500</v>
      </c>
      <c r="C40" s="27">
        <v>1154</v>
      </c>
      <c r="D40" s="27" t="s">
        <v>33</v>
      </c>
      <c r="E40" s="27" t="s">
        <v>34</v>
      </c>
      <c r="F40" s="28">
        <v>33</v>
      </c>
      <c r="G40" s="28" t="s">
        <v>69</v>
      </c>
      <c r="H40" s="28">
        <v>1212</v>
      </c>
      <c r="I40" s="28"/>
      <c r="J40" s="28"/>
      <c r="K40" s="28"/>
      <c r="L40" s="28"/>
      <c r="M40" s="28"/>
      <c r="N40" s="58">
        <v>16.71</v>
      </c>
      <c r="O40" s="59">
        <v>14.34</v>
      </c>
      <c r="P40" s="59">
        <v>6</v>
      </c>
      <c r="Q40" s="59">
        <v>6.5</v>
      </c>
      <c r="R40" s="59">
        <v>2.9</v>
      </c>
      <c r="S40" s="59">
        <v>3.99</v>
      </c>
      <c r="T40" s="29">
        <f>N40+O40+P40+Q40+R40+S40</f>
        <v>50.44</v>
      </c>
      <c r="U40" s="5"/>
      <c r="V40" s="30">
        <f>(((N40/45)*100)*H40)/$H$190</f>
        <v>0.26928821023407207</v>
      </c>
      <c r="W40" s="30">
        <f>(((O40/15)*100)*H40)/$H$190</f>
        <v>0.69328418936384084</v>
      </c>
      <c r="X40" s="43"/>
      <c r="Y40" s="30">
        <f>(T40*H40)/$H$190</f>
        <v>0.36578718108276292</v>
      </c>
    </row>
    <row r="41" spans="1:25" x14ac:dyDescent="0.3">
      <c r="A41" s="5">
        <v>35</v>
      </c>
      <c r="B41" s="5">
        <v>3500</v>
      </c>
      <c r="C41" s="5">
        <v>1155</v>
      </c>
      <c r="D41" s="5" t="s">
        <v>33</v>
      </c>
      <c r="E41" s="5" t="s">
        <v>34</v>
      </c>
      <c r="F41" s="13">
        <v>34</v>
      </c>
      <c r="G41" s="13" t="s">
        <v>70</v>
      </c>
      <c r="H41" s="13">
        <v>20</v>
      </c>
      <c r="I41" s="13"/>
      <c r="J41" s="13"/>
      <c r="K41" s="13"/>
      <c r="L41" s="13"/>
      <c r="M41" s="13"/>
      <c r="N41" s="58">
        <v>28.65</v>
      </c>
      <c r="O41" s="59">
        <v>13.53</v>
      </c>
      <c r="P41" s="59">
        <v>6</v>
      </c>
      <c r="Q41" s="59">
        <v>6.5</v>
      </c>
      <c r="R41" s="59">
        <v>3.1</v>
      </c>
      <c r="S41" s="59">
        <v>3.2</v>
      </c>
      <c r="T41" s="14">
        <f>N41+O41+P41+Q41+R41+S41</f>
        <v>60.980000000000004</v>
      </c>
      <c r="V41" s="15">
        <f>(((N41/45)*100)*H41)/$H$190</f>
        <v>7.6189108547540388E-3</v>
      </c>
      <c r="W41" s="15">
        <f>(((O41/15)*100)*H41)/$H$190</f>
        <v>1.0794121870662006E-2</v>
      </c>
      <c r="X41" s="49"/>
      <c r="Y41" s="15">
        <f>(T41*H41)/$H$190</f>
        <v>7.2974007946005467E-3</v>
      </c>
    </row>
    <row r="42" spans="1:25" x14ac:dyDescent="0.3">
      <c r="A42" s="5">
        <v>35</v>
      </c>
      <c r="B42" s="5">
        <v>3500</v>
      </c>
      <c r="C42" s="5">
        <v>1156</v>
      </c>
      <c r="D42" s="5" t="s">
        <v>33</v>
      </c>
      <c r="E42" s="5" t="s">
        <v>34</v>
      </c>
      <c r="F42" s="13">
        <v>35</v>
      </c>
      <c r="G42" s="13" t="s">
        <v>71</v>
      </c>
      <c r="H42" s="13">
        <v>527</v>
      </c>
      <c r="I42" s="13"/>
      <c r="J42" s="13"/>
      <c r="K42" s="13"/>
      <c r="L42" s="13"/>
      <c r="M42" s="13"/>
      <c r="N42" s="58">
        <v>28.25</v>
      </c>
      <c r="O42" s="59">
        <v>12.75</v>
      </c>
      <c r="P42" s="59">
        <v>4.5999999999999996</v>
      </c>
      <c r="Q42" s="59">
        <v>10.28</v>
      </c>
      <c r="R42" s="59">
        <v>2.98</v>
      </c>
      <c r="S42" s="59">
        <v>4.2</v>
      </c>
      <c r="T42" s="14">
        <f>N42+O42+P42+Q42+R42+S42</f>
        <v>63.06</v>
      </c>
      <c r="V42" s="15">
        <f>(((N42/45)*100)*H42)/$H$190</f>
        <v>0.19795539280604621</v>
      </c>
      <c r="W42" s="15">
        <f>(((O42/15)*100)*H42)/$H$190</f>
        <v>0.26802809822411566</v>
      </c>
      <c r="X42" s="49"/>
      <c r="Y42" s="15">
        <f>(T42*H42)/$H$190</f>
        <v>0.19884531616485571</v>
      </c>
    </row>
    <row r="43" spans="1:25" x14ac:dyDescent="0.3">
      <c r="A43" s="5">
        <v>35</v>
      </c>
      <c r="B43" s="5">
        <v>3500</v>
      </c>
      <c r="C43" s="5">
        <v>1157</v>
      </c>
      <c r="D43" s="5" t="s">
        <v>33</v>
      </c>
      <c r="E43" s="5" t="s">
        <v>34</v>
      </c>
      <c r="F43" s="13">
        <v>36</v>
      </c>
      <c r="G43" s="13" t="s">
        <v>72</v>
      </c>
      <c r="H43" s="13">
        <v>457</v>
      </c>
      <c r="I43" s="13"/>
      <c r="J43" s="13"/>
      <c r="K43" s="13"/>
      <c r="L43" s="13"/>
      <c r="M43" s="13"/>
      <c r="N43" s="58">
        <v>23.97</v>
      </c>
      <c r="O43" s="59">
        <v>13.65</v>
      </c>
      <c r="P43" s="59">
        <v>4.5999999999999996</v>
      </c>
      <c r="Q43" s="59">
        <v>8.26</v>
      </c>
      <c r="R43" s="59">
        <v>3.1</v>
      </c>
      <c r="S43" s="59">
        <v>6.3</v>
      </c>
      <c r="T43" s="14">
        <f>N43+O43+P43+Q43+R43+S43</f>
        <v>59.879999999999995</v>
      </c>
      <c r="V43" s="15">
        <f>(((N43/45)*100)*H43)/$H$190</f>
        <v>0.14565402964594001</v>
      </c>
      <c r="W43" s="15">
        <f>(((O43/15)*100)*H43)/$H$190</f>
        <v>0.24883322962041071</v>
      </c>
      <c r="X43" s="49"/>
      <c r="Y43" s="15">
        <f>(T43*H43)/$H$190</f>
        <v>0.16373773395241967</v>
      </c>
    </row>
    <row r="44" spans="1:25" x14ac:dyDescent="0.3">
      <c r="A44" s="5">
        <v>35</v>
      </c>
      <c r="B44" s="5">
        <v>3500</v>
      </c>
      <c r="C44" s="5">
        <v>1158</v>
      </c>
      <c r="D44" s="5" t="s">
        <v>33</v>
      </c>
      <c r="E44" s="5" t="s">
        <v>34</v>
      </c>
      <c r="F44" s="13">
        <v>37</v>
      </c>
      <c r="G44" s="13" t="s">
        <v>73</v>
      </c>
      <c r="H44" s="13">
        <v>107</v>
      </c>
      <c r="I44" s="13"/>
      <c r="J44" s="13"/>
      <c r="K44" s="13"/>
      <c r="L44" s="13"/>
      <c r="M44" s="13"/>
      <c r="N44" s="58">
        <v>29.45</v>
      </c>
      <c r="O44" s="59">
        <v>13.38</v>
      </c>
      <c r="P44" s="59">
        <v>6</v>
      </c>
      <c r="Q44" s="59">
        <v>6.5</v>
      </c>
      <c r="R44" s="59">
        <v>3.1</v>
      </c>
      <c r="S44" s="59">
        <v>3.2</v>
      </c>
      <c r="T44" s="14">
        <f>N44+O44+P44+Q44+R44+S44</f>
        <v>61.63</v>
      </c>
      <c r="V44" s="15">
        <f>(((N44/45)*100)*H44)/$H$190</f>
        <v>4.1899355916157413E-2</v>
      </c>
      <c r="W44" s="15">
        <f>(((O44/15)*100)*H44)/$H$190</f>
        <v>5.7108324158728636E-2</v>
      </c>
      <c r="X44" s="49"/>
      <c r="Y44" s="15">
        <f>(T44*H44)/$H$190</f>
        <v>3.9457242353166437E-2</v>
      </c>
    </row>
    <row r="45" spans="1:25" x14ac:dyDescent="0.3">
      <c r="A45" s="5">
        <v>35</v>
      </c>
      <c r="B45" s="5">
        <v>3500</v>
      </c>
      <c r="C45" s="5">
        <v>1159</v>
      </c>
      <c r="D45" s="5" t="s">
        <v>33</v>
      </c>
      <c r="E45" s="5" t="s">
        <v>34</v>
      </c>
      <c r="F45" s="13">
        <v>38</v>
      </c>
      <c r="G45" s="13" t="s">
        <v>74</v>
      </c>
      <c r="H45" s="13">
        <v>39</v>
      </c>
      <c r="I45" s="13"/>
      <c r="J45" s="13"/>
      <c r="K45" s="13"/>
      <c r="L45" s="13"/>
      <c r="M45" s="13"/>
      <c r="N45" s="58">
        <v>28.57</v>
      </c>
      <c r="O45" s="59">
        <v>14.35</v>
      </c>
      <c r="P45" s="59">
        <v>4.5999999999999996</v>
      </c>
      <c r="Q45" s="59">
        <v>7.7</v>
      </c>
      <c r="R45" s="59">
        <v>3.1</v>
      </c>
      <c r="S45" s="59">
        <v>3</v>
      </c>
      <c r="T45" s="14">
        <f>N45+O45+P45+Q45+R45+S45</f>
        <v>61.320000000000007</v>
      </c>
      <c r="V45" s="15">
        <f>(((N45/45)*100)*H45)/$H$190</f>
        <v>1.4815390997718319E-2</v>
      </c>
      <c r="W45" s="15">
        <f>(((O45/15)*100)*H45)/$H$190</f>
        <v>2.2324206596141878E-2</v>
      </c>
      <c r="X45" s="49"/>
      <c r="Y45" s="15">
        <f>(T45*H45)/$H$190</f>
        <v>1.4309271935283139E-2</v>
      </c>
    </row>
    <row r="46" spans="1:25" x14ac:dyDescent="0.3">
      <c r="A46" s="5">
        <v>35</v>
      </c>
      <c r="B46" s="5">
        <v>3500</v>
      </c>
      <c r="C46" s="5">
        <v>1160</v>
      </c>
      <c r="D46" s="5" t="s">
        <v>33</v>
      </c>
      <c r="E46" s="5" t="s">
        <v>34</v>
      </c>
      <c r="F46" s="13">
        <v>39</v>
      </c>
      <c r="G46" s="13" t="s">
        <v>75</v>
      </c>
      <c r="H46" s="13">
        <v>282</v>
      </c>
      <c r="I46" s="13"/>
      <c r="J46" s="13"/>
      <c r="K46" s="13"/>
      <c r="L46" s="13"/>
      <c r="M46" s="13"/>
      <c r="N46" s="58">
        <v>28.48</v>
      </c>
      <c r="O46" s="59">
        <v>13.54</v>
      </c>
      <c r="P46" s="59">
        <v>3.9</v>
      </c>
      <c r="Q46" s="59">
        <v>9.6999999999999993</v>
      </c>
      <c r="R46" s="59">
        <v>3</v>
      </c>
      <c r="S46" s="59">
        <v>3</v>
      </c>
      <c r="T46" s="14">
        <f>N46+O46+P46+Q46+R46+S46</f>
        <v>61.61999999999999</v>
      </c>
      <c r="V46" s="15">
        <f>(((N46/45)*100)*H46)/$H$190</f>
        <v>0.10678920747371276</v>
      </c>
      <c r="W46" s="15">
        <f>(((O46/15)*100)*H46)/$H$190</f>
        <v>0.15230960700780241</v>
      </c>
      <c r="X46" s="49"/>
      <c r="Y46" s="15">
        <f>(T46*H46)/$H$190</f>
        <v>0.1039732420659614</v>
      </c>
    </row>
    <row r="47" spans="1:25" x14ac:dyDescent="0.3">
      <c r="A47" s="5">
        <v>35</v>
      </c>
      <c r="B47" s="5">
        <v>3500</v>
      </c>
      <c r="C47" s="5">
        <v>1161</v>
      </c>
      <c r="D47" s="5" t="s">
        <v>33</v>
      </c>
      <c r="E47" s="5" t="s">
        <v>34</v>
      </c>
      <c r="F47" s="13">
        <v>40</v>
      </c>
      <c r="G47" s="13" t="s">
        <v>76</v>
      </c>
      <c r="H47" s="13">
        <v>726</v>
      </c>
      <c r="I47" s="13"/>
      <c r="J47" s="13"/>
      <c r="K47" s="13"/>
      <c r="L47" s="13"/>
      <c r="M47" s="13"/>
      <c r="N47" s="58">
        <v>31.96</v>
      </c>
      <c r="O47" s="59">
        <v>13.27</v>
      </c>
      <c r="P47" s="59">
        <v>5.9</v>
      </c>
      <c r="Q47" s="59">
        <v>6.5</v>
      </c>
      <c r="R47" s="59">
        <v>3.1</v>
      </c>
      <c r="S47" s="59">
        <v>3</v>
      </c>
      <c r="T47" s="14">
        <f>N47+O47+P47+Q47+R47+S47</f>
        <v>63.730000000000004</v>
      </c>
      <c r="V47" s="15">
        <f>(((N47/45)*100)*H47)/$H$190</f>
        <v>0.30851881990649882</v>
      </c>
      <c r="W47" s="15">
        <f>(((O47/15)*100)*H47)/$H$190</f>
        <v>0.38429706572208122</v>
      </c>
      <c r="X47" s="49"/>
      <c r="Y47" s="15">
        <f>(T47*H47)/$H$190</f>
        <v>0.27684158249964103</v>
      </c>
    </row>
    <row r="48" spans="1:25" x14ac:dyDescent="0.3">
      <c r="A48" s="5">
        <v>35</v>
      </c>
      <c r="B48" s="5">
        <v>3500</v>
      </c>
      <c r="C48" s="5">
        <v>1162</v>
      </c>
      <c r="D48" s="5" t="s">
        <v>33</v>
      </c>
      <c r="E48" s="5" t="s">
        <v>34</v>
      </c>
      <c r="F48" s="13">
        <v>41</v>
      </c>
      <c r="G48" s="13" t="s">
        <v>77</v>
      </c>
      <c r="H48" s="13">
        <v>63</v>
      </c>
      <c r="I48" s="13"/>
      <c r="J48" s="13"/>
      <c r="K48" s="13"/>
      <c r="L48" s="13"/>
      <c r="M48" s="13"/>
      <c r="N48" s="58">
        <v>27.57</v>
      </c>
      <c r="O48" s="59">
        <v>13.46</v>
      </c>
      <c r="P48" s="59">
        <v>6.5</v>
      </c>
      <c r="Q48" s="59">
        <v>6.5</v>
      </c>
      <c r="R48" s="59">
        <v>3.1</v>
      </c>
      <c r="S48" s="59">
        <v>3.2</v>
      </c>
      <c r="T48" s="14">
        <f>N48+O48+P48+Q48+R48+S48</f>
        <v>60.330000000000005</v>
      </c>
      <c r="V48" s="15">
        <f>(((N48/45)*100)*H48)/$H$190</f>
        <v>2.3094873390455219E-2</v>
      </c>
      <c r="W48" s="15">
        <f>(((O48/15)*100)*H48)/$H$190</f>
        <v>3.3825570819970327E-2</v>
      </c>
      <c r="X48" s="49"/>
      <c r="Y48" s="15">
        <f>(T48*H48)/$H$190</f>
        <v>2.274179072327797E-2</v>
      </c>
    </row>
    <row r="49" spans="1:25" x14ac:dyDescent="0.3">
      <c r="A49" s="5">
        <v>35</v>
      </c>
      <c r="B49" s="5">
        <v>3500</v>
      </c>
      <c r="C49" s="5">
        <v>1163</v>
      </c>
      <c r="D49" s="5" t="s">
        <v>33</v>
      </c>
      <c r="E49" s="5" t="s">
        <v>34</v>
      </c>
      <c r="F49" s="13">
        <v>42</v>
      </c>
      <c r="G49" s="13" t="s">
        <v>78</v>
      </c>
      <c r="H49" s="13">
        <v>70</v>
      </c>
      <c r="I49" s="13"/>
      <c r="J49" s="13"/>
      <c r="K49" s="13"/>
      <c r="L49" s="13"/>
      <c r="M49" s="13"/>
      <c r="N49" s="58">
        <v>28.39</v>
      </c>
      <c r="O49" s="59">
        <v>15</v>
      </c>
      <c r="P49" s="59">
        <v>5.5</v>
      </c>
      <c r="Q49" s="59">
        <v>7.14</v>
      </c>
      <c r="R49" s="59">
        <v>3.1</v>
      </c>
      <c r="S49" s="59">
        <v>3</v>
      </c>
      <c r="T49" s="14">
        <f>N49+O49+P49+Q49+R49+S49</f>
        <v>62.13</v>
      </c>
      <c r="V49" s="15">
        <f>(((N49/45)*100)*H49)/$H$190</f>
        <v>2.6424191172168772E-2</v>
      </c>
      <c r="W49" s="15">
        <f>(((O49/15)*100)*H49)/$H$190</f>
        <v>4.1884064908333733E-2</v>
      </c>
      <c r="X49" s="49"/>
      <c r="Y49" s="15">
        <f>(T49*H49)/$H$190</f>
        <v>2.6022569527547751E-2</v>
      </c>
    </row>
    <row r="50" spans="1:25" x14ac:dyDescent="0.3">
      <c r="A50" s="5">
        <v>35</v>
      </c>
      <c r="B50" s="5">
        <v>3500</v>
      </c>
      <c r="C50" s="5">
        <v>1164</v>
      </c>
      <c r="D50" s="5" t="s">
        <v>33</v>
      </c>
      <c r="E50" s="5" t="s">
        <v>34</v>
      </c>
      <c r="F50" s="13">
        <v>43</v>
      </c>
      <c r="G50" s="13" t="s">
        <v>79</v>
      </c>
      <c r="H50" s="13">
        <v>53</v>
      </c>
      <c r="I50" s="13"/>
      <c r="J50" s="13"/>
      <c r="K50" s="13"/>
      <c r="L50" s="13"/>
      <c r="M50" s="13"/>
      <c r="N50" s="58">
        <v>22.16</v>
      </c>
      <c r="O50" s="59">
        <v>14.81</v>
      </c>
      <c r="P50" s="59">
        <v>6.2</v>
      </c>
      <c r="Q50" s="59">
        <v>9.8800000000000008</v>
      </c>
      <c r="R50" s="59">
        <v>2.7</v>
      </c>
      <c r="S50" s="59">
        <v>4.16</v>
      </c>
      <c r="T50" s="14">
        <f>N50+O50+P50+Q50+R50+S50</f>
        <v>59.910000000000011</v>
      </c>
      <c r="V50" s="15">
        <f>(((N50/45)*100)*H50)/$H$190</f>
        <v>1.5616506842393589E-2</v>
      </c>
      <c r="W50" s="15">
        <f>(((O50/15)*100)*H50)/$H$190</f>
        <v>3.1310532446188949E-2</v>
      </c>
      <c r="X50" s="49"/>
      <c r="Y50" s="15">
        <f>(T50*H50)/$H$190</f>
        <v>1.8998791345555505E-2</v>
      </c>
    </row>
    <row r="51" spans="1:25" x14ac:dyDescent="0.3">
      <c r="A51" s="5">
        <v>35</v>
      </c>
      <c r="B51" s="5">
        <v>3500</v>
      </c>
      <c r="C51" s="5">
        <v>1165</v>
      </c>
      <c r="D51" s="5" t="s">
        <v>33</v>
      </c>
      <c r="E51" s="5" t="s">
        <v>34</v>
      </c>
      <c r="F51" s="13">
        <v>44</v>
      </c>
      <c r="G51" s="13" t="s">
        <v>80</v>
      </c>
      <c r="H51" s="13">
        <v>193</v>
      </c>
      <c r="I51" s="13"/>
      <c r="J51" s="13"/>
      <c r="K51" s="13"/>
      <c r="L51" s="13"/>
      <c r="M51" s="13"/>
      <c r="N51" s="58">
        <v>27.55</v>
      </c>
      <c r="O51" s="59">
        <v>11.04</v>
      </c>
      <c r="P51" s="59">
        <v>6.95</v>
      </c>
      <c r="Q51" s="59">
        <v>7.86</v>
      </c>
      <c r="R51" s="59">
        <v>3.45</v>
      </c>
      <c r="S51" s="59">
        <v>0</v>
      </c>
      <c r="T51" s="14">
        <f>N51+O51+P51+Q51+R51+S51</f>
        <v>56.850000000000009</v>
      </c>
      <c r="V51" s="15">
        <f>(((N51/45)*100)*H51)/$H$190</f>
        <v>7.0699636738840221E-2</v>
      </c>
      <c r="W51" s="15">
        <f>(((O51/15)*100)*H51)/$H$190</f>
        <v>8.499353788712842E-2</v>
      </c>
      <c r="X51" s="49"/>
      <c r="Y51" s="15">
        <f>(T51*H51)/$H$190</f>
        <v>6.5650579196783312E-2</v>
      </c>
    </row>
    <row r="52" spans="1:25" x14ac:dyDescent="0.3">
      <c r="A52" s="5">
        <v>35</v>
      </c>
      <c r="B52" s="5">
        <v>3500</v>
      </c>
      <c r="C52" s="5">
        <v>1166</v>
      </c>
      <c r="D52" s="5" t="s">
        <v>33</v>
      </c>
      <c r="E52" s="5" t="s">
        <v>34</v>
      </c>
      <c r="F52" s="13">
        <v>45</v>
      </c>
      <c r="G52" s="13" t="s">
        <v>81</v>
      </c>
      <c r="H52" s="13">
        <v>455</v>
      </c>
      <c r="I52" s="13"/>
      <c r="J52" s="13"/>
      <c r="K52" s="13"/>
      <c r="L52" s="13"/>
      <c r="M52" s="13"/>
      <c r="N52" s="58">
        <v>27.88</v>
      </c>
      <c r="O52" s="59">
        <v>11.42</v>
      </c>
      <c r="P52" s="59">
        <v>4.5</v>
      </c>
      <c r="Q52" s="59">
        <v>6.1</v>
      </c>
      <c r="R52" s="59">
        <v>3.5</v>
      </c>
      <c r="S52" s="59">
        <v>0</v>
      </c>
      <c r="T52" s="14">
        <f>N52+O52+P52+Q52+R52+S52</f>
        <v>53.4</v>
      </c>
      <c r="V52" s="15">
        <f>(((N52/45)*100)*H52)/$H$190</f>
        <v>0.16867178317084974</v>
      </c>
      <c r="W52" s="15">
        <f>(((O52/15)*100)*H52)/$H$190</f>
        <v>0.20727027587637417</v>
      </c>
      <c r="X52" s="49"/>
      <c r="Y52" s="15">
        <f>(T52*H52)/$H$190</f>
        <v>0.14537958929682637</v>
      </c>
    </row>
    <row r="53" spans="1:25" x14ac:dyDescent="0.3">
      <c r="A53" s="5">
        <v>35</v>
      </c>
      <c r="B53" s="5">
        <v>3500</v>
      </c>
      <c r="C53" s="5">
        <v>1167</v>
      </c>
      <c r="D53" s="5" t="s">
        <v>33</v>
      </c>
      <c r="E53" s="5" t="s">
        <v>34</v>
      </c>
      <c r="F53" s="13">
        <v>46</v>
      </c>
      <c r="G53" s="13" t="s">
        <v>82</v>
      </c>
      <c r="H53" s="13">
        <v>16</v>
      </c>
      <c r="I53" s="13"/>
      <c r="J53" s="13"/>
      <c r="K53" s="13"/>
      <c r="L53" s="13"/>
      <c r="M53" s="13"/>
      <c r="N53" s="58">
        <v>27.18</v>
      </c>
      <c r="O53" s="59">
        <v>13.4</v>
      </c>
      <c r="P53" s="59">
        <v>6</v>
      </c>
      <c r="Q53" s="59">
        <v>6.9</v>
      </c>
      <c r="R53" s="59">
        <v>3.1</v>
      </c>
      <c r="S53" s="59">
        <v>3</v>
      </c>
      <c r="T53" s="14">
        <f>N53+O53+P53+Q53+R53+S53</f>
        <v>59.58</v>
      </c>
      <c r="V53" s="15">
        <f>(((N53/45)*100)*H53)/$H$190</f>
        <v>5.7823943324876743E-3</v>
      </c>
      <c r="W53" s="15">
        <f>(((O53/15)*100)*H53)/$H$190</f>
        <v>8.5523271584254778E-3</v>
      </c>
      <c r="X53" s="49"/>
      <c r="Y53" s="15">
        <f>(T53*H53)/$H$190</f>
        <v>5.7038916279737685E-3</v>
      </c>
    </row>
    <row r="54" spans="1:25" x14ac:dyDescent="0.3">
      <c r="A54" s="5">
        <v>35</v>
      </c>
      <c r="B54" s="5">
        <v>3500</v>
      </c>
      <c r="C54" s="5">
        <v>1168</v>
      </c>
      <c r="D54" s="5" t="s">
        <v>33</v>
      </c>
      <c r="E54" s="5" t="s">
        <v>34</v>
      </c>
      <c r="F54" s="13">
        <v>47</v>
      </c>
      <c r="G54" s="13" t="s">
        <v>83</v>
      </c>
      <c r="H54" s="13">
        <v>32</v>
      </c>
      <c r="I54" s="13"/>
      <c r="J54" s="13"/>
      <c r="K54" s="13"/>
      <c r="L54" s="13"/>
      <c r="M54" s="13"/>
      <c r="N54" s="58">
        <v>22.54</v>
      </c>
      <c r="O54" s="59">
        <v>13.5</v>
      </c>
      <c r="P54" s="59">
        <v>6.3</v>
      </c>
      <c r="Q54" s="59">
        <v>6.5</v>
      </c>
      <c r="R54" s="59">
        <v>3.1</v>
      </c>
      <c r="S54" s="59">
        <v>3</v>
      </c>
      <c r="T54" s="14">
        <f>N54+O54+P54+Q54+R54+S54</f>
        <v>54.94</v>
      </c>
      <c r="V54" s="15">
        <f>(((N54/45)*100)*H54)/$H$190</f>
        <v>9.5905201070104595E-3</v>
      </c>
      <c r="W54" s="15">
        <f>(((O54/15)*100)*H54)/$H$190</f>
        <v>1.7232300990857308E-2</v>
      </c>
      <c r="X54" s="49"/>
      <c r="Y54" s="15">
        <f>(T54*H54)/$H$190</f>
        <v>1.0519362404863338E-2</v>
      </c>
    </row>
    <row r="55" spans="1:25" x14ac:dyDescent="0.3">
      <c r="A55" s="5">
        <v>35</v>
      </c>
      <c r="B55" s="5">
        <v>3500</v>
      </c>
      <c r="C55" s="5">
        <v>1169</v>
      </c>
      <c r="D55" s="5" t="s">
        <v>33</v>
      </c>
      <c r="E55" s="5" t="s">
        <v>34</v>
      </c>
      <c r="F55" s="13">
        <v>48</v>
      </c>
      <c r="G55" s="13" t="s">
        <v>84</v>
      </c>
      <c r="H55" s="13">
        <v>46</v>
      </c>
      <c r="I55" s="13"/>
      <c r="J55" s="13"/>
      <c r="K55" s="13"/>
      <c r="L55" s="13"/>
      <c r="M55" s="13"/>
      <c r="N55" s="58">
        <v>27.43</v>
      </c>
      <c r="O55" s="59">
        <v>15</v>
      </c>
      <c r="P55" s="59">
        <v>5.9</v>
      </c>
      <c r="Q55" s="59">
        <v>7.3</v>
      </c>
      <c r="R55" s="59">
        <v>3.1</v>
      </c>
      <c r="S55" s="59">
        <v>3</v>
      </c>
      <c r="T55" s="14">
        <f>N55+O55+P55+Q55+R55+S55</f>
        <v>61.73</v>
      </c>
      <c r="V55" s="15">
        <f>(((N55/45)*100)*H55)/$H$190</f>
        <v>1.6777293784138836E-2</v>
      </c>
      <c r="W55" s="15">
        <f>(((O55/15)*100)*H55)/$H$190</f>
        <v>2.7523814082619311E-2</v>
      </c>
      <c r="X55" s="49"/>
      <c r="Y55" s="15">
        <f>(T55*H55)/$H$190</f>
        <v>1.6990450433200899E-2</v>
      </c>
    </row>
    <row r="56" spans="1:25" x14ac:dyDescent="0.3">
      <c r="A56" s="5">
        <v>35</v>
      </c>
      <c r="B56" s="5">
        <v>3500</v>
      </c>
      <c r="C56" s="5">
        <v>1170</v>
      </c>
      <c r="D56" s="5" t="s">
        <v>33</v>
      </c>
      <c r="E56" s="5" t="s">
        <v>34</v>
      </c>
      <c r="F56" s="13">
        <v>49</v>
      </c>
      <c r="G56" s="13" t="s">
        <v>220</v>
      </c>
      <c r="H56" s="13">
        <v>59</v>
      </c>
      <c r="I56" s="13"/>
      <c r="J56" s="13"/>
      <c r="K56" s="13"/>
      <c r="L56" s="13"/>
      <c r="M56" s="13"/>
      <c r="N56" s="58">
        <v>21.83</v>
      </c>
      <c r="O56" s="59">
        <v>13.21</v>
      </c>
      <c r="P56" s="59">
        <v>6</v>
      </c>
      <c r="Q56" s="59">
        <v>6.5</v>
      </c>
      <c r="R56" s="59">
        <v>3.1</v>
      </c>
      <c r="S56" s="59">
        <v>3</v>
      </c>
      <c r="T56" s="14">
        <f>N56+O56+P56+Q56+R56+S56</f>
        <v>53.64</v>
      </c>
      <c r="V56" s="15">
        <f>(((N56/45)*100)*H56)/$H$190</f>
        <v>1.7125529866662409E-2</v>
      </c>
      <c r="W56" s="15">
        <f>(((O56/15)*100)*H56)/$H$190</f>
        <v>3.1089544141815462E-2</v>
      </c>
      <c r="X56" s="49"/>
      <c r="Y56" s="15">
        <f>(T56*H56)/$H$190</f>
        <v>1.8936144751328324E-2</v>
      </c>
    </row>
    <row r="57" spans="1:25" x14ac:dyDescent="0.3">
      <c r="A57" s="5">
        <v>35</v>
      </c>
      <c r="B57" s="5">
        <v>3500</v>
      </c>
      <c r="C57" s="5">
        <v>1171</v>
      </c>
      <c r="D57" s="5" t="s">
        <v>33</v>
      </c>
      <c r="E57" s="5" t="s">
        <v>34</v>
      </c>
      <c r="F57" s="13">
        <v>50</v>
      </c>
      <c r="G57" s="13" t="s">
        <v>86</v>
      </c>
      <c r="H57" s="13">
        <v>119</v>
      </c>
      <c r="I57" s="13"/>
      <c r="J57" s="13"/>
      <c r="K57" s="13"/>
      <c r="L57" s="13"/>
      <c r="M57" s="13"/>
      <c r="N57" s="58">
        <v>28.83</v>
      </c>
      <c r="O57" s="59">
        <v>14.56</v>
      </c>
      <c r="P57" s="59">
        <v>6</v>
      </c>
      <c r="Q57" s="59">
        <v>6.5</v>
      </c>
      <c r="R57" s="59">
        <v>2.9</v>
      </c>
      <c r="S57" s="59">
        <v>3</v>
      </c>
      <c r="T57" s="14">
        <f>N57+O57+P57+Q57+R57+S57</f>
        <v>61.79</v>
      </c>
      <c r="V57" s="15">
        <f>(((N57/45)*100)*H57)/$H$190</f>
        <v>4.5617331227163209E-2</v>
      </c>
      <c r="W57" s="15">
        <f>(((O57/15)*100)*H57)/$H$190</f>
        <v>6.9114291640738429E-2</v>
      </c>
      <c r="X57" s="49"/>
      <c r="Y57" s="15">
        <f>(T57*H57)/$H$190</f>
        <v>4.3996278301661002E-2</v>
      </c>
    </row>
    <row r="58" spans="1:25" s="27" customFormat="1" x14ac:dyDescent="0.3">
      <c r="A58" s="27">
        <v>35</v>
      </c>
      <c r="B58" s="27">
        <v>3500</v>
      </c>
      <c r="C58" s="27">
        <v>1172</v>
      </c>
      <c r="D58" s="27" t="s">
        <v>33</v>
      </c>
      <c r="E58" s="27" t="s">
        <v>34</v>
      </c>
      <c r="F58" s="28">
        <v>51</v>
      </c>
      <c r="G58" s="28" t="s">
        <v>87</v>
      </c>
      <c r="H58" s="28">
        <v>1926</v>
      </c>
      <c r="I58" s="28"/>
      <c r="J58" s="28"/>
      <c r="K58" s="28"/>
      <c r="L58" s="28"/>
      <c r="M58" s="28"/>
      <c r="N58" s="60">
        <v>29.94</v>
      </c>
      <c r="O58" s="61">
        <v>11.67</v>
      </c>
      <c r="P58" s="61">
        <v>4.5</v>
      </c>
      <c r="Q58" s="61">
        <v>7.62</v>
      </c>
      <c r="R58" s="61">
        <v>3.5</v>
      </c>
      <c r="S58" s="61">
        <v>4.76</v>
      </c>
      <c r="T58" s="29">
        <f>N58+O58+P58+Q58+R58+S58</f>
        <v>61.989999999999995</v>
      </c>
      <c r="U58" s="5"/>
      <c r="V58" s="30">
        <f>(((N58/45)*100)*H58)/$H$190</f>
        <v>0.76673687233737009</v>
      </c>
      <c r="W58" s="30">
        <f>(((O58/15)*100)*H58)/$H$190</f>
        <v>0.89657508017806709</v>
      </c>
      <c r="X58" s="43"/>
      <c r="Y58" s="30">
        <f>(T58*H58)/$H$190</f>
        <v>0.71437903882054465</v>
      </c>
    </row>
    <row r="59" spans="1:25" x14ac:dyDescent="0.3">
      <c r="A59" s="5">
        <v>35</v>
      </c>
      <c r="B59" s="5">
        <v>3500</v>
      </c>
      <c r="C59" s="5">
        <v>1173</v>
      </c>
      <c r="D59" s="5" t="s">
        <v>33</v>
      </c>
      <c r="E59" s="5" t="s">
        <v>34</v>
      </c>
      <c r="F59" s="13">
        <v>52</v>
      </c>
      <c r="G59" s="13" t="s">
        <v>88</v>
      </c>
      <c r="H59" s="13">
        <v>165</v>
      </c>
      <c r="I59" s="13"/>
      <c r="J59" s="13"/>
      <c r="K59" s="13"/>
      <c r="L59" s="13"/>
      <c r="M59" s="13"/>
      <c r="N59" s="58">
        <v>21.53</v>
      </c>
      <c r="O59" s="59">
        <v>13.86</v>
      </c>
      <c r="P59" s="59">
        <v>7.15</v>
      </c>
      <c r="Q59" s="59">
        <v>11.1</v>
      </c>
      <c r="R59" s="59">
        <v>3.65</v>
      </c>
      <c r="S59" s="59">
        <v>7.75</v>
      </c>
      <c r="T59" s="14">
        <f>N59+O59+P59+Q59+R59+S59</f>
        <v>65.039999999999992</v>
      </c>
      <c r="V59" s="15">
        <f>(((N59/45)*100)*H59)/$H$190</f>
        <v>4.723525282019371E-2</v>
      </c>
      <c r="W59" s="15">
        <f>(((O59/15)*100)*H59)/$H$190</f>
        <v>9.1223493370350864E-2</v>
      </c>
      <c r="X59" s="49"/>
      <c r="Y59" s="15">
        <f>(T59*H59)/$H$190</f>
        <v>6.4211861567182033E-2</v>
      </c>
    </row>
    <row r="60" spans="1:25" s="44" customFormat="1" x14ac:dyDescent="0.3">
      <c r="A60" s="44">
        <v>35</v>
      </c>
      <c r="B60" s="44">
        <v>3500</v>
      </c>
      <c r="C60" s="44">
        <v>1174</v>
      </c>
      <c r="D60" s="44" t="s">
        <v>33</v>
      </c>
      <c r="E60" s="44" t="s">
        <v>34</v>
      </c>
      <c r="F60" s="45">
        <v>53</v>
      </c>
      <c r="G60" s="45" t="s">
        <v>89</v>
      </c>
      <c r="H60" s="45">
        <v>551</v>
      </c>
      <c r="I60" s="45"/>
      <c r="J60" s="45"/>
      <c r="K60" s="45"/>
      <c r="L60" s="45"/>
      <c r="M60" s="45"/>
      <c r="N60" s="58">
        <v>33.729999999999997</v>
      </c>
      <c r="O60" s="59">
        <v>12.53</v>
      </c>
      <c r="P60" s="59">
        <v>6.25</v>
      </c>
      <c r="Q60" s="59">
        <v>9.3000000000000007</v>
      </c>
      <c r="R60" s="59">
        <v>3.85</v>
      </c>
      <c r="S60" s="59">
        <v>6.4</v>
      </c>
      <c r="T60" s="46">
        <f>N60+O60+P60+Q60+R60+S60</f>
        <v>72.06</v>
      </c>
      <c r="U60" s="5"/>
      <c r="V60" s="47">
        <f>(((N60/45)*100)*H60)/$H$190</f>
        <v>0.24711904116073372</v>
      </c>
      <c r="W60" s="47">
        <f>(((O60/15)*100)*H60)/$H$190</f>
        <v>0.27539889585626987</v>
      </c>
      <c r="X60" s="48"/>
      <c r="Y60" s="15">
        <f>(T60*H60)/$H$190</f>
        <v>0.23757275860418361</v>
      </c>
    </row>
    <row r="61" spans="1:25" s="32" customFormat="1" x14ac:dyDescent="0.3">
      <c r="A61" s="32">
        <v>35</v>
      </c>
      <c r="B61" s="32">
        <v>3500</v>
      </c>
      <c r="C61" s="32">
        <v>1175</v>
      </c>
      <c r="D61" s="32" t="s">
        <v>33</v>
      </c>
      <c r="E61" s="32" t="s">
        <v>34</v>
      </c>
      <c r="F61" s="33">
        <v>54</v>
      </c>
      <c r="G61" s="33" t="s">
        <v>90</v>
      </c>
      <c r="H61" s="33">
        <v>2946</v>
      </c>
      <c r="I61" s="33"/>
      <c r="J61" s="33"/>
      <c r="K61" s="33"/>
      <c r="L61" s="33"/>
      <c r="M61" s="33"/>
      <c r="N61" s="62">
        <v>30.54</v>
      </c>
      <c r="O61" s="62">
        <v>12.09</v>
      </c>
      <c r="P61" s="62">
        <v>4.5</v>
      </c>
      <c r="Q61" s="62">
        <v>6.02</v>
      </c>
      <c r="R61" s="62">
        <v>2.9</v>
      </c>
      <c r="S61" s="62">
        <v>4.76</v>
      </c>
      <c r="T61" s="34">
        <f>N61+O61+P61+Q61+R61+S61</f>
        <v>60.809999999999988</v>
      </c>
      <c r="U61" s="5"/>
      <c r="V61" s="16">
        <f>(((N61/45)*100)*H61)/$H$190</f>
        <v>1.1962998420372408</v>
      </c>
      <c r="W61" s="16">
        <f>(((O61/15)*100)*H61)/$H$190</f>
        <v>1.4207529558182947</v>
      </c>
      <c r="X61" s="50"/>
      <c r="Y61" s="15">
        <f>(T61*H61)/$H$190</f>
        <v>1.0719105117036041</v>
      </c>
    </row>
    <row r="62" spans="1:25" x14ac:dyDescent="0.3">
      <c r="A62" s="5">
        <v>35</v>
      </c>
      <c r="B62" s="5">
        <v>3500</v>
      </c>
      <c r="C62" s="5">
        <v>1176</v>
      </c>
      <c r="D62" s="5" t="s">
        <v>33</v>
      </c>
      <c r="E62" s="5" t="s">
        <v>34</v>
      </c>
      <c r="F62" s="13">
        <v>55</v>
      </c>
      <c r="G62" s="13" t="s">
        <v>91</v>
      </c>
      <c r="H62" s="13">
        <v>69</v>
      </c>
      <c r="I62" s="13"/>
      <c r="J62" s="13"/>
      <c r="K62" s="13"/>
      <c r="L62" s="13"/>
      <c r="M62" s="13"/>
      <c r="N62" s="58">
        <v>24.75</v>
      </c>
      <c r="O62" s="59">
        <v>14.28</v>
      </c>
      <c r="P62" s="59">
        <v>7.1</v>
      </c>
      <c r="Q62" s="59">
        <v>10.75</v>
      </c>
      <c r="R62" s="59">
        <v>4.03</v>
      </c>
      <c r="S62" s="59">
        <v>4.26</v>
      </c>
      <c r="T62" s="14">
        <f>N62+O62+P62+Q62+R62+S62</f>
        <v>65.17</v>
      </c>
      <c r="V62" s="15">
        <f>(((N62/45)*100)*H62)/$H$190</f>
        <v>2.2707146618160933E-2</v>
      </c>
      <c r="W62" s="15">
        <f>(((O62/15)*100)*H62)/$H$190</f>
        <v>3.9304006509980373E-2</v>
      </c>
      <c r="X62" s="49"/>
      <c r="Y62" s="15">
        <f>(T62*H62)/$H$190</f>
        <v>2.690590445646451E-2</v>
      </c>
    </row>
    <row r="63" spans="1:25" x14ac:dyDescent="0.3">
      <c r="A63" s="5">
        <v>35</v>
      </c>
      <c r="B63" s="5">
        <v>3500</v>
      </c>
      <c r="C63" s="5">
        <v>1177</v>
      </c>
      <c r="D63" s="5" t="s">
        <v>33</v>
      </c>
      <c r="E63" s="5" t="s">
        <v>34</v>
      </c>
      <c r="F63" s="13">
        <v>56</v>
      </c>
      <c r="G63" s="13" t="s">
        <v>92</v>
      </c>
      <c r="H63" s="13">
        <v>54</v>
      </c>
      <c r="I63" s="13"/>
      <c r="J63" s="13"/>
      <c r="K63" s="13"/>
      <c r="L63" s="13"/>
      <c r="M63" s="13"/>
      <c r="N63" s="58">
        <v>29.82</v>
      </c>
      <c r="O63" s="59">
        <v>13.51</v>
      </c>
      <c r="P63" s="59">
        <v>6</v>
      </c>
      <c r="Q63" s="59">
        <v>10.5</v>
      </c>
      <c r="R63" s="59">
        <v>3.5</v>
      </c>
      <c r="S63" s="59">
        <v>7</v>
      </c>
      <c r="T63" s="14">
        <f>N63+O63+P63+Q63+R63+S63</f>
        <v>70.33</v>
      </c>
      <c r="V63" s="15">
        <f>(((N63/45)*100)*H63)/$H$190</f>
        <v>2.1411133981140206E-2</v>
      </c>
      <c r="W63" s="15">
        <f>(((O63/15)*100)*H63)/$H$190</f>
        <v>2.9101048298310273E-2</v>
      </c>
      <c r="X63" s="49"/>
      <c r="Y63" s="15">
        <f>(T63*H63)/$H$190</f>
        <v>2.2724019912881144E-2</v>
      </c>
    </row>
    <row r="64" spans="1:25" x14ac:dyDescent="0.3">
      <c r="A64" s="5">
        <v>35</v>
      </c>
      <c r="B64" s="5">
        <v>3500</v>
      </c>
      <c r="C64" s="5">
        <v>1178</v>
      </c>
      <c r="D64" s="5" t="s">
        <v>33</v>
      </c>
      <c r="E64" s="5" t="s">
        <v>34</v>
      </c>
      <c r="F64" s="13">
        <v>57</v>
      </c>
      <c r="G64" s="13" t="s">
        <v>93</v>
      </c>
      <c r="H64" s="13">
        <v>23</v>
      </c>
      <c r="I64" s="13"/>
      <c r="J64" s="13"/>
      <c r="K64" s="13"/>
      <c r="L64" s="13"/>
      <c r="M64" s="13"/>
      <c r="N64" s="58">
        <v>29.66</v>
      </c>
      <c r="O64" s="59">
        <v>13.53</v>
      </c>
      <c r="P64" s="59">
        <v>7</v>
      </c>
      <c r="Q64" s="59">
        <v>10.5</v>
      </c>
      <c r="R64" s="59">
        <v>3.5</v>
      </c>
      <c r="S64" s="59">
        <v>7</v>
      </c>
      <c r="T64" s="14">
        <f>N64+O64+P64+Q64+R64+S64</f>
        <v>71.19</v>
      </c>
      <c r="V64" s="15">
        <f>(((N64/45)*100)*H64)/$H$190</f>
        <v>9.0706258410054308E-3</v>
      </c>
      <c r="W64" s="15">
        <f>(((O64/15)*100)*H64)/$H$190</f>
        <v>1.2413240151261308E-2</v>
      </c>
      <c r="X64" s="49"/>
      <c r="Y64" s="15">
        <f>(T64*H64)/$H$190</f>
        <v>9.7971016227083423E-3</v>
      </c>
    </row>
    <row r="65" spans="1:25" x14ac:dyDescent="0.3">
      <c r="A65" s="5">
        <v>35</v>
      </c>
      <c r="B65" s="5">
        <v>3500</v>
      </c>
      <c r="C65" s="5">
        <v>1179</v>
      </c>
      <c r="D65" s="5" t="s">
        <v>33</v>
      </c>
      <c r="E65" s="5" t="s">
        <v>34</v>
      </c>
      <c r="F65" s="13">
        <v>58</v>
      </c>
      <c r="G65" s="13" t="s">
        <v>94</v>
      </c>
      <c r="H65" s="13">
        <v>42</v>
      </c>
      <c r="I65" s="13"/>
      <c r="J65" s="13"/>
      <c r="K65" s="13"/>
      <c r="L65" s="13"/>
      <c r="M65" s="13"/>
      <c r="N65" s="58">
        <v>28.87</v>
      </c>
      <c r="O65" s="59">
        <v>13.15</v>
      </c>
      <c r="P65" s="59">
        <v>7</v>
      </c>
      <c r="Q65" s="59">
        <v>10.5</v>
      </c>
      <c r="R65" s="59">
        <v>3.5</v>
      </c>
      <c r="S65" s="59">
        <v>7</v>
      </c>
      <c r="T65" s="14">
        <f>N65+O65+P65+Q65+R65+S65</f>
        <v>70.02000000000001</v>
      </c>
      <c r="V65" s="15">
        <f>(((N65/45)*100)*H65)/$H$190</f>
        <v>1.6122572718714596E-2</v>
      </c>
      <c r="W65" s="15">
        <f>(((O65/15)*100)*H65)/$H$190</f>
        <v>2.2031018141783543E-2</v>
      </c>
      <c r="X65" s="49"/>
      <c r="Y65" s="15">
        <f>(T65*H65)/$H$190</f>
        <v>1.7596333349289173E-2</v>
      </c>
    </row>
    <row r="66" spans="1:25" x14ac:dyDescent="0.3">
      <c r="A66" s="5">
        <v>35</v>
      </c>
      <c r="B66" s="5">
        <v>3500</v>
      </c>
      <c r="C66" s="5">
        <v>1180</v>
      </c>
      <c r="D66" s="5" t="s">
        <v>33</v>
      </c>
      <c r="E66" s="5" t="s">
        <v>34</v>
      </c>
      <c r="F66" s="13">
        <v>59</v>
      </c>
      <c r="G66" s="13" t="s">
        <v>95</v>
      </c>
      <c r="H66" s="13">
        <v>51</v>
      </c>
      <c r="I66" s="13"/>
      <c r="J66" s="13"/>
      <c r="K66" s="13"/>
      <c r="L66" s="13"/>
      <c r="M66" s="13"/>
      <c r="N66" s="57">
        <v>13.8</v>
      </c>
      <c r="O66" s="57">
        <v>13.22</v>
      </c>
      <c r="P66" s="57">
        <v>7</v>
      </c>
      <c r="Q66" s="57">
        <v>10.5</v>
      </c>
      <c r="R66" s="57">
        <v>3.5</v>
      </c>
      <c r="S66" s="57">
        <v>7</v>
      </c>
      <c r="T66" s="14">
        <f>N66+O66+P66+Q66+R66+S66</f>
        <v>55.02</v>
      </c>
      <c r="V66" s="15">
        <f>(((N66/45)*100)*H66)/$H$190</f>
        <v>9.3580967880905665E-3</v>
      </c>
      <c r="W66" s="15">
        <f>(((O66/15)*100)*H66)/$H$190</f>
        <v>2.6894356421425496E-2</v>
      </c>
      <c r="X66" s="49"/>
      <c r="Y66" s="15">
        <f>(T66*H66)/$H$190</f>
        <v>1.6789646259154661E-2</v>
      </c>
    </row>
    <row r="67" spans="1:25" x14ac:dyDescent="0.3">
      <c r="A67" s="5">
        <v>35</v>
      </c>
      <c r="B67" s="5">
        <v>3500</v>
      </c>
      <c r="C67" s="5">
        <v>1181</v>
      </c>
      <c r="D67" s="5" t="s">
        <v>33</v>
      </c>
      <c r="E67" s="5" t="s">
        <v>34</v>
      </c>
      <c r="F67" s="13">
        <v>60</v>
      </c>
      <c r="G67" s="13" t="s">
        <v>96</v>
      </c>
      <c r="H67" s="13">
        <v>82</v>
      </c>
      <c r="I67" s="13"/>
      <c r="J67" s="13"/>
      <c r="K67" s="13"/>
      <c r="L67" s="13"/>
      <c r="M67" s="13"/>
      <c r="N67" s="57">
        <v>27.48</v>
      </c>
      <c r="O67" s="57">
        <v>13.52</v>
      </c>
      <c r="P67" s="57">
        <v>7</v>
      </c>
      <c r="Q67" s="57">
        <v>10.5</v>
      </c>
      <c r="R67" s="57">
        <v>3.5</v>
      </c>
      <c r="S67" s="57">
        <v>7</v>
      </c>
      <c r="T67" s="14">
        <f>N67+O67+P67+Q67+R67+S67</f>
        <v>69</v>
      </c>
      <c r="V67" s="15">
        <f>(((N67/45)*100)*H67)/$H$190</f>
        <v>2.9961865556140607E-2</v>
      </c>
      <c r="W67" s="15">
        <f>(((O67/15)*100)*H67)/$H$190</f>
        <v>4.42231902095001E-2</v>
      </c>
      <c r="X67" s="49"/>
      <c r="Y67" s="15">
        <f>(T67*H67)/$H$190</f>
        <v>3.3854291321621752E-2</v>
      </c>
    </row>
    <row r="68" spans="1:25" x14ac:dyDescent="0.3">
      <c r="A68" s="5">
        <v>35</v>
      </c>
      <c r="B68" s="5">
        <v>3500</v>
      </c>
      <c r="C68" s="5">
        <v>1182</v>
      </c>
      <c r="D68" s="5" t="s">
        <v>33</v>
      </c>
      <c r="E68" s="5" t="s">
        <v>34</v>
      </c>
      <c r="F68" s="13">
        <v>61</v>
      </c>
      <c r="G68" s="13" t="s">
        <v>97</v>
      </c>
      <c r="H68" s="13">
        <v>62</v>
      </c>
      <c r="I68" s="13"/>
      <c r="J68" s="13"/>
      <c r="K68" s="13"/>
      <c r="L68" s="13"/>
      <c r="M68" s="13"/>
      <c r="N68" s="57">
        <v>24.65</v>
      </c>
      <c r="O68" s="57">
        <v>13.57</v>
      </c>
      <c r="P68" s="57">
        <v>7</v>
      </c>
      <c r="Q68" s="57">
        <v>10.5</v>
      </c>
      <c r="R68" s="57">
        <v>3.5</v>
      </c>
      <c r="S68" s="57">
        <v>7</v>
      </c>
      <c r="T68" s="14">
        <f>N68+O68+P68+Q68+R68+S68</f>
        <v>66.22</v>
      </c>
      <c r="V68" s="15">
        <f>(((N68/45)*100)*H68)/$H$190</f>
        <v>2.0321084571240138E-2</v>
      </c>
      <c r="W68" s="15">
        <f>(((O68/15)*100)*H68)/$H$190</f>
        <v>3.3560703971407146E-2</v>
      </c>
      <c r="X68" s="49"/>
      <c r="Y68" s="15">
        <f>(T68*H68)/$H$190</f>
        <v>2.4565841750035903E-2</v>
      </c>
    </row>
    <row r="69" spans="1:25" x14ac:dyDescent="0.3">
      <c r="A69" s="5">
        <v>35</v>
      </c>
      <c r="B69" s="5">
        <v>3500</v>
      </c>
      <c r="C69" s="5">
        <v>1183</v>
      </c>
      <c r="D69" s="5" t="s">
        <v>33</v>
      </c>
      <c r="E69" s="5" t="s">
        <v>34</v>
      </c>
      <c r="F69" s="13">
        <v>62</v>
      </c>
      <c r="G69" s="13" t="s">
        <v>98</v>
      </c>
      <c r="H69" s="13">
        <v>56</v>
      </c>
      <c r="I69" s="13"/>
      <c r="J69" s="13"/>
      <c r="K69" s="13"/>
      <c r="L69" s="13"/>
      <c r="M69" s="13"/>
      <c r="N69" s="57">
        <v>26.65</v>
      </c>
      <c r="O69" s="57">
        <v>13.17</v>
      </c>
      <c r="P69" s="57">
        <v>7</v>
      </c>
      <c r="Q69" s="57">
        <v>10.5</v>
      </c>
      <c r="R69" s="57">
        <v>3.5</v>
      </c>
      <c r="S69" s="57">
        <v>7</v>
      </c>
      <c r="T69" s="14">
        <f>N69+O69+P69+Q69+R69+S69</f>
        <v>67.819999999999993</v>
      </c>
      <c r="V69" s="15">
        <f>(((N69/45)*100)*H69)/$H$190</f>
        <v>1.9843739196570558E-2</v>
      </c>
      <c r="W69" s="15">
        <f>(((O69/15)*100)*H69)/$H$190</f>
        <v>2.9419367191613616E-2</v>
      </c>
      <c r="X69" s="49"/>
      <c r="Y69" s="15">
        <f>(T69*H69)/$H$190</f>
        <v>2.2724618256665548E-2</v>
      </c>
    </row>
    <row r="70" spans="1:25" x14ac:dyDescent="0.3">
      <c r="A70" s="5">
        <v>35</v>
      </c>
      <c r="B70" s="5">
        <v>3500</v>
      </c>
      <c r="C70" s="5">
        <v>1184</v>
      </c>
      <c r="D70" s="5" t="s">
        <v>33</v>
      </c>
      <c r="E70" s="5" t="s">
        <v>34</v>
      </c>
      <c r="F70" s="13">
        <v>63</v>
      </c>
      <c r="G70" s="13" t="s">
        <v>99</v>
      </c>
      <c r="H70" s="13">
        <v>38</v>
      </c>
      <c r="I70" s="13"/>
      <c r="J70" s="13"/>
      <c r="K70" s="13"/>
      <c r="L70" s="13"/>
      <c r="M70" s="13"/>
      <c r="N70" s="57">
        <v>17.25</v>
      </c>
      <c r="O70" s="57">
        <v>13.58</v>
      </c>
      <c r="P70" s="57">
        <v>7</v>
      </c>
      <c r="Q70" s="57">
        <v>10.5</v>
      </c>
      <c r="R70" s="57">
        <v>3.5</v>
      </c>
      <c r="S70" s="57">
        <v>7</v>
      </c>
      <c r="T70" s="14">
        <f>N70+O70+P70+Q70+R70+S70</f>
        <v>58.83</v>
      </c>
      <c r="V70" s="15">
        <f>(((N70/45)*100)*H70)/$H$190</f>
        <v>8.715874459496115E-3</v>
      </c>
      <c r="W70" s="15">
        <f>(((O70/15)*100)*H70)/$H$190</f>
        <v>2.0584621766949085E-2</v>
      </c>
      <c r="X70" s="49"/>
      <c r="Y70" s="15">
        <f>(T70*H70)/$H$190</f>
        <v>1.3376214637882342E-2</v>
      </c>
    </row>
    <row r="71" spans="1:25" x14ac:dyDescent="0.3">
      <c r="A71" s="5">
        <v>35</v>
      </c>
      <c r="B71" s="5">
        <v>3500</v>
      </c>
      <c r="C71" s="5">
        <v>1185</v>
      </c>
      <c r="D71" s="5" t="s">
        <v>33</v>
      </c>
      <c r="E71" s="5" t="s">
        <v>34</v>
      </c>
      <c r="F71" s="13">
        <v>64</v>
      </c>
      <c r="G71" s="13" t="s">
        <v>100</v>
      </c>
      <c r="H71" s="13">
        <v>45</v>
      </c>
      <c r="I71" s="13"/>
      <c r="J71" s="13"/>
      <c r="K71" s="13"/>
      <c r="L71" s="13"/>
      <c r="M71" s="13"/>
      <c r="N71" s="57">
        <v>5.3</v>
      </c>
      <c r="O71" s="57">
        <v>11.51</v>
      </c>
      <c r="P71" s="57">
        <v>7</v>
      </c>
      <c r="Q71" s="57">
        <v>10.5</v>
      </c>
      <c r="R71" s="57">
        <v>3.5</v>
      </c>
      <c r="S71" s="57">
        <v>7</v>
      </c>
      <c r="T71" s="14">
        <f>N71+O71+P71+Q71+R71+S71</f>
        <v>44.81</v>
      </c>
      <c r="V71" s="15">
        <f>(((N71/45)*100)*H71)/$H$190</f>
        <v>3.1712220573452683E-3</v>
      </c>
      <c r="W71" s="15">
        <f>(((O71/15)*100)*H71)/$H$190</f>
        <v>2.0660810875496625E-2</v>
      </c>
      <c r="X71" s="49"/>
      <c r="Y71" s="15">
        <f>(T71*H71)/$H$190</f>
        <v>1.2065303240629937E-2</v>
      </c>
    </row>
    <row r="72" spans="1:25" x14ac:dyDescent="0.3">
      <c r="A72" s="5">
        <v>35</v>
      </c>
      <c r="B72" s="5">
        <v>3500</v>
      </c>
      <c r="C72" s="5">
        <v>1186</v>
      </c>
      <c r="D72" s="5" t="s">
        <v>33</v>
      </c>
      <c r="E72" s="5" t="s">
        <v>34</v>
      </c>
      <c r="F72" s="13">
        <v>65</v>
      </c>
      <c r="G72" s="13" t="s">
        <v>101</v>
      </c>
      <c r="H72" s="13">
        <v>461</v>
      </c>
      <c r="I72" s="13"/>
      <c r="J72" s="13"/>
      <c r="K72" s="13"/>
      <c r="L72" s="13"/>
      <c r="M72" s="13"/>
      <c r="N72" s="57">
        <v>22.88</v>
      </c>
      <c r="O72" s="57">
        <v>9.35</v>
      </c>
      <c r="P72" s="57">
        <v>7.46</v>
      </c>
      <c r="Q72" s="57">
        <v>11.28</v>
      </c>
      <c r="R72" s="57">
        <v>3.48</v>
      </c>
      <c r="S72" s="57">
        <v>7</v>
      </c>
      <c r="T72" s="14">
        <f>N72+O72+P72+Q72+R72+S72</f>
        <v>61.449999999999996</v>
      </c>
      <c r="V72" s="15">
        <f>(((N72/45)*100)*H72)/$H$190</f>
        <v>0.140247528175344</v>
      </c>
      <c r="W72" s="15">
        <f>(((O72/15)*100)*H72)/$H$190</f>
        <v>0.17193807540727266</v>
      </c>
      <c r="X72" s="49"/>
      <c r="Y72" s="15">
        <f>(T72*H72)/$H$190</f>
        <v>0.16950151979321237</v>
      </c>
    </row>
    <row r="73" spans="1:25" x14ac:dyDescent="0.3">
      <c r="A73" s="5">
        <v>35</v>
      </c>
      <c r="B73" s="5">
        <v>3500</v>
      </c>
      <c r="C73" s="5">
        <v>1187</v>
      </c>
      <c r="D73" s="5" t="s">
        <v>33</v>
      </c>
      <c r="E73" s="5" t="s">
        <v>34</v>
      </c>
      <c r="F73" s="13">
        <v>66</v>
      </c>
      <c r="G73" s="13" t="s">
        <v>102</v>
      </c>
      <c r="H73" s="13">
        <v>369</v>
      </c>
      <c r="I73" s="13"/>
      <c r="J73" s="13"/>
      <c r="K73" s="13"/>
      <c r="L73" s="13"/>
      <c r="M73" s="13"/>
      <c r="N73" s="62">
        <v>30.28</v>
      </c>
      <c r="O73" s="62">
        <v>12.7</v>
      </c>
      <c r="P73" s="62">
        <v>5.8</v>
      </c>
      <c r="Q73" s="62">
        <v>10.15</v>
      </c>
      <c r="R73" s="62">
        <v>3.18</v>
      </c>
      <c r="S73" s="62">
        <v>3.96</v>
      </c>
      <c r="T73" s="14">
        <f>N73+O73+P73+Q73+R73+S73</f>
        <v>66.069999999999993</v>
      </c>
      <c r="V73" s="15">
        <f>(((N73/45)*100)*H73)/$H$190</f>
        <v>0.1485663682925662</v>
      </c>
      <c r="W73" s="15">
        <f>(((O73/15)*100)*H73)/$H$190</f>
        <v>0.18693456512373746</v>
      </c>
      <c r="X73" s="49"/>
      <c r="Y73" s="15">
        <f>(T73*H73)/$H$190</f>
        <v>0.14587519745344885</v>
      </c>
    </row>
    <row r="74" spans="1:25" x14ac:dyDescent="0.3">
      <c r="A74" s="5">
        <v>35</v>
      </c>
      <c r="B74" s="5">
        <v>3500</v>
      </c>
      <c r="C74" s="5">
        <v>1188</v>
      </c>
      <c r="D74" s="5" t="s">
        <v>33</v>
      </c>
      <c r="E74" s="5" t="s">
        <v>34</v>
      </c>
      <c r="F74" s="13">
        <v>67</v>
      </c>
      <c r="G74" s="13" t="s">
        <v>103</v>
      </c>
      <c r="H74" s="13">
        <v>281</v>
      </c>
      <c r="I74" s="13"/>
      <c r="J74" s="13"/>
      <c r="K74" s="13"/>
      <c r="L74" s="13"/>
      <c r="M74" s="13"/>
      <c r="N74" s="62">
        <v>16.149999999999999</v>
      </c>
      <c r="O74" s="62">
        <v>7.5</v>
      </c>
      <c r="P74" s="62">
        <v>7.52</v>
      </c>
      <c r="Q74" s="62">
        <v>10.029999999999999</v>
      </c>
      <c r="R74" s="62">
        <v>3.45</v>
      </c>
      <c r="S74" s="62">
        <v>6.6</v>
      </c>
      <c r="T74" s="14">
        <f>N74+O74+P74+Q74+R74+S74</f>
        <v>51.25</v>
      </c>
      <c r="V74" s="15">
        <f>(((N74/45)*100)*H74)/$H$190</f>
        <v>6.0341641004366578E-2</v>
      </c>
      <c r="W74" s="15">
        <f>(((O74/15)*100)*H74)/$H$190</f>
        <v>8.4067301708869849E-2</v>
      </c>
      <c r="X74" s="49"/>
      <c r="Y74" s="15">
        <f>(T74*H74)/$H$190</f>
        <v>8.6168984251591599E-2</v>
      </c>
    </row>
    <row r="75" spans="1:25" s="44" customFormat="1" x14ac:dyDescent="0.3">
      <c r="A75" s="44">
        <v>35</v>
      </c>
      <c r="B75" s="44">
        <v>3500</v>
      </c>
      <c r="C75" s="44">
        <v>1189</v>
      </c>
      <c r="D75" s="44" t="s">
        <v>33</v>
      </c>
      <c r="E75" s="44" t="s">
        <v>34</v>
      </c>
      <c r="F75" s="45">
        <v>68</v>
      </c>
      <c r="G75" s="45" t="s">
        <v>104</v>
      </c>
      <c r="H75" s="45">
        <v>332</v>
      </c>
      <c r="I75" s="45"/>
      <c r="J75" s="45"/>
      <c r="K75" s="45"/>
      <c r="L75" s="45"/>
      <c r="M75" s="45"/>
      <c r="N75" s="62">
        <v>29.52</v>
      </c>
      <c r="O75" s="62">
        <v>14.49</v>
      </c>
      <c r="P75" s="62">
        <v>7.64</v>
      </c>
      <c r="Q75" s="62">
        <v>11.66</v>
      </c>
      <c r="R75" s="62">
        <v>3.88</v>
      </c>
      <c r="S75" s="62">
        <v>7.69</v>
      </c>
      <c r="T75" s="46">
        <f>N75+O75+P75+Q75+R75+S75</f>
        <v>74.88</v>
      </c>
      <c r="U75" s="5"/>
      <c r="V75" s="47">
        <f>(((N75/45)*100)*H75)/$H$190</f>
        <v>0.13031448949308316</v>
      </c>
      <c r="W75" s="47">
        <f>(((O75/15)*100)*H75)/$H$190</f>
        <v>0.19189603178402181</v>
      </c>
      <c r="X75" s="48"/>
      <c r="Y75" s="15">
        <f>(T75*H75)/$H$190</f>
        <v>0.14874922215308028</v>
      </c>
    </row>
    <row r="76" spans="1:25" x14ac:dyDescent="0.3">
      <c r="A76" s="5">
        <v>35</v>
      </c>
      <c r="B76" s="5">
        <v>3500</v>
      </c>
      <c r="C76" s="5">
        <v>1190</v>
      </c>
      <c r="D76" s="5" t="s">
        <v>33</v>
      </c>
      <c r="E76" s="5" t="s">
        <v>34</v>
      </c>
      <c r="F76" s="13">
        <v>69</v>
      </c>
      <c r="G76" s="13" t="s">
        <v>105</v>
      </c>
      <c r="H76" s="13">
        <v>108</v>
      </c>
      <c r="I76" s="13"/>
      <c r="J76" s="13"/>
      <c r="K76" s="13"/>
      <c r="L76" s="13"/>
      <c r="M76" s="13"/>
      <c r="N76" s="62">
        <v>28.53</v>
      </c>
      <c r="O76" s="62">
        <v>10.52</v>
      </c>
      <c r="P76" s="62">
        <v>7.37</v>
      </c>
      <c r="Q76" s="62">
        <v>11.15</v>
      </c>
      <c r="R76" s="62">
        <v>3.8</v>
      </c>
      <c r="S76" s="62">
        <v>7</v>
      </c>
      <c r="T76" s="14">
        <f>N76+O76+P76+Q76+R76+S76</f>
        <v>68.36999999999999</v>
      </c>
      <c r="V76" s="15">
        <f>(((N76/45)*100)*H76)/$H$190</f>
        <v>4.0969795605763248E-2</v>
      </c>
      <c r="W76" s="15">
        <f>(((O76/15)*100)*H76)/$H$190</f>
        <v>4.5320951605954715E-2</v>
      </c>
      <c r="X76" s="49"/>
      <c r="Y76" s="15">
        <f>(T76*H76)/$H$190</f>
        <v>4.4181465702934269E-2</v>
      </c>
    </row>
    <row r="77" spans="1:25" x14ac:dyDescent="0.3">
      <c r="A77" s="5">
        <v>35</v>
      </c>
      <c r="B77" s="5">
        <v>3500</v>
      </c>
      <c r="C77" s="5">
        <v>1191</v>
      </c>
      <c r="D77" s="5" t="s">
        <v>33</v>
      </c>
      <c r="E77" s="5" t="s">
        <v>34</v>
      </c>
      <c r="F77" s="13">
        <v>70</v>
      </c>
      <c r="G77" s="13" t="s">
        <v>106</v>
      </c>
      <c r="H77" s="13">
        <v>98</v>
      </c>
      <c r="I77" s="13"/>
      <c r="J77" s="13"/>
      <c r="K77" s="13"/>
      <c r="L77" s="13"/>
      <c r="M77" s="13"/>
      <c r="N77" s="62">
        <v>24.05</v>
      </c>
      <c r="O77" s="62">
        <v>13.96</v>
      </c>
      <c r="P77" s="62">
        <v>7.62</v>
      </c>
      <c r="Q77" s="62">
        <v>11.06</v>
      </c>
      <c r="R77" s="62">
        <v>3.8</v>
      </c>
      <c r="S77" s="62">
        <v>7</v>
      </c>
      <c r="T77" s="14">
        <f>N77+O77+P77+Q77+R77+S77</f>
        <v>67.490000000000009</v>
      </c>
      <c r="V77" s="15">
        <f>(((N77/45)*100)*H77)/$H$190</f>
        <v>3.1338588121413262E-2</v>
      </c>
      <c r="W77" s="15">
        <f>(((O77/15)*100)*H77)/$H$190</f>
        <v>5.4572144304564973E-2</v>
      </c>
      <c r="X77" s="49"/>
      <c r="Y77" s="15">
        <f>(T77*H77)/$H$190</f>
        <v>3.9574577569288213E-2</v>
      </c>
    </row>
    <row r="78" spans="1:25" x14ac:dyDescent="0.3">
      <c r="A78" s="5">
        <v>35</v>
      </c>
      <c r="B78" s="5">
        <v>3500</v>
      </c>
      <c r="C78" s="5">
        <v>1192</v>
      </c>
      <c r="D78" s="5" t="s">
        <v>33</v>
      </c>
      <c r="E78" s="5" t="s">
        <v>34</v>
      </c>
      <c r="F78" s="13">
        <v>71</v>
      </c>
      <c r="G78" s="13" t="s">
        <v>107</v>
      </c>
      <c r="H78" s="13">
        <v>245</v>
      </c>
      <c r="I78" s="13"/>
      <c r="J78" s="13"/>
      <c r="K78" s="13"/>
      <c r="L78" s="13"/>
      <c r="M78" s="13"/>
      <c r="N78" s="62">
        <v>23.13</v>
      </c>
      <c r="O78" s="62">
        <v>14.04</v>
      </c>
      <c r="P78" s="62">
        <v>7.44</v>
      </c>
      <c r="Q78" s="62">
        <v>11.1</v>
      </c>
      <c r="R78" s="62">
        <v>3.88</v>
      </c>
      <c r="S78" s="62">
        <v>7</v>
      </c>
      <c r="T78" s="14">
        <f>N78+O78+P78+Q78+R78+S78</f>
        <v>66.59</v>
      </c>
      <c r="V78" s="15">
        <f>(((N78/45)*100)*H78)/$H$190</f>
        <v>7.5349432770092387E-2</v>
      </c>
      <c r="W78" s="15">
        <f>(((O78/15)*100)*H78)/$H$190</f>
        <v>0.1372121966397013</v>
      </c>
      <c r="X78" s="49"/>
      <c r="Y78" s="15">
        <f>(T78*H78)/$H$190</f>
        <v>9.7617095878608021E-2</v>
      </c>
    </row>
    <row r="79" spans="1:25" x14ac:dyDescent="0.3">
      <c r="A79" s="5">
        <v>35</v>
      </c>
      <c r="B79" s="5">
        <v>3500</v>
      </c>
      <c r="C79" s="5">
        <v>1193</v>
      </c>
      <c r="D79" s="5" t="s">
        <v>33</v>
      </c>
      <c r="E79" s="5" t="s">
        <v>34</v>
      </c>
      <c r="F79" s="13">
        <v>72</v>
      </c>
      <c r="G79" s="13" t="s">
        <v>108</v>
      </c>
      <c r="H79" s="13">
        <v>113</v>
      </c>
      <c r="I79" s="13"/>
      <c r="J79" s="13"/>
      <c r="K79" s="13"/>
      <c r="L79" s="13"/>
      <c r="M79" s="13"/>
      <c r="N79" s="62">
        <v>13.38</v>
      </c>
      <c r="O79" s="62">
        <v>14.63</v>
      </c>
      <c r="P79" s="62">
        <v>7.77</v>
      </c>
      <c r="Q79" s="62">
        <v>10.76</v>
      </c>
      <c r="R79" s="62">
        <v>3.73</v>
      </c>
      <c r="S79" s="62">
        <v>7</v>
      </c>
      <c r="T79" s="14">
        <f>N79+O79+P79+Q79+R79+S79</f>
        <v>57.269999999999996</v>
      </c>
      <c r="V79" s="15">
        <f>(((N79/45)*100)*H79)/$H$190</f>
        <v>2.0103553364287652E-2</v>
      </c>
      <c r="W79" s="15">
        <f>(((O79/15)*100)*H79)/$H$190</f>
        <v>6.5945064062674516E-2</v>
      </c>
      <c r="X79" s="49"/>
      <c r="Y79" s="15">
        <f>(T79*H79)/$H$190</f>
        <v>3.8721877842132969E-2</v>
      </c>
    </row>
    <row r="80" spans="1:25" x14ac:dyDescent="0.3">
      <c r="A80" s="5">
        <v>35</v>
      </c>
      <c r="B80" s="5">
        <v>3500</v>
      </c>
      <c r="C80" s="5">
        <v>1194</v>
      </c>
      <c r="D80" s="5" t="s">
        <v>33</v>
      </c>
      <c r="E80" s="5" t="s">
        <v>34</v>
      </c>
      <c r="F80" s="13">
        <v>73</v>
      </c>
      <c r="G80" s="13" t="s">
        <v>109</v>
      </c>
      <c r="H80" s="13">
        <v>69</v>
      </c>
      <c r="I80" s="13"/>
      <c r="J80" s="13"/>
      <c r="K80" s="13"/>
      <c r="L80" s="13"/>
      <c r="M80" s="13"/>
      <c r="N80" s="62">
        <v>23.57</v>
      </c>
      <c r="O80" s="62">
        <v>13.47</v>
      </c>
      <c r="P80" s="62">
        <v>7.59</v>
      </c>
      <c r="Q80" s="62">
        <v>11.34</v>
      </c>
      <c r="R80" s="62">
        <v>3.8</v>
      </c>
      <c r="S80" s="62">
        <v>7.45</v>
      </c>
      <c r="T80" s="14">
        <f>N80+O80+P80+Q80+R80+S80</f>
        <v>67.22</v>
      </c>
      <c r="V80" s="15">
        <f>(((N80/45)*100)*H80)/$H$190</f>
        <v>2.162454326424457E-2</v>
      </c>
      <c r="W80" s="15">
        <f>(((O80/15)*100)*H80)/$H$190</f>
        <v>3.7074577569288211E-2</v>
      </c>
      <c r="X80" s="49"/>
      <c r="Y80" s="15">
        <f>(T80*H80)/$H$190</f>
        <v>2.7752261739505051E-2</v>
      </c>
    </row>
    <row r="81" spans="1:25" x14ac:dyDescent="0.3">
      <c r="A81" s="5">
        <v>35</v>
      </c>
      <c r="B81" s="5">
        <v>3500</v>
      </c>
      <c r="C81" s="5">
        <v>1195</v>
      </c>
      <c r="D81" s="5" t="s">
        <v>33</v>
      </c>
      <c r="E81" s="5" t="s">
        <v>34</v>
      </c>
      <c r="F81" s="13">
        <v>74</v>
      </c>
      <c r="G81" s="13" t="s">
        <v>110</v>
      </c>
      <c r="H81" s="13">
        <v>38</v>
      </c>
      <c r="I81" s="13"/>
      <c r="J81" s="13"/>
      <c r="K81" s="13"/>
      <c r="L81" s="13"/>
      <c r="M81" s="13"/>
      <c r="N81" s="62">
        <v>24.48</v>
      </c>
      <c r="O81" s="62">
        <v>13.36</v>
      </c>
      <c r="P81" s="62">
        <v>7.54</v>
      </c>
      <c r="Q81" s="62">
        <v>11.4</v>
      </c>
      <c r="R81" s="62">
        <v>3.88</v>
      </c>
      <c r="S81" s="62">
        <v>7.6</v>
      </c>
      <c r="T81" s="14">
        <f>N81+O81+P81+Q81+R81+S81</f>
        <v>68.260000000000005</v>
      </c>
      <c r="V81" s="15">
        <f>(((N81/45)*100)*H81)/$H$190</f>
        <v>1.2368962711215358E-2</v>
      </c>
      <c r="W81" s="15">
        <f>(((O81/15)*100)*H81)/$H$190</f>
        <v>2.0251144831107494E-2</v>
      </c>
      <c r="X81" s="49"/>
      <c r="Y81" s="15">
        <f>(T81*H81)/$H$190</f>
        <v>1.5520319754918386E-2</v>
      </c>
    </row>
    <row r="82" spans="1:25" x14ac:dyDescent="0.3">
      <c r="A82" s="5">
        <v>35</v>
      </c>
      <c r="B82" s="5">
        <v>3500</v>
      </c>
      <c r="C82" s="5">
        <v>1196</v>
      </c>
      <c r="D82" s="5" t="s">
        <v>33</v>
      </c>
      <c r="E82" s="5" t="s">
        <v>34</v>
      </c>
      <c r="F82" s="13">
        <v>75</v>
      </c>
      <c r="G82" s="13" t="s">
        <v>111</v>
      </c>
      <c r="H82" s="13">
        <v>445</v>
      </c>
      <c r="I82" s="13"/>
      <c r="J82" s="13"/>
      <c r="K82" s="13"/>
      <c r="L82" s="13"/>
      <c r="M82" s="13"/>
      <c r="N82" s="62">
        <v>25.55</v>
      </c>
      <c r="O82" s="62">
        <v>13.22</v>
      </c>
      <c r="P82" s="62">
        <v>7.81</v>
      </c>
      <c r="Q82" s="62">
        <v>11.64</v>
      </c>
      <c r="R82" s="62">
        <v>3.8</v>
      </c>
      <c r="S82" s="62">
        <v>7.3</v>
      </c>
      <c r="T82" s="14">
        <f>N82+O82+P82+Q82+R82+S82</f>
        <v>69.320000000000007</v>
      </c>
      <c r="V82" s="15">
        <f>(((N82/45)*100)*H82)/$H$190</f>
        <v>0.15117820539413571</v>
      </c>
      <c r="W82" s="15">
        <f>(((O82/15)*100)*H82)/$H$190</f>
        <v>0.23466644328498718</v>
      </c>
      <c r="X82" s="49"/>
      <c r="Y82" s="15">
        <f>(T82*H82)/$H$190</f>
        <v>0.1845735005504763</v>
      </c>
    </row>
    <row r="83" spans="1:25" x14ac:dyDescent="0.3">
      <c r="A83" s="5">
        <v>35</v>
      </c>
      <c r="B83" s="5">
        <v>3500</v>
      </c>
      <c r="C83" s="5">
        <v>1197</v>
      </c>
      <c r="D83" s="5" t="s">
        <v>33</v>
      </c>
      <c r="E83" s="5" t="s">
        <v>34</v>
      </c>
      <c r="F83" s="13">
        <v>76</v>
      </c>
      <c r="G83" s="13" t="s">
        <v>112</v>
      </c>
      <c r="H83" s="13">
        <v>62</v>
      </c>
      <c r="I83" s="13"/>
      <c r="J83" s="13"/>
      <c r="K83" s="13"/>
      <c r="L83" s="13"/>
      <c r="M83" s="13"/>
      <c r="N83" s="63">
        <v>21.06</v>
      </c>
      <c r="O83" s="63">
        <v>12.8</v>
      </c>
      <c r="P83" s="63">
        <v>7.65</v>
      </c>
      <c r="Q83" s="63">
        <v>11.4</v>
      </c>
      <c r="R83" s="63">
        <v>3.88</v>
      </c>
      <c r="S83" s="63">
        <v>7.68</v>
      </c>
      <c r="T83" s="14">
        <f>N83+O83+P83+Q83+R83+S83</f>
        <v>64.47</v>
      </c>
      <c r="V83" s="15">
        <f>(((N83/45)*100)*H83)/$H$190</f>
        <v>1.7361543248288737E-2</v>
      </c>
      <c r="W83" s="15">
        <f>(((O83/15)*100)*H83)/$H$190</f>
        <v>3.1656375153574903E-2</v>
      </c>
      <c r="X83" s="49"/>
      <c r="Y83" s="15">
        <f>(T83*H83)/$H$190</f>
        <v>2.3916638743956727E-2</v>
      </c>
    </row>
    <row r="84" spans="1:25" x14ac:dyDescent="0.3">
      <c r="A84" s="5">
        <v>35</v>
      </c>
      <c r="B84" s="5">
        <v>3500</v>
      </c>
      <c r="C84" s="5">
        <v>1198</v>
      </c>
      <c r="D84" s="5" t="s">
        <v>33</v>
      </c>
      <c r="E84" s="5" t="s">
        <v>34</v>
      </c>
      <c r="F84" s="13">
        <v>77</v>
      </c>
      <c r="G84" s="13" t="s">
        <v>113</v>
      </c>
      <c r="H84" s="13">
        <v>288</v>
      </c>
      <c r="I84" s="13"/>
      <c r="J84" s="13"/>
      <c r="K84" s="13"/>
      <c r="L84" s="13"/>
      <c r="M84" s="13"/>
      <c r="N84" s="63">
        <v>21.67</v>
      </c>
      <c r="O84" s="63">
        <v>11.75</v>
      </c>
      <c r="P84" s="63">
        <v>7.71</v>
      </c>
      <c r="Q84" s="63">
        <v>11.64</v>
      </c>
      <c r="R84" s="63">
        <v>3.95</v>
      </c>
      <c r="S84" s="63">
        <v>7.3</v>
      </c>
      <c r="T84" s="14">
        <f>N84+O84+P84+Q84+R84+S84</f>
        <v>64.02000000000001</v>
      </c>
      <c r="V84" s="15">
        <f>(((N84/45)*100)*H84)/$H$190</f>
        <v>8.2983102771528414E-2</v>
      </c>
      <c r="W84" s="15">
        <f>(((O84/15)*100)*H84)/$H$190</f>
        <v>0.13498635776171558</v>
      </c>
      <c r="X84" s="49"/>
      <c r="Y84" s="15">
        <f>(T84*H84)/$H$190</f>
        <v>0.1103211909434685</v>
      </c>
    </row>
    <row r="85" spans="1:25" x14ac:dyDescent="0.3">
      <c r="A85" s="5">
        <v>35</v>
      </c>
      <c r="B85" s="5">
        <v>3500</v>
      </c>
      <c r="C85" s="5">
        <v>1199</v>
      </c>
      <c r="D85" s="5" t="s">
        <v>33</v>
      </c>
      <c r="E85" s="5" t="s">
        <v>34</v>
      </c>
      <c r="F85" s="13">
        <v>78</v>
      </c>
      <c r="G85" s="13" t="s">
        <v>114</v>
      </c>
      <c r="H85" s="13">
        <v>69</v>
      </c>
      <c r="I85" s="13"/>
      <c r="J85" s="13"/>
      <c r="K85" s="13"/>
      <c r="L85" s="13"/>
      <c r="M85" s="13"/>
      <c r="N85" s="63">
        <v>21.16</v>
      </c>
      <c r="O85" s="63">
        <v>13.72</v>
      </c>
      <c r="P85" s="63">
        <v>7.48</v>
      </c>
      <c r="Q85" s="63">
        <v>11.22</v>
      </c>
      <c r="R85" s="63">
        <v>3.8</v>
      </c>
      <c r="S85" s="63">
        <v>7.23</v>
      </c>
      <c r="T85" s="14">
        <f>N85+O85+P85+Q85+R85+S85</f>
        <v>64.61</v>
      </c>
      <c r="V85" s="15">
        <f>(((N85/45)*100)*H85)/$H$190</f>
        <v>1.9413463532940819E-2</v>
      </c>
      <c r="W85" s="15">
        <f>(((O85/15)*100)*H85)/$H$190</f>
        <v>3.7762672921353692E-2</v>
      </c>
      <c r="X85" s="49"/>
      <c r="Y85" s="15">
        <f>(T85*H85)/$H$190</f>
        <v>2.6674704418170506E-2</v>
      </c>
    </row>
    <row r="86" spans="1:25" s="27" customFormat="1" x14ac:dyDescent="0.3">
      <c r="A86" s="27">
        <v>35</v>
      </c>
      <c r="B86" s="27">
        <v>3500</v>
      </c>
      <c r="C86" s="27">
        <v>1200</v>
      </c>
      <c r="D86" s="27" t="s">
        <v>33</v>
      </c>
      <c r="E86" s="27" t="s">
        <v>34</v>
      </c>
      <c r="F86" s="28">
        <v>79</v>
      </c>
      <c r="G86" s="28" t="s">
        <v>115</v>
      </c>
      <c r="H86" s="28">
        <v>661</v>
      </c>
      <c r="I86" s="28"/>
      <c r="J86" s="28"/>
      <c r="K86" s="28"/>
      <c r="L86" s="28"/>
      <c r="M86" s="28"/>
      <c r="N86" s="63">
        <v>27.21</v>
      </c>
      <c r="O86" s="63">
        <v>10.97</v>
      </c>
      <c r="P86" s="63">
        <v>7.71</v>
      </c>
      <c r="Q86" s="63">
        <v>11.27</v>
      </c>
      <c r="R86" s="63">
        <v>3.73</v>
      </c>
      <c r="S86" s="63">
        <v>7.53</v>
      </c>
      <c r="T86" s="29">
        <f>N86+O86+P86+Q86+R86+S86</f>
        <v>68.419999999999987</v>
      </c>
      <c r="U86" s="5"/>
      <c r="V86" s="30">
        <f>(((N86/45)*100)*H86)/$H$190</f>
        <v>0.23914883602189141</v>
      </c>
      <c r="W86" s="30">
        <f>(((O86/15)*100)*H86)/$H$190</f>
        <v>0.28924616661082125</v>
      </c>
      <c r="X86" s="43"/>
      <c r="Y86" s="30">
        <f>(T86*H86)/$H$190</f>
        <v>0.27060468622851941</v>
      </c>
    </row>
    <row r="87" spans="1:25" s="27" customFormat="1" x14ac:dyDescent="0.3">
      <c r="A87" s="27">
        <v>35</v>
      </c>
      <c r="B87" s="27">
        <v>3500</v>
      </c>
      <c r="C87" s="27">
        <v>1201</v>
      </c>
      <c r="D87" s="27" t="s">
        <v>33</v>
      </c>
      <c r="E87" s="27" t="s">
        <v>34</v>
      </c>
      <c r="F87" s="28">
        <v>80</v>
      </c>
      <c r="G87" s="28" t="s">
        <v>116</v>
      </c>
      <c r="H87" s="28">
        <v>515</v>
      </c>
      <c r="I87" s="28"/>
      <c r="J87" s="28"/>
      <c r="K87" s="28"/>
      <c r="L87" s="28"/>
      <c r="M87" s="28"/>
      <c r="N87" s="63">
        <v>28.99</v>
      </c>
      <c r="O87" s="63">
        <v>8.59</v>
      </c>
      <c r="P87" s="63">
        <v>6.15</v>
      </c>
      <c r="Q87" s="63">
        <v>7.78</v>
      </c>
      <c r="R87" s="63">
        <v>2.9</v>
      </c>
      <c r="S87" s="63">
        <v>4.24</v>
      </c>
      <c r="T87" s="29">
        <f>N87+O87+P87+Q87+R87+S87</f>
        <v>58.65</v>
      </c>
      <c r="U87" s="5"/>
      <c r="V87" s="30">
        <f>(((N87/45)*100)*H87)/$H$190</f>
        <v>0.19851517665767821</v>
      </c>
      <c r="W87" s="30">
        <f>(((O87/15)*100)*H87)/$H$190</f>
        <v>0.1764655433759354</v>
      </c>
      <c r="X87" s="43"/>
      <c r="Y87" s="30">
        <f>(T87*H87)/$H$190</f>
        <v>0.18072824421999903</v>
      </c>
    </row>
    <row r="88" spans="1:25" s="32" customFormat="1" x14ac:dyDescent="0.3">
      <c r="A88" s="32">
        <v>35</v>
      </c>
      <c r="B88" s="32">
        <v>3500</v>
      </c>
      <c r="C88" s="32">
        <v>1202</v>
      </c>
      <c r="D88" s="32" t="s">
        <v>33</v>
      </c>
      <c r="E88" s="32" t="s">
        <v>34</v>
      </c>
      <c r="F88" s="33">
        <v>81</v>
      </c>
      <c r="G88" s="33" t="s">
        <v>117</v>
      </c>
      <c r="H88" s="33">
        <v>293</v>
      </c>
      <c r="I88" s="33"/>
      <c r="J88" s="33"/>
      <c r="K88" s="33"/>
      <c r="L88" s="33"/>
      <c r="M88" s="33"/>
      <c r="N88" s="63">
        <v>29.84</v>
      </c>
      <c r="O88" s="63">
        <v>13.45</v>
      </c>
      <c r="P88" s="63">
        <v>5.7</v>
      </c>
      <c r="Q88" s="63">
        <v>8.5500000000000007</v>
      </c>
      <c r="R88" s="63">
        <v>3.88</v>
      </c>
      <c r="S88" s="63">
        <v>5.13</v>
      </c>
      <c r="T88" s="34">
        <f>N88+O88+P88+Q88+R88+S88</f>
        <v>66.550000000000011</v>
      </c>
      <c r="U88" s="5"/>
      <c r="V88" s="16">
        <f>(((N88/45)*100)*H88)/$H$190</f>
        <v>0.11625314462900024</v>
      </c>
      <c r="W88" s="16">
        <f>(((O88/15)*100)*H88)/$H$190</f>
        <v>0.15719887351810188</v>
      </c>
      <c r="X88" s="50"/>
      <c r="Y88" s="15">
        <f>(T88*H88)/$H$190</f>
        <v>0.11667195203676227</v>
      </c>
    </row>
    <row r="89" spans="1:25" s="27" customFormat="1" x14ac:dyDescent="0.3">
      <c r="A89" s="27">
        <v>35</v>
      </c>
      <c r="B89" s="27">
        <v>3500</v>
      </c>
      <c r="C89" s="27">
        <v>1203</v>
      </c>
      <c r="D89" s="27" t="s">
        <v>33</v>
      </c>
      <c r="E89" s="27" t="s">
        <v>34</v>
      </c>
      <c r="F89" s="28">
        <v>82</v>
      </c>
      <c r="G89" s="28" t="s">
        <v>118</v>
      </c>
      <c r="H89" s="28">
        <v>971</v>
      </c>
      <c r="I89" s="28"/>
      <c r="J89" s="28"/>
      <c r="K89" s="28"/>
      <c r="L89" s="28"/>
      <c r="M89" s="28"/>
      <c r="N89" s="63">
        <v>32.36</v>
      </c>
      <c r="O89" s="63">
        <v>11.79</v>
      </c>
      <c r="P89" s="63">
        <v>4.5</v>
      </c>
      <c r="Q89" s="63">
        <v>6.74</v>
      </c>
      <c r="R89" s="63">
        <v>2.9</v>
      </c>
      <c r="S89" s="63">
        <v>3.8</v>
      </c>
      <c r="T89" s="29">
        <f>N89+O89+P89+Q89+R89+S89</f>
        <v>62.089999999999996</v>
      </c>
      <c r="U89" s="5"/>
      <c r="V89" s="30">
        <f>(((N89/45)*100)*H89)/$H$190</f>
        <v>0.41779766938447715</v>
      </c>
      <c r="W89" s="30">
        <f>(((O89/15)*100)*H89)/$H$190</f>
        <v>0.45665956632042504</v>
      </c>
      <c r="X89" s="43"/>
      <c r="Y89" s="30">
        <f>(T89*H89)/$H$190</f>
        <v>0.36073781772054953</v>
      </c>
    </row>
    <row r="90" spans="1:25" x14ac:dyDescent="0.3">
      <c r="A90" s="5">
        <v>35</v>
      </c>
      <c r="B90" s="5">
        <v>3500</v>
      </c>
      <c r="C90" s="5">
        <v>1204</v>
      </c>
      <c r="D90" s="5" t="s">
        <v>33</v>
      </c>
      <c r="E90" s="5" t="s">
        <v>34</v>
      </c>
      <c r="F90" s="13">
        <v>83</v>
      </c>
      <c r="G90" s="13" t="s">
        <v>119</v>
      </c>
      <c r="H90" s="13">
        <v>638</v>
      </c>
      <c r="I90" s="13"/>
      <c r="J90" s="13"/>
      <c r="K90" s="13"/>
      <c r="L90" s="13"/>
      <c r="M90" s="13"/>
      <c r="N90" s="63">
        <v>30.12</v>
      </c>
      <c r="O90" s="63">
        <v>12.8</v>
      </c>
      <c r="P90" s="63">
        <v>7</v>
      </c>
      <c r="Q90" s="63">
        <v>11.2</v>
      </c>
      <c r="R90" s="63">
        <v>3</v>
      </c>
      <c r="S90" s="63">
        <v>3.2</v>
      </c>
      <c r="T90" s="14">
        <f>N90+O90+P90+Q90+R90+S90</f>
        <v>67.320000000000007</v>
      </c>
      <c r="V90" s="15">
        <f>(((N90/45)*100)*H90)/$H$190</f>
        <v>0.25551353852536179</v>
      </c>
      <c r="W90" s="15">
        <f>(((O90/15)*100)*H90)/$H$190</f>
        <v>0.3257543120642063</v>
      </c>
      <c r="X90" s="49"/>
      <c r="Y90" s="15">
        <f>(T90*H90)/$H$190</f>
        <v>0.25698961275190274</v>
      </c>
    </row>
    <row r="91" spans="1:25" s="27" customFormat="1" x14ac:dyDescent="0.3">
      <c r="A91" s="27">
        <v>35</v>
      </c>
      <c r="B91" s="27">
        <v>3500</v>
      </c>
      <c r="C91" s="27">
        <v>1205</v>
      </c>
      <c r="D91" s="27" t="s">
        <v>33</v>
      </c>
      <c r="E91" s="27" t="s">
        <v>34</v>
      </c>
      <c r="F91" s="28">
        <v>84</v>
      </c>
      <c r="G91" s="28" t="s">
        <v>120</v>
      </c>
      <c r="H91" s="28">
        <v>1911</v>
      </c>
      <c r="I91" s="28"/>
      <c r="J91" s="28"/>
      <c r="K91" s="28"/>
      <c r="L91" s="28"/>
      <c r="M91" s="28"/>
      <c r="N91" s="63">
        <v>34</v>
      </c>
      <c r="O91" s="63">
        <v>12.5</v>
      </c>
      <c r="P91" s="63">
        <v>4.9000000000000004</v>
      </c>
      <c r="Q91" s="63">
        <v>8.1</v>
      </c>
      <c r="R91" s="63">
        <v>3.5</v>
      </c>
      <c r="S91" s="63">
        <v>4.4400000000000004</v>
      </c>
      <c r="T91" s="29">
        <f>N91+O91+P91+Q91+R91+S91</f>
        <v>67.44</v>
      </c>
      <c r="U91" s="5"/>
      <c r="V91" s="30">
        <f>(((N91/45)*100)*H91)/$H$190</f>
        <v>0.86392864550923043</v>
      </c>
      <c r="W91" s="30">
        <f>(((O91/15)*100)*H91)/$H$190</f>
        <v>0.95286247666459256</v>
      </c>
      <c r="X91" s="43"/>
      <c r="Y91" s="30">
        <f>(T91*H91)/$H$190</f>
        <v>0.7711325451151213</v>
      </c>
    </row>
    <row r="92" spans="1:25" x14ac:dyDescent="0.3">
      <c r="A92" s="5">
        <v>35</v>
      </c>
      <c r="B92" s="5">
        <v>3500</v>
      </c>
      <c r="C92" s="5">
        <v>1073</v>
      </c>
      <c r="D92" s="5" t="s">
        <v>33</v>
      </c>
      <c r="E92" s="5" t="s">
        <v>34</v>
      </c>
      <c r="F92" s="13">
        <v>85</v>
      </c>
      <c r="G92" s="13" t="s">
        <v>121</v>
      </c>
      <c r="H92" s="13">
        <v>1378</v>
      </c>
      <c r="I92" s="13"/>
      <c r="J92" s="13"/>
      <c r="K92" s="13"/>
      <c r="L92" s="13"/>
      <c r="M92" s="13"/>
      <c r="N92" s="57">
        <v>20.68</v>
      </c>
      <c r="O92" s="57">
        <v>9.25</v>
      </c>
      <c r="P92" s="57">
        <v>8.0500000000000007</v>
      </c>
      <c r="Q92" s="57">
        <v>11.19</v>
      </c>
      <c r="R92" s="57">
        <v>3.5</v>
      </c>
      <c r="S92" s="57">
        <v>7</v>
      </c>
      <c r="T92" s="14">
        <f>N92+O92+P92+Q92+R92+S92</f>
        <v>59.67</v>
      </c>
      <c r="V92" s="15">
        <f>(((N92/45)*100)*H92)/$H$190</f>
        <v>0.37891170573186755</v>
      </c>
      <c r="W92" s="15">
        <f>(((O92/15)*100)*H92)/$H$190</f>
        <v>0.50845260319435803</v>
      </c>
      <c r="X92" s="49"/>
      <c r="Y92" s="15">
        <f>(T92*H92)/$H$190</f>
        <v>0.49198973242065969</v>
      </c>
    </row>
    <row r="93" spans="1:25" s="32" customFormat="1" x14ac:dyDescent="0.3">
      <c r="A93" s="32">
        <v>35</v>
      </c>
      <c r="B93" s="32">
        <v>3500</v>
      </c>
      <c r="C93" s="32">
        <v>1074</v>
      </c>
      <c r="D93" s="32" t="s">
        <v>33</v>
      </c>
      <c r="E93" s="32" t="s">
        <v>34</v>
      </c>
      <c r="F93" s="33">
        <v>86</v>
      </c>
      <c r="G93" s="33" t="s">
        <v>122</v>
      </c>
      <c r="H93" s="33">
        <v>1763</v>
      </c>
      <c r="I93" s="33"/>
      <c r="J93" s="33"/>
      <c r="K93" s="33"/>
      <c r="L93" s="33"/>
      <c r="M93" s="33"/>
      <c r="N93" s="57">
        <v>33.18</v>
      </c>
      <c r="O93" s="57">
        <v>14.47</v>
      </c>
      <c r="P93" s="57">
        <v>7</v>
      </c>
      <c r="Q93" s="57">
        <v>8.1999999999999993</v>
      </c>
      <c r="R93" s="57">
        <v>3.3</v>
      </c>
      <c r="S93" s="57">
        <v>6.6</v>
      </c>
      <c r="T93" s="34">
        <f>N93+O93+P93+Q93+R93+S93</f>
        <v>72.749999999999986</v>
      </c>
      <c r="U93" s="5"/>
      <c r="V93" s="16">
        <f>(((N93/45)*100)*H93)/$H$190</f>
        <v>0.777798254431733</v>
      </c>
      <c r="W93" s="16">
        <f>(((O93/15)*100)*H93)/$H$190</f>
        <v>1.0176076619916072</v>
      </c>
      <c r="X93" s="50"/>
      <c r="Y93" s="15">
        <f>(T93*H93)/$H$190</f>
        <v>0.76742526686132762</v>
      </c>
    </row>
    <row r="94" spans="1:25" x14ac:dyDescent="0.3">
      <c r="A94" s="5">
        <v>35</v>
      </c>
      <c r="B94" s="5">
        <v>3500</v>
      </c>
      <c r="C94" s="5">
        <v>1075</v>
      </c>
      <c r="D94" s="5" t="s">
        <v>33</v>
      </c>
      <c r="E94" s="5" t="s">
        <v>34</v>
      </c>
      <c r="F94" s="13">
        <v>87</v>
      </c>
      <c r="G94" s="13" t="s">
        <v>123</v>
      </c>
      <c r="H94" s="13">
        <v>1637</v>
      </c>
      <c r="I94" s="13"/>
      <c r="J94" s="13"/>
      <c r="K94" s="13"/>
      <c r="L94" s="13"/>
      <c r="M94" s="13"/>
      <c r="N94" s="62">
        <v>34.93</v>
      </c>
      <c r="O94" s="62">
        <v>12.5</v>
      </c>
      <c r="P94" s="62">
        <v>7.29</v>
      </c>
      <c r="Q94" s="62">
        <v>11.49</v>
      </c>
      <c r="R94" s="62">
        <v>4.03</v>
      </c>
      <c r="S94" s="62">
        <v>7.68</v>
      </c>
      <c r="T94" s="14">
        <f>N94+O94+P94+Q94+R94+S94</f>
        <v>77.919999999999987</v>
      </c>
      <c r="V94" s="15">
        <f>(((N94/45)*100)*H94)/$H$190</f>
        <v>0.76030095362702699</v>
      </c>
      <c r="W94" s="15">
        <f>(((O94/15)*100)*H94)/$H$190</f>
        <v>0.8162406458921706</v>
      </c>
      <c r="X94" s="49"/>
      <c r="Y94" s="15">
        <f>(T94*H94)/$H$190</f>
        <v>0.76321765353501492</v>
      </c>
    </row>
    <row r="95" spans="1:25" s="27" customFormat="1" x14ac:dyDescent="0.3">
      <c r="A95" s="27">
        <v>35</v>
      </c>
      <c r="B95" s="27">
        <v>3500</v>
      </c>
      <c r="C95" s="27">
        <v>1076</v>
      </c>
      <c r="D95" s="27" t="s">
        <v>33</v>
      </c>
      <c r="E95" s="27" t="s">
        <v>34</v>
      </c>
      <c r="F95" s="28">
        <v>88</v>
      </c>
      <c r="G95" s="28" t="s">
        <v>124</v>
      </c>
      <c r="H95" s="28">
        <v>1086</v>
      </c>
      <c r="I95" s="28"/>
      <c r="J95" s="28"/>
      <c r="K95" s="28"/>
      <c r="L95" s="28"/>
      <c r="M95" s="28"/>
      <c r="N95" s="62">
        <v>30</v>
      </c>
      <c r="O95" s="62">
        <v>13.42</v>
      </c>
      <c r="P95" s="62">
        <v>7.71</v>
      </c>
      <c r="Q95" s="62">
        <v>11.42</v>
      </c>
      <c r="R95" s="62">
        <v>3.88</v>
      </c>
      <c r="S95" s="62">
        <v>7.39</v>
      </c>
      <c r="T95" s="29">
        <f>N95+O95+P95+Q95+R95+S95</f>
        <v>73.820000000000007</v>
      </c>
      <c r="U95" s="5"/>
      <c r="V95" s="30">
        <f>(((N95/45)*100)*H95)/$H$190</f>
        <v>0.43320089990905164</v>
      </c>
      <c r="W95" s="30">
        <f>(((O95/15)*100)*H95)/$H$190</f>
        <v>0.58135560767794736</v>
      </c>
      <c r="X95" s="43"/>
      <c r="Y95" s="30">
        <f>(T95*H95)/$H$190</f>
        <v>0.479683356469293</v>
      </c>
    </row>
    <row r="96" spans="1:25" s="44" customFormat="1" x14ac:dyDescent="0.3">
      <c r="A96" s="44">
        <v>35</v>
      </c>
      <c r="B96" s="44">
        <v>3500</v>
      </c>
      <c r="C96" s="44">
        <v>1117</v>
      </c>
      <c r="D96" s="44" t="s">
        <v>33</v>
      </c>
      <c r="E96" s="44" t="s">
        <v>34</v>
      </c>
      <c r="F96" s="45">
        <v>89</v>
      </c>
      <c r="G96" s="45" t="s">
        <v>125</v>
      </c>
      <c r="H96" s="45">
        <v>1211</v>
      </c>
      <c r="I96" s="45"/>
      <c r="J96" s="45"/>
      <c r="K96" s="45"/>
      <c r="L96" s="45"/>
      <c r="M96" s="45"/>
      <c r="N96" s="62">
        <v>32.61</v>
      </c>
      <c r="O96" s="62">
        <v>15</v>
      </c>
      <c r="P96" s="62">
        <v>7</v>
      </c>
      <c r="Q96" s="62">
        <v>9.9499999999999993</v>
      </c>
      <c r="R96" s="62">
        <v>4.3</v>
      </c>
      <c r="S96" s="62">
        <v>4.5999999999999996</v>
      </c>
      <c r="T96" s="46">
        <f>N96+O96+P96+Q96+R96+S96</f>
        <v>73.459999999999994</v>
      </c>
      <c r="U96" s="5"/>
      <c r="V96" s="47">
        <f>(((N96/45)*100)*H96)/$H$190</f>
        <v>0.52508935267180445</v>
      </c>
      <c r="W96" s="47">
        <f>(((O96/15)*100)*H96)/$H$190</f>
        <v>0.72459432291417358</v>
      </c>
      <c r="X96" s="48"/>
      <c r="Y96" s="15">
        <f>(T96*H96)/$H$190</f>
        <v>0.53228698961275189</v>
      </c>
    </row>
    <row r="97" spans="1:25" s="27" customFormat="1" x14ac:dyDescent="0.3">
      <c r="A97" s="27">
        <v>35</v>
      </c>
      <c r="B97" s="27">
        <v>3500</v>
      </c>
      <c r="C97" s="27">
        <v>1118</v>
      </c>
      <c r="D97" s="27" t="s">
        <v>33</v>
      </c>
      <c r="E97" s="27" t="s">
        <v>34</v>
      </c>
      <c r="F97" s="28">
        <v>90</v>
      </c>
      <c r="G97" s="28" t="s">
        <v>126</v>
      </c>
      <c r="H97" s="28">
        <v>1470</v>
      </c>
      <c r="I97" s="28"/>
      <c r="J97" s="28"/>
      <c r="K97" s="28"/>
      <c r="L97" s="28"/>
      <c r="M97" s="28"/>
      <c r="N97" s="62">
        <v>29.24</v>
      </c>
      <c r="O97" s="62">
        <v>12.13</v>
      </c>
      <c r="P97" s="62">
        <v>5</v>
      </c>
      <c r="Q97" s="62">
        <v>8.58</v>
      </c>
      <c r="R97" s="62">
        <v>3</v>
      </c>
      <c r="S97" s="62">
        <v>3.9</v>
      </c>
      <c r="T97" s="29">
        <f>N97+O97+P97+Q97+R97+S97</f>
        <v>61.849999999999994</v>
      </c>
      <c r="U97" s="5"/>
      <c r="V97" s="30">
        <f>(((N97/45)*100)*H97)/$H$190</f>
        <v>0.5715220270291832</v>
      </c>
      <c r="W97" s="30">
        <f>(((O97/15)*100)*H97)/$H$190</f>
        <v>0.71127519027332353</v>
      </c>
      <c r="X97" s="43"/>
      <c r="Y97" s="30">
        <f>(T97*H97)/$H$190</f>
        <v>0.54401117706189261</v>
      </c>
    </row>
    <row r="98" spans="1:25" x14ac:dyDescent="0.3">
      <c r="A98" s="5">
        <v>35</v>
      </c>
      <c r="B98" s="5">
        <v>3500</v>
      </c>
      <c r="C98" s="5">
        <v>1119</v>
      </c>
      <c r="D98" s="5" t="s">
        <v>33</v>
      </c>
      <c r="E98" s="5" t="s">
        <v>34</v>
      </c>
      <c r="F98" s="13">
        <v>91</v>
      </c>
      <c r="G98" s="13" t="s">
        <v>127</v>
      </c>
      <c r="H98" s="13">
        <v>1185</v>
      </c>
      <c r="I98" s="13"/>
      <c r="J98" s="13"/>
      <c r="K98" s="13"/>
      <c r="L98" s="13"/>
      <c r="M98" s="13"/>
      <c r="N98" s="62">
        <v>33.78</v>
      </c>
      <c r="O98" s="62">
        <v>11.34</v>
      </c>
      <c r="P98" s="62">
        <v>7</v>
      </c>
      <c r="Q98" s="62">
        <v>11.2</v>
      </c>
      <c r="R98" s="62">
        <v>4.0999999999999996</v>
      </c>
      <c r="S98" s="62">
        <v>4.5999999999999996</v>
      </c>
      <c r="T98" s="14">
        <f>N98+O98+P98+Q98+R98+S98</f>
        <v>72.02</v>
      </c>
      <c r="V98" s="15">
        <f>(((N98/45)*100)*H98)/$H$190</f>
        <v>0.53225072997941703</v>
      </c>
      <c r="W98" s="15">
        <f>(((O98/15)*100)*H98)/$H$190</f>
        <v>0.53603226269685511</v>
      </c>
      <c r="X98" s="49"/>
      <c r="Y98" s="15">
        <f>(T98*H98)/$H$190</f>
        <v>0.51064872433105168</v>
      </c>
    </row>
    <row r="99" spans="1:25" x14ac:dyDescent="0.3">
      <c r="A99" s="5">
        <v>35</v>
      </c>
      <c r="B99" s="5">
        <v>3500</v>
      </c>
      <c r="C99" s="5">
        <v>1114</v>
      </c>
      <c r="D99" s="5" t="s">
        <v>33</v>
      </c>
      <c r="E99" s="5" t="s">
        <v>34</v>
      </c>
      <c r="F99" s="13">
        <v>92</v>
      </c>
      <c r="G99" s="13" t="s">
        <v>128</v>
      </c>
      <c r="H99" s="13">
        <v>1055</v>
      </c>
      <c r="I99" s="13"/>
      <c r="J99" s="13"/>
      <c r="K99" s="13"/>
      <c r="L99" s="13"/>
      <c r="M99" s="13"/>
      <c r="N99" s="63">
        <v>32.380000000000003</v>
      </c>
      <c r="O99" s="63">
        <v>14.96</v>
      </c>
      <c r="P99" s="63">
        <v>5</v>
      </c>
      <c r="Q99" s="63">
        <v>9.6999999999999993</v>
      </c>
      <c r="R99" s="63">
        <v>3</v>
      </c>
      <c r="S99" s="63">
        <v>4.3600000000000003</v>
      </c>
      <c r="T99" s="14">
        <f>N99+O99+P99+Q99+R99+S99</f>
        <v>69.400000000000006</v>
      </c>
      <c r="V99" s="15">
        <f>(((N99/45)*100)*H99)/$H$190</f>
        <v>0.45422138188161842</v>
      </c>
      <c r="W99" s="15">
        <f>(((O99/15)*100)*H99)/$H$190</f>
        <v>0.62956935203357112</v>
      </c>
      <c r="X99" s="49"/>
      <c r="Y99" s="15">
        <f>(T99*H99)/$H$190</f>
        <v>0.4380893686276387</v>
      </c>
    </row>
    <row r="100" spans="1:25" x14ac:dyDescent="0.3">
      <c r="A100" s="5">
        <v>35</v>
      </c>
      <c r="B100" s="5">
        <v>3500</v>
      </c>
      <c r="C100" s="5">
        <v>1115</v>
      </c>
      <c r="D100" s="5" t="s">
        <v>33</v>
      </c>
      <c r="E100" s="5" t="s">
        <v>34</v>
      </c>
      <c r="F100" s="13">
        <v>93</v>
      </c>
      <c r="G100" s="13" t="s">
        <v>129</v>
      </c>
      <c r="H100" s="13">
        <v>1812</v>
      </c>
      <c r="I100" s="13"/>
      <c r="J100" s="13"/>
      <c r="K100" s="13"/>
      <c r="L100" s="13"/>
      <c r="M100" s="13"/>
      <c r="N100" s="62">
        <v>30.8</v>
      </c>
      <c r="O100" s="62">
        <v>14.34</v>
      </c>
      <c r="P100" s="62">
        <v>7.3</v>
      </c>
      <c r="Q100" s="62">
        <v>11.16</v>
      </c>
      <c r="R100" s="62">
        <v>4.03</v>
      </c>
      <c r="S100" s="62">
        <v>7.59</v>
      </c>
      <c r="T100" s="14">
        <f>N100+O100+P100+Q100+R100+S100</f>
        <v>75.22</v>
      </c>
      <c r="V100" s="15">
        <f>(((N100/45)*100)*H100)/$H$190</f>
        <v>0.74207393933591814</v>
      </c>
      <c r="W100" s="15">
        <f>(((O100/15)*100)*H100)/$H$190</f>
        <v>1.0364941840984154</v>
      </c>
      <c r="X100" s="49"/>
      <c r="Y100" s="15">
        <f>(T100*H100)/$H$190</f>
        <v>0.81553444066823022</v>
      </c>
    </row>
    <row r="101" spans="1:25" x14ac:dyDescent="0.3">
      <c r="A101" s="5">
        <v>35</v>
      </c>
      <c r="B101" s="5">
        <v>3500</v>
      </c>
      <c r="C101" s="5">
        <v>1116</v>
      </c>
      <c r="D101" s="5" t="s">
        <v>33</v>
      </c>
      <c r="E101" s="5" t="s">
        <v>34</v>
      </c>
      <c r="F101" s="13">
        <v>94</v>
      </c>
      <c r="G101" s="13" t="s">
        <v>130</v>
      </c>
      <c r="H101" s="13">
        <v>1182</v>
      </c>
      <c r="I101" s="13"/>
      <c r="J101" s="13"/>
      <c r="K101" s="13"/>
      <c r="L101" s="13"/>
      <c r="M101" s="13"/>
      <c r="N101" s="62">
        <v>26.38</v>
      </c>
      <c r="O101" s="62">
        <v>13.51</v>
      </c>
      <c r="P101" s="62">
        <v>7.74</v>
      </c>
      <c r="Q101" s="62">
        <v>11.45</v>
      </c>
      <c r="R101" s="62">
        <v>3.8</v>
      </c>
      <c r="S101" s="62">
        <v>7.84</v>
      </c>
      <c r="T101" s="14">
        <f>N101+O101+P101+Q101+R101+S101</f>
        <v>70.72</v>
      </c>
      <c r="V101" s="15">
        <f>(((N101/45)*100)*H101)/$H$190</f>
        <v>0.41460118392290135</v>
      </c>
      <c r="W101" s="15">
        <f>(((O101/15)*100)*H101)/$H$190</f>
        <v>0.63698961275190269</v>
      </c>
      <c r="X101" s="49"/>
      <c r="Y101" s="15">
        <f>(T101*H101)/$H$190</f>
        <v>0.50016179215930301</v>
      </c>
    </row>
    <row r="102" spans="1:25" x14ac:dyDescent="0.3">
      <c r="F102" s="13"/>
      <c r="G102" s="17" t="s">
        <v>131</v>
      </c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4"/>
      <c r="V102" s="15">
        <f>(((N102/45)*100)*H102)/$H$190</f>
        <v>0</v>
      </c>
      <c r="W102" s="15">
        <f>(((O102/15)*100)*H102)/$H$190</f>
        <v>0</v>
      </c>
      <c r="X102" s="42">
        <f>SUM(W103:W174)</f>
        <v>36.230186045027359</v>
      </c>
      <c r="Y102" s="15">
        <f>(T102*H102)/$H$190</f>
        <v>0</v>
      </c>
    </row>
    <row r="103" spans="1:25" x14ac:dyDescent="0.3">
      <c r="A103" s="5">
        <v>35</v>
      </c>
      <c r="B103" s="5">
        <v>3500</v>
      </c>
      <c r="C103" s="5">
        <v>1206</v>
      </c>
      <c r="D103" s="5" t="s">
        <v>33</v>
      </c>
      <c r="E103" s="5" t="s">
        <v>34</v>
      </c>
      <c r="F103" s="13">
        <v>95</v>
      </c>
      <c r="G103" s="13" t="s">
        <v>132</v>
      </c>
      <c r="H103" s="13">
        <v>1232</v>
      </c>
      <c r="I103" s="13"/>
      <c r="J103" s="13"/>
      <c r="K103" s="13"/>
      <c r="L103" s="13"/>
      <c r="M103" s="13"/>
      <c r="N103" s="13">
        <v>27.63</v>
      </c>
      <c r="O103" s="13">
        <v>11.6</v>
      </c>
      <c r="P103" s="13">
        <v>3.5</v>
      </c>
      <c r="Q103" s="13">
        <v>4.5</v>
      </c>
      <c r="R103" s="13">
        <v>3.5</v>
      </c>
      <c r="S103" s="13">
        <v>3.2</v>
      </c>
      <c r="T103" s="14">
        <f>N103+O103+P103+Q103+R103+S103</f>
        <v>53.93</v>
      </c>
      <c r="V103" s="15">
        <f>(((N103/45)*100)*H103)/$H$190</f>
        <v>0.45261595902541768</v>
      </c>
      <c r="W103" s="15">
        <f>(((O103/15)*100)*H103)/$H$190</f>
        <v>0.5700700461123609</v>
      </c>
      <c r="X103" s="49"/>
      <c r="Y103" s="15">
        <f>(T103*H103)/$H$190</f>
        <v>0.39755014120913307</v>
      </c>
    </row>
    <row r="104" spans="1:25" x14ac:dyDescent="0.3">
      <c r="A104" s="5">
        <v>35</v>
      </c>
      <c r="B104" s="5">
        <v>3500</v>
      </c>
      <c r="C104" s="5">
        <v>1207</v>
      </c>
      <c r="D104" s="5" t="s">
        <v>33</v>
      </c>
      <c r="E104" s="5" t="s">
        <v>34</v>
      </c>
      <c r="F104" s="13">
        <v>96</v>
      </c>
      <c r="G104" s="13" t="s">
        <v>133</v>
      </c>
      <c r="H104" s="13">
        <v>50</v>
      </c>
      <c r="I104" s="13"/>
      <c r="J104" s="13"/>
      <c r="K104" s="13"/>
      <c r="L104" s="13"/>
      <c r="M104" s="13"/>
      <c r="N104" s="65">
        <v>12.03</v>
      </c>
      <c r="O104" s="65">
        <v>10</v>
      </c>
      <c r="P104" s="65">
        <v>6.8</v>
      </c>
      <c r="Q104" s="65">
        <v>11.39</v>
      </c>
      <c r="R104" s="65">
        <v>3.4</v>
      </c>
      <c r="S104" s="65">
        <v>4.97</v>
      </c>
      <c r="T104" s="14">
        <f>N104+O104+P104+Q104+R104+S104</f>
        <v>48.589999999999996</v>
      </c>
      <c r="V104" s="15">
        <f>(((N104/45)*100)*H104)/$H$190</f>
        <v>7.9978619182103933E-3</v>
      </c>
      <c r="W104" s="15">
        <f>(((O104/15)*100)*H104)/$H$190</f>
        <v>1.9944792813492252E-2</v>
      </c>
      <c r="X104" s="49"/>
      <c r="Y104" s="15">
        <f>(T104*H104)/$H$190</f>
        <v>1.4536762242113829E-2</v>
      </c>
    </row>
    <row r="105" spans="1:25" x14ac:dyDescent="0.3">
      <c r="A105" s="5">
        <v>35</v>
      </c>
      <c r="B105" s="5">
        <v>3500</v>
      </c>
      <c r="C105" s="5">
        <v>1208</v>
      </c>
      <c r="D105" s="5" t="s">
        <v>33</v>
      </c>
      <c r="E105" s="5" t="s">
        <v>34</v>
      </c>
      <c r="F105" s="13">
        <v>97</v>
      </c>
      <c r="G105" s="13" t="s">
        <v>134</v>
      </c>
      <c r="H105" s="13">
        <v>1155</v>
      </c>
      <c r="I105" s="13"/>
      <c r="J105" s="13"/>
      <c r="K105" s="13"/>
      <c r="L105" s="13"/>
      <c r="M105" s="13"/>
      <c r="N105" s="13">
        <v>30.33</v>
      </c>
      <c r="O105" s="13">
        <v>11.34</v>
      </c>
      <c r="P105" s="13">
        <v>5.2</v>
      </c>
      <c r="Q105" s="13">
        <v>9.8000000000000007</v>
      </c>
      <c r="R105" s="13">
        <v>3.58</v>
      </c>
      <c r="S105" s="13">
        <v>5.56</v>
      </c>
      <c r="T105" s="14">
        <f>N105+O105+P105+Q105+R105+S105</f>
        <v>65.81</v>
      </c>
      <c r="V105" s="15">
        <f>(((N105/45)*100)*H105)/$H$190</f>
        <v>0.46579268584557937</v>
      </c>
      <c r="W105" s="15">
        <f>(((O105/15)*100)*H105)/$H$190</f>
        <v>0.52246182566655497</v>
      </c>
      <c r="X105" s="49"/>
      <c r="Y105" s="15">
        <f>(T105*H105)/$H$190</f>
        <v>0.45480440141687811</v>
      </c>
    </row>
    <row r="106" spans="1:25" x14ac:dyDescent="0.3">
      <c r="A106" s="5">
        <v>35</v>
      </c>
      <c r="B106" s="5">
        <v>3500</v>
      </c>
      <c r="C106" s="5">
        <v>1209</v>
      </c>
      <c r="D106" s="5" t="s">
        <v>33</v>
      </c>
      <c r="E106" s="5" t="s">
        <v>34</v>
      </c>
      <c r="F106" s="13">
        <v>98</v>
      </c>
      <c r="G106" s="13" t="s">
        <v>135</v>
      </c>
      <c r="H106" s="13">
        <v>422</v>
      </c>
      <c r="I106" s="13"/>
      <c r="J106" s="13"/>
      <c r="K106" s="13"/>
      <c r="L106" s="13"/>
      <c r="M106" s="13"/>
      <c r="N106" s="13">
        <v>22.5</v>
      </c>
      <c r="O106" s="13">
        <v>6.85</v>
      </c>
      <c r="P106" s="13">
        <v>5.08</v>
      </c>
      <c r="Q106" s="13">
        <v>9.08</v>
      </c>
      <c r="R106" s="13">
        <v>3.65</v>
      </c>
      <c r="S106" s="13">
        <v>7.6</v>
      </c>
      <c r="T106" s="14">
        <f>N106+O106+P106+Q106+R106+S106</f>
        <v>54.76</v>
      </c>
      <c r="V106" s="15">
        <f>(((N106/45)*100)*H106)/$H$190</f>
        <v>0.12625053850940596</v>
      </c>
      <c r="W106" s="15">
        <f>(((O106/15)*100)*H106)/$H$190</f>
        <v>0.1153088251719241</v>
      </c>
      <c r="X106" s="49"/>
      <c r="Y106" s="15">
        <f>(T106*H106)/$H$190</f>
        <v>0.13826958977550138</v>
      </c>
    </row>
    <row r="107" spans="1:25" s="32" customFormat="1" x14ac:dyDescent="0.3">
      <c r="A107" s="32">
        <v>35</v>
      </c>
      <c r="B107" s="32">
        <v>3500</v>
      </c>
      <c r="C107" s="32">
        <v>1210</v>
      </c>
      <c r="D107" s="32" t="s">
        <v>33</v>
      </c>
      <c r="E107" s="32" t="s">
        <v>34</v>
      </c>
      <c r="F107" s="33">
        <v>99</v>
      </c>
      <c r="G107" s="33" t="s">
        <v>136</v>
      </c>
      <c r="H107" s="33">
        <v>194</v>
      </c>
      <c r="I107" s="33"/>
      <c r="J107" s="33"/>
      <c r="K107" s="33"/>
      <c r="L107" s="33"/>
      <c r="M107" s="33"/>
      <c r="N107" s="65">
        <v>32.479999999999997</v>
      </c>
      <c r="O107" s="65">
        <v>10.26</v>
      </c>
      <c r="P107" s="65">
        <v>5.6</v>
      </c>
      <c r="Q107" s="65">
        <v>9.2200000000000006</v>
      </c>
      <c r="R107" s="65">
        <v>3.5</v>
      </c>
      <c r="S107" s="65">
        <v>5.8</v>
      </c>
      <c r="T107" s="34">
        <f>N107+O107+P107+Q107+R107+S107</f>
        <v>66.86</v>
      </c>
      <c r="U107" s="5"/>
      <c r="V107" s="16">
        <f>(((N107/45)*100)*H107)/$H$190</f>
        <v>8.3783021928634877E-2</v>
      </c>
      <c r="W107" s="16">
        <f>(((O107/15)*100)*H107)/$H$190</f>
        <v>7.9397826815375036E-2</v>
      </c>
      <c r="X107" s="50"/>
      <c r="Y107" s="15">
        <f>(T107*H107)/$H$190</f>
        <v>7.7610214925087365E-2</v>
      </c>
    </row>
    <row r="108" spans="1:25" x14ac:dyDescent="0.3">
      <c r="A108" s="5">
        <v>35</v>
      </c>
      <c r="B108" s="5">
        <v>3500</v>
      </c>
      <c r="C108" s="5">
        <v>1211</v>
      </c>
      <c r="D108" s="5" t="s">
        <v>33</v>
      </c>
      <c r="E108" s="5" t="s">
        <v>34</v>
      </c>
      <c r="F108" s="13">
        <v>100</v>
      </c>
      <c r="G108" s="13" t="s">
        <v>137</v>
      </c>
      <c r="H108" s="13">
        <v>684</v>
      </c>
      <c r="I108" s="13"/>
      <c r="J108" s="13"/>
      <c r="K108" s="13"/>
      <c r="L108" s="13"/>
      <c r="M108" s="13"/>
      <c r="N108" s="65">
        <v>32.549999999999997</v>
      </c>
      <c r="O108" s="65">
        <v>12.16</v>
      </c>
      <c r="P108" s="65">
        <v>5.14</v>
      </c>
      <c r="Q108" s="65">
        <v>7.1</v>
      </c>
      <c r="R108" s="65">
        <v>3.2</v>
      </c>
      <c r="S108" s="65">
        <v>6.64</v>
      </c>
      <c r="T108" s="14">
        <f>N108+O108+P108+Q108+R108+S108</f>
        <v>66.789999999999992</v>
      </c>
      <c r="V108" s="15">
        <f>(((N108/45)*100)*H108)/$H$190</f>
        <v>0.29603657077210282</v>
      </c>
      <c r="W108" s="15">
        <f>(((O108/15)*100)*H108)/$H$190</f>
        <v>0.331779235077306</v>
      </c>
      <c r="X108" s="49"/>
      <c r="Y108" s="15">
        <f>(T108*H108)/$H$190</f>
        <v>0.27334952850509786</v>
      </c>
    </row>
    <row r="109" spans="1:25" x14ac:dyDescent="0.3">
      <c r="A109" s="5">
        <v>35</v>
      </c>
      <c r="B109" s="5">
        <v>3500</v>
      </c>
      <c r="C109" s="5">
        <v>1212</v>
      </c>
      <c r="D109" s="5" t="s">
        <v>33</v>
      </c>
      <c r="E109" s="5" t="s">
        <v>34</v>
      </c>
      <c r="F109" s="13">
        <v>101</v>
      </c>
      <c r="G109" s="13" t="s">
        <v>138</v>
      </c>
      <c r="H109" s="13">
        <v>461</v>
      </c>
      <c r="I109" s="13"/>
      <c r="J109" s="13"/>
      <c r="K109" s="13"/>
      <c r="L109" s="13"/>
      <c r="M109" s="13"/>
      <c r="N109" s="65">
        <v>29.73</v>
      </c>
      <c r="O109" s="65">
        <v>10.18</v>
      </c>
      <c r="P109" s="65">
        <v>7.71</v>
      </c>
      <c r="Q109" s="65">
        <v>10.25</v>
      </c>
      <c r="R109" s="65">
        <v>3.5</v>
      </c>
      <c r="S109" s="65">
        <v>7.15</v>
      </c>
      <c r="T109" s="14">
        <f>N109+O109+P109+Q109+R109+S109</f>
        <v>68.52</v>
      </c>
      <c r="V109" s="15">
        <f>(((N109/45)*100)*H109)/$H$190</f>
        <v>0.18223597083273496</v>
      </c>
      <c r="W109" s="15">
        <f>(((O109/15)*100)*H109)/$H$190</f>
        <v>0.18720102755572574</v>
      </c>
      <c r="X109" s="49"/>
      <c r="Y109" s="15">
        <f>(T109*H109)/$H$190</f>
        <v>0.18900315925518163</v>
      </c>
    </row>
    <row r="110" spans="1:25" x14ac:dyDescent="0.3">
      <c r="A110" s="5">
        <v>35</v>
      </c>
      <c r="B110" s="5">
        <v>3500</v>
      </c>
      <c r="C110" s="5">
        <v>1213</v>
      </c>
      <c r="D110" s="5" t="s">
        <v>33</v>
      </c>
      <c r="E110" s="5" t="s">
        <v>34</v>
      </c>
      <c r="F110" s="13">
        <v>102</v>
      </c>
      <c r="G110" s="13" t="s">
        <v>139</v>
      </c>
      <c r="H110" s="13">
        <v>1554</v>
      </c>
      <c r="I110" s="13"/>
      <c r="J110" s="13"/>
      <c r="K110" s="13"/>
      <c r="L110" s="13"/>
      <c r="M110" s="13"/>
      <c r="N110" s="65">
        <v>32.68</v>
      </c>
      <c r="O110" s="65">
        <v>10.130000000000001</v>
      </c>
      <c r="P110" s="65">
        <v>7.69</v>
      </c>
      <c r="Q110" s="65">
        <v>11.18</v>
      </c>
      <c r="R110" s="65">
        <v>3.5</v>
      </c>
      <c r="S110" s="65">
        <v>8.2799999999999994</v>
      </c>
      <c r="T110" s="14">
        <f>N110+O110+P110+Q110+R110+S110</f>
        <v>73.460000000000008</v>
      </c>
      <c r="V110" s="15">
        <f>(((N110/45)*100)*H110)/$H$190</f>
        <v>0.67526047899414421</v>
      </c>
      <c r="W110" s="15">
        <f>(((O110/15)*100)*H110)/$H$190</f>
        <v>0.62794265473170263</v>
      </c>
      <c r="X110" s="49"/>
      <c r="Y110" s="15">
        <f>(T110*H110)/$H$190</f>
        <v>0.68305035661289559</v>
      </c>
    </row>
    <row r="111" spans="1:25" x14ac:dyDescent="0.3">
      <c r="A111" s="5">
        <v>35</v>
      </c>
      <c r="B111" s="5">
        <v>3500</v>
      </c>
      <c r="C111" s="5">
        <v>1214</v>
      </c>
      <c r="D111" s="5" t="s">
        <v>33</v>
      </c>
      <c r="E111" s="5" t="s">
        <v>34</v>
      </c>
      <c r="F111" s="13">
        <v>103</v>
      </c>
      <c r="G111" s="13" t="s">
        <v>140</v>
      </c>
      <c r="H111" s="13">
        <v>745</v>
      </c>
      <c r="I111" s="13"/>
      <c r="J111" s="13"/>
      <c r="K111" s="13"/>
      <c r="L111" s="13"/>
      <c r="M111" s="13"/>
      <c r="N111" s="65">
        <v>28.63</v>
      </c>
      <c r="O111" s="65">
        <v>10.16</v>
      </c>
      <c r="P111" s="65">
        <v>5.34</v>
      </c>
      <c r="Q111" s="65">
        <v>11.53</v>
      </c>
      <c r="R111" s="65">
        <v>4.0999999999999996</v>
      </c>
      <c r="S111" s="65">
        <v>7</v>
      </c>
      <c r="T111" s="14">
        <f>N111+O111+P111+Q111+R111+S111</f>
        <v>66.759999999999991</v>
      </c>
      <c r="V111" s="15">
        <f>(((N111/45)*100)*H111)/$H$190</f>
        <v>0.28360631106430739</v>
      </c>
      <c r="W111" s="15">
        <f>(((O111/15)*100)*H111)/$H$190</f>
        <v>0.30193225152777114</v>
      </c>
      <c r="X111" s="49"/>
      <c r="Y111" s="15">
        <f>(T111*H111)/$H$190</f>
        <v>0.29759346129912395</v>
      </c>
    </row>
    <row r="112" spans="1:25" x14ac:dyDescent="0.3">
      <c r="A112" s="5">
        <v>35</v>
      </c>
      <c r="B112" s="5">
        <v>3500</v>
      </c>
      <c r="C112" s="5">
        <v>1215</v>
      </c>
      <c r="D112" s="5" t="s">
        <v>33</v>
      </c>
      <c r="E112" s="5" t="s">
        <v>34</v>
      </c>
      <c r="F112" s="13">
        <v>104</v>
      </c>
      <c r="G112" s="13" t="s">
        <v>141</v>
      </c>
      <c r="H112" s="13">
        <v>230</v>
      </c>
      <c r="I112" s="13"/>
      <c r="J112" s="13"/>
      <c r="K112" s="13"/>
      <c r="L112" s="13"/>
      <c r="M112" s="13"/>
      <c r="N112" s="65">
        <v>26.37</v>
      </c>
      <c r="O112" s="65">
        <v>13.38</v>
      </c>
      <c r="P112" s="65">
        <v>4.5</v>
      </c>
      <c r="Q112" s="65">
        <v>12.11</v>
      </c>
      <c r="R112" s="65">
        <v>4.25</v>
      </c>
      <c r="S112" s="65">
        <v>7.38</v>
      </c>
      <c r="T112" s="14">
        <f>N112+O112+P112+Q112+R112+S112</f>
        <v>67.989999999999995</v>
      </c>
      <c r="V112" s="15">
        <f>(((N112/45)*100)*H112)/$H$190</f>
        <v>8.0644775262074586E-2</v>
      </c>
      <c r="W112" s="15">
        <f>(((O112/15)*100)*H112)/$H$190</f>
        <v>0.12275621080848212</v>
      </c>
      <c r="X112" s="49"/>
      <c r="Y112" s="15">
        <f>(T112*H112)/$H$190</f>
        <v>9.3567205973864337E-2</v>
      </c>
    </row>
    <row r="113" spans="1:25" x14ac:dyDescent="0.3">
      <c r="A113" s="5">
        <v>35</v>
      </c>
      <c r="B113" s="5">
        <v>3500</v>
      </c>
      <c r="C113" s="5">
        <v>122205</v>
      </c>
      <c r="D113" s="5" t="s">
        <v>33</v>
      </c>
      <c r="E113" s="5" t="s">
        <v>34</v>
      </c>
      <c r="F113" s="13">
        <v>105</v>
      </c>
      <c r="G113" s="13" t="s">
        <v>142</v>
      </c>
      <c r="H113" s="13">
        <v>367</v>
      </c>
      <c r="I113" s="13"/>
      <c r="J113" s="13"/>
      <c r="K113" s="13"/>
      <c r="L113" s="13"/>
      <c r="M113" s="13"/>
      <c r="N113" s="65">
        <v>20.94</v>
      </c>
      <c r="O113" s="65">
        <v>11.4</v>
      </c>
      <c r="P113" s="65">
        <v>7</v>
      </c>
      <c r="Q113" s="65">
        <v>12.63</v>
      </c>
      <c r="R113" s="65">
        <v>3.5</v>
      </c>
      <c r="S113" s="65">
        <v>3.2</v>
      </c>
      <c r="T113" s="14">
        <f>N113+O113+P113+Q113+R113+S113</f>
        <v>58.670000000000009</v>
      </c>
      <c r="V113" s="15">
        <f>(((N113/45)*100)*H113)/$H$190</f>
        <v>0.10218355591722113</v>
      </c>
      <c r="W113" s="15">
        <f>(((O113/15)*100)*H113)/$H$190</f>
        <v>0.16689004834617777</v>
      </c>
      <c r="X113" s="49"/>
      <c r="Y113" s="15">
        <f>(T113*H113)/$H$190</f>
        <v>0.12883472547987174</v>
      </c>
    </row>
    <row r="114" spans="1:25" x14ac:dyDescent="0.3">
      <c r="A114" s="5">
        <v>35</v>
      </c>
      <c r="B114" s="5">
        <v>3500</v>
      </c>
      <c r="C114" s="5">
        <v>1217</v>
      </c>
      <c r="D114" s="5" t="s">
        <v>33</v>
      </c>
      <c r="E114" s="5" t="s">
        <v>34</v>
      </c>
      <c r="F114" s="13">
        <v>106</v>
      </c>
      <c r="G114" s="13" t="s">
        <v>143</v>
      </c>
      <c r="H114" s="13">
        <v>215</v>
      </c>
      <c r="I114" s="13"/>
      <c r="J114" s="13"/>
      <c r="K114" s="13"/>
      <c r="L114" s="13"/>
      <c r="M114" s="13"/>
      <c r="N114" s="65">
        <v>24.17</v>
      </c>
      <c r="O114" s="65">
        <v>5.95</v>
      </c>
      <c r="P114" s="65">
        <v>7</v>
      </c>
      <c r="Q114" s="65">
        <v>12.27</v>
      </c>
      <c r="R114" s="65">
        <v>3.5</v>
      </c>
      <c r="S114" s="65">
        <v>7</v>
      </c>
      <c r="T114" s="14">
        <f>N114+O114+P114+Q114+R114+S114</f>
        <v>59.89</v>
      </c>
      <c r="V114" s="15">
        <f>(((N114/45)*100)*H114)/$H$190</f>
        <v>6.909607539663544E-2</v>
      </c>
      <c r="W114" s="15">
        <f>(((O114/15)*100)*H114)/$H$190</f>
        <v>5.1028752413319924E-2</v>
      </c>
      <c r="X114" s="49"/>
      <c r="Y114" s="15">
        <f>(T114*H114)/$H$190</f>
        <v>7.7044839883203292E-2</v>
      </c>
    </row>
    <row r="115" spans="1:25" x14ac:dyDescent="0.3">
      <c r="A115" s="5">
        <v>35</v>
      </c>
      <c r="B115" s="5">
        <v>3500</v>
      </c>
      <c r="C115" s="5">
        <v>1218</v>
      </c>
      <c r="D115" s="5" t="s">
        <v>33</v>
      </c>
      <c r="E115" s="5" t="s">
        <v>34</v>
      </c>
      <c r="F115" s="13">
        <v>107</v>
      </c>
      <c r="G115" s="13" t="s">
        <v>144</v>
      </c>
      <c r="H115" s="13">
        <v>165</v>
      </c>
      <c r="I115" s="13"/>
      <c r="J115" s="13"/>
      <c r="K115" s="13"/>
      <c r="L115" s="13"/>
      <c r="M115" s="13"/>
      <c r="N115" s="65">
        <v>20.22</v>
      </c>
      <c r="O115" s="65">
        <v>11.76</v>
      </c>
      <c r="P115" s="65">
        <v>7</v>
      </c>
      <c r="Q115" s="65">
        <v>12.63</v>
      </c>
      <c r="R115" s="65">
        <v>3.5</v>
      </c>
      <c r="S115" s="65">
        <v>7</v>
      </c>
      <c r="T115" s="14">
        <f>N115+O115+P115+Q115+R115+S115</f>
        <v>62.11</v>
      </c>
      <c r="V115" s="15">
        <f>(((N115/45)*100)*H115)/$H$190</f>
        <v>4.4361208175769468E-2</v>
      </c>
      <c r="W115" s="15">
        <f>(((O115/15)*100)*H115)/$H$190</f>
        <v>7.7401751950600742E-2</v>
      </c>
      <c r="X115" s="49"/>
      <c r="Y115" s="15">
        <f>(T115*H115)/$H$190</f>
        <v>6.131916854147719E-2</v>
      </c>
    </row>
    <row r="116" spans="1:25" x14ac:dyDescent="0.3">
      <c r="A116" s="5">
        <v>35</v>
      </c>
      <c r="B116" s="5">
        <v>3500</v>
      </c>
      <c r="C116" s="5">
        <v>1219</v>
      </c>
      <c r="D116" s="5" t="s">
        <v>33</v>
      </c>
      <c r="E116" s="5" t="s">
        <v>34</v>
      </c>
      <c r="F116" s="13">
        <v>108</v>
      </c>
      <c r="G116" s="13" t="s">
        <v>145</v>
      </c>
      <c r="H116" s="13">
        <v>629</v>
      </c>
      <c r="I116" s="13"/>
      <c r="J116" s="13"/>
      <c r="K116" s="13"/>
      <c r="L116" s="13"/>
      <c r="M116" s="13"/>
      <c r="N116" s="65">
        <v>19.66</v>
      </c>
      <c r="O116" s="65">
        <v>7.3</v>
      </c>
      <c r="P116" s="65">
        <v>5.75</v>
      </c>
      <c r="Q116" s="65">
        <v>10.050000000000001</v>
      </c>
      <c r="R116" s="65">
        <v>4.03</v>
      </c>
      <c r="S116" s="65">
        <v>7</v>
      </c>
      <c r="T116" s="14">
        <f>N116+O116+P116+Q116+R116+S116</f>
        <v>53.790000000000006</v>
      </c>
      <c r="V116" s="15">
        <f>(((N116/45)*100)*H116)/$H$190</f>
        <v>0.16442673346842607</v>
      </c>
      <c r="W116" s="15">
        <f>(((O116/15)*100)*H116)/$H$190</f>
        <v>0.18316101032342474</v>
      </c>
      <c r="X116" s="49"/>
      <c r="Y116" s="15">
        <f>(T116*H116)/$H$190</f>
        <v>0.20244309750610312</v>
      </c>
    </row>
    <row r="117" spans="1:25" s="44" customFormat="1" x14ac:dyDescent="0.3">
      <c r="A117" s="44">
        <v>35</v>
      </c>
      <c r="B117" s="44">
        <v>3500</v>
      </c>
      <c r="C117" s="44">
        <v>1220</v>
      </c>
      <c r="D117" s="44" t="s">
        <v>33</v>
      </c>
      <c r="E117" s="44" t="s">
        <v>34</v>
      </c>
      <c r="F117" s="45">
        <v>109</v>
      </c>
      <c r="G117" s="45" t="s">
        <v>146</v>
      </c>
      <c r="H117" s="45">
        <v>2340</v>
      </c>
      <c r="I117" s="45"/>
      <c r="J117" s="45"/>
      <c r="K117" s="45"/>
      <c r="L117" s="45"/>
      <c r="M117" s="45"/>
      <c r="N117" s="65">
        <v>33.06</v>
      </c>
      <c r="O117" s="65">
        <v>11.7</v>
      </c>
      <c r="P117" s="65">
        <v>4.5</v>
      </c>
      <c r="Q117" s="65">
        <v>7.3</v>
      </c>
      <c r="R117" s="65">
        <v>3.58</v>
      </c>
      <c r="S117" s="65">
        <v>5.8</v>
      </c>
      <c r="T117" s="46">
        <f>N117+O117+P117+Q117+R117+S117</f>
        <v>65.94</v>
      </c>
      <c r="U117" s="5"/>
      <c r="V117" s="47">
        <f>(((N117/45)*100)*H117)/$H$190</f>
        <v>1.0286247666459241</v>
      </c>
      <c r="W117" s="47">
        <f>(((O117/15)*100)*H117)/$H$190</f>
        <v>1.0920970752955816</v>
      </c>
      <c r="X117" s="48"/>
      <c r="Y117" s="15">
        <f>(T117*H117)/$H$190</f>
        <v>0.92324206596141878</v>
      </c>
    </row>
    <row r="118" spans="1:25" x14ac:dyDescent="0.3">
      <c r="A118" s="5">
        <v>35</v>
      </c>
      <c r="B118" s="5">
        <v>3500</v>
      </c>
      <c r="C118" s="5">
        <v>1221</v>
      </c>
      <c r="D118" s="5" t="s">
        <v>33</v>
      </c>
      <c r="E118" s="5" t="s">
        <v>34</v>
      </c>
      <c r="F118" s="13">
        <v>110</v>
      </c>
      <c r="G118" s="13" t="s">
        <v>147</v>
      </c>
      <c r="H118" s="13">
        <v>789</v>
      </c>
      <c r="I118" s="13"/>
      <c r="J118" s="13"/>
      <c r="K118" s="13"/>
      <c r="L118" s="13"/>
      <c r="M118" s="13"/>
      <c r="N118" s="65">
        <v>28.8</v>
      </c>
      <c r="O118" s="65">
        <v>12.1</v>
      </c>
      <c r="P118" s="65">
        <v>6.93</v>
      </c>
      <c r="Q118" s="65">
        <v>10.79</v>
      </c>
      <c r="R118" s="65">
        <v>4.0999999999999996</v>
      </c>
      <c r="S118" s="65">
        <v>6.84</v>
      </c>
      <c r="T118" s="14">
        <f>N118+O118+P118+Q118+R118+S118</f>
        <v>69.56</v>
      </c>
      <c r="V118" s="15">
        <f>(((N118/45)*100)*H118)/$H$190</f>
        <v>0.30213967737303143</v>
      </c>
      <c r="W118" s="15">
        <f>(((O118/15)*100)*H118)/$H$190</f>
        <v>0.38082188502225833</v>
      </c>
      <c r="X118" s="49"/>
      <c r="Y118" s="15">
        <f>(T118*H118)/$H$190</f>
        <v>0.32838806184481356</v>
      </c>
    </row>
    <row r="119" spans="1:25" x14ac:dyDescent="0.3">
      <c r="A119" s="5">
        <v>35</v>
      </c>
      <c r="B119" s="5">
        <v>3500</v>
      </c>
      <c r="C119" s="5">
        <v>1222</v>
      </c>
      <c r="D119" s="5" t="s">
        <v>33</v>
      </c>
      <c r="E119" s="5" t="s">
        <v>34</v>
      </c>
      <c r="F119" s="13">
        <v>111</v>
      </c>
      <c r="G119" s="13" t="s">
        <v>148</v>
      </c>
      <c r="H119" s="13">
        <v>209</v>
      </c>
      <c r="I119" s="13"/>
      <c r="J119" s="13"/>
      <c r="K119" s="13"/>
      <c r="L119" s="13"/>
      <c r="M119" s="13"/>
      <c r="N119" s="65">
        <v>15.05</v>
      </c>
      <c r="O119" s="65">
        <v>11</v>
      </c>
      <c r="P119" s="65">
        <v>7</v>
      </c>
      <c r="Q119" s="65">
        <v>12.63</v>
      </c>
      <c r="R119" s="65">
        <v>3.5</v>
      </c>
      <c r="S119" s="65">
        <v>3</v>
      </c>
      <c r="T119" s="14">
        <f>N119+O119+P119+Q119+R119+S119</f>
        <v>52.18</v>
      </c>
      <c r="V119" s="15">
        <f>(((N119/45)*100)*H119)/$H$190</f>
        <v>4.182356570346614E-2</v>
      </c>
      <c r="W119" s="15">
        <f>(((O119/15)*100)*H119)/$H$190</f>
        <v>9.1706157356437376E-2</v>
      </c>
      <c r="X119" s="49"/>
      <c r="Y119" s="15">
        <f>(T119*H119)/$H$190</f>
        <v>6.5253099420803221E-2</v>
      </c>
    </row>
    <row r="120" spans="1:25" x14ac:dyDescent="0.3">
      <c r="A120" s="5">
        <v>35</v>
      </c>
      <c r="B120" s="5">
        <v>3500</v>
      </c>
      <c r="C120" s="5">
        <v>1223</v>
      </c>
      <c r="D120" s="5" t="s">
        <v>33</v>
      </c>
      <c r="E120" s="5" t="s">
        <v>34</v>
      </c>
      <c r="F120" s="13">
        <v>112</v>
      </c>
      <c r="G120" s="13" t="s">
        <v>149</v>
      </c>
      <c r="H120" s="13">
        <v>13</v>
      </c>
      <c r="I120" s="13"/>
      <c r="J120" s="13"/>
      <c r="K120" s="13"/>
      <c r="L120" s="13"/>
      <c r="M120" s="13"/>
      <c r="N120" s="65">
        <v>24.34</v>
      </c>
      <c r="O120" s="65">
        <v>14.25</v>
      </c>
      <c r="P120" s="65">
        <v>7.08</v>
      </c>
      <c r="Q120" s="65">
        <v>12.63</v>
      </c>
      <c r="R120" s="65">
        <v>3.5</v>
      </c>
      <c r="S120" s="65">
        <v>7</v>
      </c>
      <c r="T120" s="14">
        <f>N120+O120+P120+Q120+R120+S120</f>
        <v>68.800000000000011</v>
      </c>
      <c r="V120" s="15">
        <f>(((N120/45)*100)*H120)/$H$190</f>
        <v>4.2072875613634797E-3</v>
      </c>
      <c r="W120" s="15">
        <f>(((O120/15)*100)*H120)/$H$190</f>
        <v>7.3895457373988798E-3</v>
      </c>
      <c r="X120" s="49"/>
      <c r="Y120" s="15">
        <f>(T120*H120)/$H$190</f>
        <v>5.3515868077162422E-3</v>
      </c>
    </row>
    <row r="121" spans="1:25" x14ac:dyDescent="0.3">
      <c r="A121" s="5">
        <v>35</v>
      </c>
      <c r="B121" s="5">
        <v>3500</v>
      </c>
      <c r="C121" s="5">
        <v>1224</v>
      </c>
      <c r="D121" s="5" t="s">
        <v>33</v>
      </c>
      <c r="E121" s="5" t="s">
        <v>34</v>
      </c>
      <c r="F121" s="13">
        <v>113</v>
      </c>
      <c r="G121" s="13" t="s">
        <v>150</v>
      </c>
      <c r="H121" s="13">
        <v>20</v>
      </c>
      <c r="I121" s="13"/>
      <c r="J121" s="13"/>
      <c r="K121" s="13"/>
      <c r="L121" s="13"/>
      <c r="M121" s="13"/>
      <c r="N121" s="65">
        <v>28</v>
      </c>
      <c r="O121" s="65">
        <v>10</v>
      </c>
      <c r="P121" s="65">
        <v>4.5</v>
      </c>
      <c r="Q121" s="65">
        <v>7.5</v>
      </c>
      <c r="R121" s="65">
        <v>2.5</v>
      </c>
      <c r="S121" s="65">
        <v>5</v>
      </c>
      <c r="T121" s="14">
        <f>N121+O121+P121+Q121+R121+S121</f>
        <v>57.5</v>
      </c>
      <c r="V121" s="15">
        <f>(((N121/45)*100)*H121)/$H$190</f>
        <v>7.4460559837037739E-3</v>
      </c>
      <c r="W121" s="15">
        <f>(((O121/15)*100)*H121)/$H$190</f>
        <v>7.9779171253968988E-3</v>
      </c>
      <c r="X121" s="49"/>
      <c r="Y121" s="15">
        <f>(T121*H121)/$H$190</f>
        <v>6.8809535206548278E-3</v>
      </c>
    </row>
    <row r="122" spans="1:25" x14ac:dyDescent="0.3">
      <c r="A122" s="5">
        <v>35</v>
      </c>
      <c r="B122" s="5">
        <v>3500</v>
      </c>
      <c r="C122" s="5">
        <v>1225</v>
      </c>
      <c r="D122" s="5" t="s">
        <v>33</v>
      </c>
      <c r="E122" s="5" t="s">
        <v>34</v>
      </c>
      <c r="F122" s="13">
        <v>114</v>
      </c>
      <c r="G122" s="13" t="s">
        <v>151</v>
      </c>
      <c r="H122" s="13">
        <v>54</v>
      </c>
      <c r="I122" s="13"/>
      <c r="J122" s="13"/>
      <c r="K122" s="13"/>
      <c r="L122" s="13"/>
      <c r="M122" s="13"/>
      <c r="N122" s="65">
        <v>24.64</v>
      </c>
      <c r="O122" s="65">
        <v>13.4</v>
      </c>
      <c r="P122" s="65">
        <v>4.28</v>
      </c>
      <c r="Q122" s="65">
        <v>10.3</v>
      </c>
      <c r="R122" s="65">
        <v>4.25</v>
      </c>
      <c r="S122" s="65">
        <v>7</v>
      </c>
      <c r="T122" s="14">
        <f>N122+O122+P122+Q122+R122+S122</f>
        <v>63.870000000000005</v>
      </c>
      <c r="V122" s="15">
        <f>(((N122/45)*100)*H122)/$H$190</f>
        <v>1.769182901728017E-2</v>
      </c>
      <c r="W122" s="15">
        <f>(((O122/15)*100)*H122)/$H$190</f>
        <v>2.8864104159685988E-2</v>
      </c>
      <c r="X122" s="49"/>
      <c r="Y122" s="15">
        <f>(T122*H122)/$H$190</f>
        <v>2.0636757455363558E-2</v>
      </c>
    </row>
    <row r="123" spans="1:25" x14ac:dyDescent="0.3">
      <c r="A123" s="5">
        <v>35</v>
      </c>
      <c r="B123" s="5">
        <v>3500</v>
      </c>
      <c r="C123" s="5">
        <v>1226</v>
      </c>
      <c r="D123" s="5" t="s">
        <v>33</v>
      </c>
      <c r="E123" s="5" t="s">
        <v>34</v>
      </c>
      <c r="F123" s="13">
        <v>115</v>
      </c>
      <c r="G123" s="13" t="s">
        <v>152</v>
      </c>
      <c r="H123" s="13">
        <v>2143</v>
      </c>
      <c r="I123" s="13"/>
      <c r="J123" s="13"/>
      <c r="K123" s="13"/>
      <c r="L123" s="13"/>
      <c r="M123" s="13"/>
      <c r="N123" s="64">
        <v>24.34</v>
      </c>
      <c r="O123" s="64">
        <v>7.5</v>
      </c>
      <c r="P123" s="64">
        <v>7</v>
      </c>
      <c r="Q123" s="64">
        <v>11.27</v>
      </c>
      <c r="R123" s="64">
        <v>3.5</v>
      </c>
      <c r="S123" s="64">
        <v>7.54</v>
      </c>
      <c r="T123" s="14">
        <f>N123+O123+P123+Q123+R123+S123</f>
        <v>61.15</v>
      </c>
      <c r="V123" s="15">
        <f>(((N123/45)*100)*H123)/$H$190</f>
        <v>0.69355517261553346</v>
      </c>
      <c r="W123" s="15">
        <f>(((O123/15)*100)*H123)/$H$190</f>
        <v>0.64112536498970851</v>
      </c>
      <c r="X123" s="49"/>
      <c r="Y123" s="15">
        <f>(T123*H123)/$H$190</f>
        <v>0.78409632138241347</v>
      </c>
    </row>
    <row r="124" spans="1:25" s="27" customFormat="1" x14ac:dyDescent="0.3">
      <c r="A124" s="27">
        <v>35</v>
      </c>
      <c r="B124" s="27">
        <v>3500</v>
      </c>
      <c r="C124" s="27">
        <v>1227</v>
      </c>
      <c r="D124" s="27" t="s">
        <v>33</v>
      </c>
      <c r="E124" s="27" t="s">
        <v>34</v>
      </c>
      <c r="F124" s="28">
        <v>116</v>
      </c>
      <c r="G124" s="28" t="s">
        <v>153</v>
      </c>
      <c r="H124" s="28">
        <v>2721</v>
      </c>
      <c r="I124" s="28"/>
      <c r="J124" s="28"/>
      <c r="K124" s="28"/>
      <c r="L124" s="28"/>
      <c r="M124" s="28"/>
      <c r="N124" s="64">
        <v>32.25</v>
      </c>
      <c r="O124" s="64">
        <v>13.42</v>
      </c>
      <c r="P124" s="64">
        <v>7.6</v>
      </c>
      <c r="Q124" s="64">
        <v>11.57</v>
      </c>
      <c r="R124" s="64">
        <v>3.95</v>
      </c>
      <c r="S124" s="64">
        <v>6.8</v>
      </c>
      <c r="T124" s="29">
        <f>N124+O124+P124+Q124+R124+S124</f>
        <v>75.59</v>
      </c>
      <c r="U124" s="5"/>
      <c r="V124" s="30">
        <f>(((N124/45)*100)*H124)/$H$190</f>
        <v>1.1668002967785172</v>
      </c>
      <c r="W124" s="30">
        <f>(((O124/15)*100)*H124)/$H$190</f>
        <v>1.4566009286295531</v>
      </c>
      <c r="X124" s="43"/>
      <c r="Y124" s="30">
        <f>(T124*H124)/$H$190</f>
        <v>1.2306758293044853</v>
      </c>
    </row>
    <row r="125" spans="1:25" x14ac:dyDescent="0.3">
      <c r="A125" s="5">
        <v>35</v>
      </c>
      <c r="B125" s="5">
        <v>3500</v>
      </c>
      <c r="C125" s="5">
        <v>1228</v>
      </c>
      <c r="D125" s="5" t="s">
        <v>33</v>
      </c>
      <c r="E125" s="5" t="s">
        <v>34</v>
      </c>
      <c r="F125" s="13">
        <v>117</v>
      </c>
      <c r="G125" s="13" t="s">
        <v>154</v>
      </c>
      <c r="H125" s="13">
        <v>1146</v>
      </c>
      <c r="I125" s="13"/>
      <c r="J125" s="13"/>
      <c r="K125" s="13"/>
      <c r="L125" s="13"/>
      <c r="M125" s="13"/>
      <c r="N125" s="64">
        <v>23.24</v>
      </c>
      <c r="O125" s="64">
        <v>13.67</v>
      </c>
      <c r="P125" s="64">
        <v>7</v>
      </c>
      <c r="Q125" s="64">
        <v>10.5</v>
      </c>
      <c r="R125" s="64">
        <v>3.5</v>
      </c>
      <c r="S125" s="64">
        <v>7</v>
      </c>
      <c r="T125" s="14">
        <f>N125+O125+P125+Q125+R125+S125</f>
        <v>64.91</v>
      </c>
      <c r="V125" s="15">
        <f>(((N125/45)*100)*H125)/$H$190</f>
        <v>0.3541269765289678</v>
      </c>
      <c r="W125" s="15">
        <f>(((O125/15)*100)*H125)/$H$190</f>
        <v>0.62490306830692632</v>
      </c>
      <c r="X125" s="49"/>
      <c r="Y125" s="15">
        <f>(T125*H125)/$H$190</f>
        <v>0.44508915322387632</v>
      </c>
    </row>
    <row r="126" spans="1:25" x14ac:dyDescent="0.3">
      <c r="A126" s="5">
        <v>35</v>
      </c>
      <c r="B126" s="5">
        <v>3500</v>
      </c>
      <c r="C126" s="5">
        <v>1120</v>
      </c>
      <c r="D126" s="5" t="s">
        <v>33</v>
      </c>
      <c r="E126" s="5" t="s">
        <v>34</v>
      </c>
      <c r="F126" s="13">
        <v>118</v>
      </c>
      <c r="G126" s="13" t="s">
        <v>155</v>
      </c>
      <c r="H126" s="13">
        <v>1058</v>
      </c>
      <c r="I126" s="13"/>
      <c r="J126" s="13"/>
      <c r="K126" s="13"/>
      <c r="L126" s="13"/>
      <c r="M126" s="13"/>
      <c r="N126" s="65">
        <v>29.15</v>
      </c>
      <c r="O126" s="65">
        <v>14.34</v>
      </c>
      <c r="P126" s="65">
        <v>8.6300000000000008</v>
      </c>
      <c r="Q126" s="65">
        <v>10.92</v>
      </c>
      <c r="R126" s="65">
        <v>4.03</v>
      </c>
      <c r="S126" s="65">
        <v>8.35</v>
      </c>
      <c r="T126" s="14">
        <f>N126+O126+P126+Q126+R126+S126</f>
        <v>75.419999999999987</v>
      </c>
      <c r="V126" s="15">
        <f>(((N126/45)*100)*H126)/$H$190</f>
        <v>0.41007424781538027</v>
      </c>
      <c r="W126" s="15">
        <f>(((O126/15)*100)*H126)/$H$190</f>
        <v>0.60519362404863331</v>
      </c>
      <c r="X126" s="49"/>
      <c r="Y126" s="15">
        <f>(T126*H126)/$H$190</f>
        <v>0.47744459336556405</v>
      </c>
    </row>
    <row r="127" spans="1:25" s="44" customFormat="1" x14ac:dyDescent="0.3">
      <c r="A127" s="44">
        <v>35</v>
      </c>
      <c r="B127" s="44">
        <v>3500</v>
      </c>
      <c r="C127" s="44">
        <v>1121</v>
      </c>
      <c r="D127" s="44" t="s">
        <v>33</v>
      </c>
      <c r="E127" s="44" t="s">
        <v>34</v>
      </c>
      <c r="F127" s="45">
        <v>119</v>
      </c>
      <c r="G127" s="45" t="s">
        <v>156</v>
      </c>
      <c r="H127" s="45">
        <v>2433</v>
      </c>
      <c r="I127" s="45"/>
      <c r="J127" s="45"/>
      <c r="K127" s="45"/>
      <c r="L127" s="45"/>
      <c r="M127" s="45"/>
      <c r="N127" s="65">
        <v>33.46</v>
      </c>
      <c r="O127" s="65">
        <v>12.33</v>
      </c>
      <c r="P127" s="65">
        <v>4.46</v>
      </c>
      <c r="Q127" s="65">
        <v>8.02</v>
      </c>
      <c r="R127" s="65">
        <v>3.65</v>
      </c>
      <c r="S127" s="65">
        <v>5.56</v>
      </c>
      <c r="T127" s="46">
        <f>N127+O127+P127+Q127+R127+S127</f>
        <v>67.47999999999999</v>
      </c>
      <c r="U127" s="5"/>
      <c r="V127" s="47">
        <f>(((N127/45)*100)*H127)/$H$190</f>
        <v>1.0824461889489891</v>
      </c>
      <c r="W127" s="47">
        <f>(((O127/15)*100)*H127)/$H$190</f>
        <v>1.1966432913694891</v>
      </c>
      <c r="X127" s="48"/>
      <c r="Y127" s="15">
        <f>(T127*H127)/$H$190</f>
        <v>0.98235388444784821</v>
      </c>
    </row>
    <row r="128" spans="1:25" x14ac:dyDescent="0.3">
      <c r="A128" s="5">
        <v>35</v>
      </c>
      <c r="B128" s="5">
        <v>3500</v>
      </c>
      <c r="C128" s="5">
        <v>1122</v>
      </c>
      <c r="D128" s="5" t="s">
        <v>33</v>
      </c>
      <c r="E128" s="5" t="s">
        <v>34</v>
      </c>
      <c r="F128" s="13">
        <v>120</v>
      </c>
      <c r="G128" s="13" t="s">
        <v>157</v>
      </c>
      <c r="H128" s="13">
        <v>1273</v>
      </c>
      <c r="I128" s="13"/>
      <c r="J128" s="13"/>
      <c r="K128" s="13"/>
      <c r="L128" s="13"/>
      <c r="M128" s="13"/>
      <c r="N128" s="65">
        <v>23.58</v>
      </c>
      <c r="O128" s="65">
        <v>7.9</v>
      </c>
      <c r="P128" s="65">
        <v>6.48</v>
      </c>
      <c r="Q128" s="65">
        <v>10.66</v>
      </c>
      <c r="R128" s="65">
        <v>4.03</v>
      </c>
      <c r="S128" s="65">
        <v>7</v>
      </c>
      <c r="T128" s="14">
        <f>N128+O128+P128+Q128+R128+S128</f>
        <v>59.649999999999991</v>
      </c>
      <c r="V128" s="15">
        <f>(((N128/45)*100)*H128)/$H$190</f>
        <v>0.39912641807476895</v>
      </c>
      <c r="W128" s="15">
        <f>(((O128/15)*100)*H128)/$H$190</f>
        <v>0.40115759577489513</v>
      </c>
      <c r="X128" s="49"/>
      <c r="Y128" s="15">
        <f>(T128*H128)/$H$190</f>
        <v>0.45434906179694595</v>
      </c>
    </row>
    <row r="129" spans="1:25" x14ac:dyDescent="0.3">
      <c r="A129" s="5">
        <v>35</v>
      </c>
      <c r="B129" s="5">
        <v>3500</v>
      </c>
      <c r="C129" s="5">
        <v>1123</v>
      </c>
      <c r="D129" s="5" t="s">
        <v>33</v>
      </c>
      <c r="E129" s="5" t="s">
        <v>34</v>
      </c>
      <c r="F129" s="13">
        <v>121</v>
      </c>
      <c r="G129" s="13" t="s">
        <v>158</v>
      </c>
      <c r="H129" s="13">
        <v>1332</v>
      </c>
      <c r="I129" s="13"/>
      <c r="J129" s="13"/>
      <c r="K129" s="13"/>
      <c r="L129" s="13"/>
      <c r="M129" s="13"/>
      <c r="N129" s="65">
        <v>23.17</v>
      </c>
      <c r="O129" s="65">
        <v>11.2</v>
      </c>
      <c r="P129" s="65">
        <v>6.48</v>
      </c>
      <c r="Q129" s="65">
        <v>11.18</v>
      </c>
      <c r="R129" s="65">
        <v>4.03</v>
      </c>
      <c r="S129" s="65">
        <v>8.0500000000000007</v>
      </c>
      <c r="T129" s="14">
        <f>N129+O129+P129+Q129+R129+S129</f>
        <v>64.110000000000014</v>
      </c>
      <c r="V129" s="15">
        <f>(((N129/45)*100)*H129)/$H$190</f>
        <v>0.41036331434589063</v>
      </c>
      <c r="W129" s="15">
        <f>(((O129/15)*100)*H129)/$H$190</f>
        <v>0.59508879421760563</v>
      </c>
      <c r="X129" s="49"/>
      <c r="Y129" s="15">
        <f>(T129*H129)/$H$190</f>
        <v>0.51095280264228626</v>
      </c>
    </row>
    <row r="130" spans="1:25" x14ac:dyDescent="0.3">
      <c r="A130" s="5">
        <v>35</v>
      </c>
      <c r="B130" s="5">
        <v>3500</v>
      </c>
      <c r="C130" s="5">
        <v>1124</v>
      </c>
      <c r="D130" s="5" t="s">
        <v>33</v>
      </c>
      <c r="E130" s="5" t="s">
        <v>34</v>
      </c>
      <c r="F130" s="13">
        <v>122</v>
      </c>
      <c r="G130" s="13" t="s">
        <v>159</v>
      </c>
      <c r="H130" s="13">
        <v>1045</v>
      </c>
      <c r="I130" s="13"/>
      <c r="J130" s="13"/>
      <c r="K130" s="13"/>
      <c r="L130" s="13"/>
      <c r="M130" s="13"/>
      <c r="N130" s="65">
        <v>27.22</v>
      </c>
      <c r="O130" s="65">
        <v>13.31</v>
      </c>
      <c r="P130" s="65">
        <v>6</v>
      </c>
      <c r="Q130" s="65">
        <v>8.68</v>
      </c>
      <c r="R130" s="65">
        <v>4.03</v>
      </c>
      <c r="S130" s="65">
        <v>7.08</v>
      </c>
      <c r="T130" s="14">
        <f>N130+O130+P130+Q130+R130+S130</f>
        <v>66.320000000000007</v>
      </c>
      <c r="V130" s="15">
        <f>(((N130/45)*100)*H130)/$H$190</f>
        <v>0.37821842473367051</v>
      </c>
      <c r="W130" s="15">
        <f>(((O130/15)*100)*H130)/$H$190</f>
        <v>0.55482225200644619</v>
      </c>
      <c r="X130" s="49"/>
      <c r="Y130" s="15">
        <f>(T130*H130)/$H$190</f>
        <v>0.41467856971901779</v>
      </c>
    </row>
    <row r="131" spans="1:25" s="27" customFormat="1" x14ac:dyDescent="0.3">
      <c r="A131" s="27">
        <v>35</v>
      </c>
      <c r="B131" s="27">
        <v>3500</v>
      </c>
      <c r="C131" s="27">
        <v>1067</v>
      </c>
      <c r="D131" s="27" t="s">
        <v>33</v>
      </c>
      <c r="E131" s="27" t="s">
        <v>34</v>
      </c>
      <c r="F131" s="28">
        <v>123</v>
      </c>
      <c r="G131" s="28" t="s">
        <v>160</v>
      </c>
      <c r="H131" s="28">
        <v>1000</v>
      </c>
      <c r="I131" s="28"/>
      <c r="J131" s="28"/>
      <c r="K131" s="28"/>
      <c r="L131" s="28"/>
      <c r="M131" s="28"/>
      <c r="N131" s="65">
        <v>30</v>
      </c>
      <c r="O131" s="65">
        <v>9.85</v>
      </c>
      <c r="P131" s="65">
        <v>7.23</v>
      </c>
      <c r="Q131" s="65">
        <v>11.72</v>
      </c>
      <c r="R131" s="65">
        <v>4.18</v>
      </c>
      <c r="S131" s="65">
        <v>7</v>
      </c>
      <c r="T131" s="29">
        <f>N131+O131+P131+Q131+R131+S131</f>
        <v>69.97999999999999</v>
      </c>
      <c r="U131" s="5"/>
      <c r="V131" s="30">
        <f>(((N131/45)*100)*H131)/$H$190</f>
        <v>0.39889585626984503</v>
      </c>
      <c r="W131" s="30">
        <f>(((O131/15)*100)*H131)/$H$190</f>
        <v>0.39291241842579733</v>
      </c>
      <c r="X131" s="43"/>
      <c r="Y131" s="30">
        <f>(T131*H131)/$H$190</f>
        <v>0.41872098032645627</v>
      </c>
    </row>
    <row r="132" spans="1:25" x14ac:dyDescent="0.3">
      <c r="A132" s="5">
        <v>35</v>
      </c>
      <c r="B132" s="5">
        <v>3500</v>
      </c>
      <c r="C132" s="5">
        <v>1068</v>
      </c>
      <c r="D132" s="5" t="s">
        <v>33</v>
      </c>
      <c r="E132" s="5" t="s">
        <v>34</v>
      </c>
      <c r="F132" s="13">
        <v>124</v>
      </c>
      <c r="G132" s="13" t="s">
        <v>161</v>
      </c>
      <c r="H132" s="13">
        <v>1403</v>
      </c>
      <c r="I132" s="13"/>
      <c r="J132" s="13"/>
      <c r="K132" s="13"/>
      <c r="L132" s="13"/>
      <c r="M132" s="13"/>
      <c r="N132" s="65">
        <v>21.53</v>
      </c>
      <c r="O132" s="65">
        <v>14.91</v>
      </c>
      <c r="P132" s="65">
        <v>8.5</v>
      </c>
      <c r="Q132" s="65">
        <v>11.1</v>
      </c>
      <c r="R132" s="65">
        <v>4.25</v>
      </c>
      <c r="S132" s="65">
        <v>6.55</v>
      </c>
      <c r="T132" s="14">
        <f>N132+O132+P132+Q132+R132+S132</f>
        <v>66.84</v>
      </c>
      <c r="V132" s="15">
        <f>(((N132/45)*100)*H132)/$H$190</f>
        <v>0.40164278610140469</v>
      </c>
      <c r="W132" s="15">
        <f>(((O132/15)*100)*H132)/$H$190</f>
        <v>0.83443947154276965</v>
      </c>
      <c r="X132" s="49"/>
      <c r="Y132" s="15">
        <f>(T132*H132)/$H$190</f>
        <v>0.5611059786510938</v>
      </c>
    </row>
    <row r="133" spans="1:25" x14ac:dyDescent="0.3">
      <c r="A133" s="5">
        <v>35</v>
      </c>
      <c r="B133" s="5">
        <v>3500</v>
      </c>
      <c r="C133" s="5">
        <v>1069</v>
      </c>
      <c r="D133" s="5" t="s">
        <v>33</v>
      </c>
      <c r="E133" s="5" t="s">
        <v>34</v>
      </c>
      <c r="F133" s="13">
        <v>125</v>
      </c>
      <c r="G133" s="13" t="s">
        <v>162</v>
      </c>
      <c r="H133" s="13">
        <v>1370</v>
      </c>
      <c r="I133" s="13"/>
      <c r="J133" s="13"/>
      <c r="K133" s="13"/>
      <c r="L133" s="13"/>
      <c r="M133" s="13"/>
      <c r="N133" s="65">
        <v>30.94</v>
      </c>
      <c r="O133" s="65">
        <v>15</v>
      </c>
      <c r="P133" s="65">
        <v>7.23</v>
      </c>
      <c r="Q133" s="65">
        <v>11.72</v>
      </c>
      <c r="R133" s="65">
        <v>4.18</v>
      </c>
      <c r="S133" s="65">
        <v>7.75</v>
      </c>
      <c r="T133" s="14">
        <f>N133+O133+P133+Q133+R133+S133</f>
        <v>76.819999999999993</v>
      </c>
      <c r="V133" s="15">
        <f>(((N133/45)*100)*H133)/$H$190</f>
        <v>0.56361059254649803</v>
      </c>
      <c r="W133" s="15">
        <f>(((O133/15)*100)*H133)/$H$190</f>
        <v>0.81973098463453165</v>
      </c>
      <c r="X133" s="49"/>
      <c r="Y133" s="15">
        <f>(T133*H133)/$H$190</f>
        <v>0.6297173423962471</v>
      </c>
    </row>
    <row r="134" spans="1:25" x14ac:dyDescent="0.3">
      <c r="A134" s="5">
        <v>35</v>
      </c>
      <c r="B134" s="5">
        <v>3500</v>
      </c>
      <c r="C134" s="5">
        <v>1070</v>
      </c>
      <c r="D134" s="5" t="s">
        <v>33</v>
      </c>
      <c r="E134" s="5" t="s">
        <v>34</v>
      </c>
      <c r="F134" s="13">
        <v>126</v>
      </c>
      <c r="G134" s="13" t="s">
        <v>163</v>
      </c>
      <c r="H134" s="13">
        <v>1787</v>
      </c>
      <c r="I134" s="13"/>
      <c r="J134" s="13"/>
      <c r="K134" s="13"/>
      <c r="L134" s="13"/>
      <c r="M134" s="13"/>
      <c r="N134" s="65">
        <v>27.97</v>
      </c>
      <c r="O134" s="65">
        <v>12.78</v>
      </c>
      <c r="P134" s="65">
        <v>4.1399999999999997</v>
      </c>
      <c r="Q134" s="65">
        <v>7.22</v>
      </c>
      <c r="R134" s="65">
        <v>2.9</v>
      </c>
      <c r="S134" s="65">
        <v>4.96</v>
      </c>
      <c r="T134" s="14">
        <f>N134+O134+P134+Q134+R134+S134</f>
        <v>59.97</v>
      </c>
      <c r="V134" s="15">
        <f>(((N134/45)*100)*H134)/$H$190</f>
        <v>0.66459227524877795</v>
      </c>
      <c r="W134" s="15">
        <f>(((O134/15)*100)*H134)/$H$190</f>
        <v>0.91099277200708439</v>
      </c>
      <c r="X134" s="49"/>
      <c r="Y134" s="15">
        <f>(T134*H134)/$H$190</f>
        <v>0.64122343353597244</v>
      </c>
    </row>
    <row r="135" spans="1:25" x14ac:dyDescent="0.3">
      <c r="A135" s="5">
        <v>35</v>
      </c>
      <c r="B135" s="5">
        <v>3500</v>
      </c>
      <c r="C135" s="5">
        <v>1071</v>
      </c>
      <c r="D135" s="5" t="s">
        <v>33</v>
      </c>
      <c r="E135" s="5" t="s">
        <v>34</v>
      </c>
      <c r="F135" s="13">
        <v>127</v>
      </c>
      <c r="G135" s="13" t="s">
        <v>164</v>
      </c>
      <c r="H135" s="13">
        <v>1096</v>
      </c>
      <c r="I135" s="13"/>
      <c r="J135" s="13"/>
      <c r="K135" s="13"/>
      <c r="L135" s="13"/>
      <c r="M135" s="13"/>
      <c r="N135" s="65">
        <v>25.69</v>
      </c>
      <c r="O135" s="65">
        <v>13</v>
      </c>
      <c r="P135" s="65">
        <v>6.15</v>
      </c>
      <c r="Q135" s="65">
        <v>9.64</v>
      </c>
      <c r="R135" s="65">
        <v>3.8</v>
      </c>
      <c r="S135" s="65">
        <v>7</v>
      </c>
      <c r="T135" s="14">
        <f>N135+O135+P135+Q135+R135+S135</f>
        <v>65.28</v>
      </c>
      <c r="V135" s="15">
        <f>(((N135/45)*100)*H135)/$H$190</f>
        <v>0.3743802488046421</v>
      </c>
      <c r="W135" s="15">
        <f>(((O135/15)*100)*H135)/$H$190</f>
        <v>0.5683468160132753</v>
      </c>
      <c r="X135" s="49"/>
      <c r="Y135" s="15">
        <f>(T135*H135)/$H$190</f>
        <v>0.42809630941553783</v>
      </c>
    </row>
    <row r="136" spans="1:25" x14ac:dyDescent="0.3">
      <c r="A136" s="5">
        <v>35</v>
      </c>
      <c r="B136" s="5">
        <v>3500</v>
      </c>
      <c r="C136" s="5">
        <v>1072</v>
      </c>
      <c r="D136" s="5" t="s">
        <v>33</v>
      </c>
      <c r="E136" s="5" t="s">
        <v>34</v>
      </c>
      <c r="F136" s="13">
        <v>128</v>
      </c>
      <c r="G136" s="13" t="s">
        <v>165</v>
      </c>
      <c r="H136" s="13">
        <v>1727</v>
      </c>
      <c r="I136" s="13"/>
      <c r="J136" s="13"/>
      <c r="K136" s="13"/>
      <c r="L136" s="13"/>
      <c r="M136" s="13"/>
      <c r="N136" s="65">
        <v>29.38</v>
      </c>
      <c r="O136" s="65">
        <v>13.2</v>
      </c>
      <c r="P136" s="65">
        <v>5.14</v>
      </c>
      <c r="Q136" s="65">
        <v>9.1300000000000008</v>
      </c>
      <c r="R136" s="65">
        <v>3.33</v>
      </c>
      <c r="S136" s="65">
        <v>5.7</v>
      </c>
      <c r="T136" s="14">
        <f>N136+O136+P136+Q136+R136+S136</f>
        <v>65.88</v>
      </c>
      <c r="V136" s="15">
        <f>(((N136/45)*100)*H136)/$H$190</f>
        <v>0.67465601880660997</v>
      </c>
      <c r="W136" s="15">
        <f>(((O136/15)*100)*H136)/$H$190</f>
        <v>0.90933894978698959</v>
      </c>
      <c r="X136" s="49"/>
      <c r="Y136" s="15">
        <f>(T136*H136)/$H$190</f>
        <v>0.68076420468144172</v>
      </c>
    </row>
    <row r="137" spans="1:25" x14ac:dyDescent="0.3">
      <c r="A137" s="5">
        <v>35</v>
      </c>
      <c r="B137" s="5">
        <v>3500</v>
      </c>
      <c r="C137" s="5">
        <v>1128</v>
      </c>
      <c r="D137" s="5" t="s">
        <v>33</v>
      </c>
      <c r="E137" s="5" t="s">
        <v>34</v>
      </c>
      <c r="F137" s="13">
        <v>129</v>
      </c>
      <c r="G137" s="13" t="s">
        <v>166</v>
      </c>
      <c r="H137" s="13">
        <v>1341</v>
      </c>
      <c r="I137" s="13"/>
      <c r="J137" s="13"/>
      <c r="K137" s="13"/>
      <c r="L137" s="13"/>
      <c r="M137" s="13"/>
      <c r="N137" s="65">
        <v>23.22</v>
      </c>
      <c r="O137" s="65">
        <v>11.71</v>
      </c>
      <c r="P137" s="65">
        <v>6.4</v>
      </c>
      <c r="Q137" s="65">
        <v>12.63</v>
      </c>
      <c r="R137" s="65">
        <v>3.5</v>
      </c>
      <c r="S137" s="65">
        <v>7.17</v>
      </c>
      <c r="T137" s="14">
        <f>N137+O137+P137+Q137+R137+S137</f>
        <v>64.63</v>
      </c>
      <c r="V137" s="15">
        <f>(((N137/45)*100)*H137)/$H$190</f>
        <v>0.41402757168158538</v>
      </c>
      <c r="W137" s="15">
        <f>(((O137/15)*100)*H137)/$H$190</f>
        <v>0.62639055095495677</v>
      </c>
      <c r="X137" s="49"/>
      <c r="Y137" s="15">
        <f>(T137*H137)/$H$190</f>
        <v>0.51857755732133448</v>
      </c>
    </row>
    <row r="138" spans="1:25" s="27" customFormat="1" x14ac:dyDescent="0.3">
      <c r="A138" s="27">
        <v>35</v>
      </c>
      <c r="B138" s="27">
        <v>3500</v>
      </c>
      <c r="C138" s="27">
        <v>122204</v>
      </c>
      <c r="D138" s="27" t="s">
        <v>33</v>
      </c>
      <c r="E138" s="27" t="s">
        <v>34</v>
      </c>
      <c r="F138" s="28">
        <v>130</v>
      </c>
      <c r="G138" s="28" t="s">
        <v>167</v>
      </c>
      <c r="H138" s="28">
        <v>1046</v>
      </c>
      <c r="I138" s="28"/>
      <c r="J138" s="28"/>
      <c r="K138" s="28"/>
      <c r="L138" s="28"/>
      <c r="M138" s="28"/>
      <c r="N138" s="65">
        <v>24.59</v>
      </c>
      <c r="O138" s="65">
        <v>9.84</v>
      </c>
      <c r="P138" s="65">
        <v>7.23</v>
      </c>
      <c r="Q138" s="65">
        <v>11.13</v>
      </c>
      <c r="R138" s="65">
        <v>3.83</v>
      </c>
      <c r="S138" s="65">
        <v>7.3</v>
      </c>
      <c r="T138" s="29">
        <f>N138+O138+P138+Q138+R138+S138</f>
        <v>63.919999999999995</v>
      </c>
      <c r="U138" s="5"/>
      <c r="V138" s="30">
        <f>(((N138/45)*100)*H138)/$H$190</f>
        <v>0.34200187215121869</v>
      </c>
      <c r="W138" s="30">
        <f>(((O138/15)*100)*H138)/$H$190</f>
        <v>0.41056914460772587</v>
      </c>
      <c r="X138" s="43"/>
      <c r="Y138" s="30">
        <f>(T138*H138)/$H$190</f>
        <v>0.40005456895313768</v>
      </c>
    </row>
    <row r="139" spans="1:25" x14ac:dyDescent="0.3">
      <c r="A139" s="5">
        <v>35</v>
      </c>
      <c r="B139" s="5">
        <v>3500</v>
      </c>
      <c r="C139" s="5">
        <v>1125</v>
      </c>
      <c r="D139" s="5" t="s">
        <v>33</v>
      </c>
      <c r="E139" s="5" t="s">
        <v>34</v>
      </c>
      <c r="F139" s="13">
        <v>131</v>
      </c>
      <c r="G139" s="13" t="s">
        <v>168</v>
      </c>
      <c r="H139" s="13">
        <v>1921</v>
      </c>
      <c r="I139" s="13"/>
      <c r="J139" s="13"/>
      <c r="K139" s="13"/>
      <c r="L139" s="13"/>
      <c r="M139" s="13"/>
      <c r="N139" s="65">
        <v>22.88</v>
      </c>
      <c r="O139" s="65">
        <v>13.76</v>
      </c>
      <c r="P139" s="65">
        <v>7</v>
      </c>
      <c r="Q139" s="65">
        <v>12.63</v>
      </c>
      <c r="R139" s="65">
        <v>3.5</v>
      </c>
      <c r="S139" s="65">
        <v>7</v>
      </c>
      <c r="T139" s="14">
        <f>N139+O139+P139+Q139+R139+S139</f>
        <v>66.77000000000001</v>
      </c>
      <c r="V139" s="15">
        <f>(((N139/45)*100)*H139)/$H$190</f>
        <v>0.5844154048261081</v>
      </c>
      <c r="W139" s="15">
        <f>(((O139/15)*100)*H139)/$H$190</f>
        <v>1.0543998212946564</v>
      </c>
      <c r="X139" s="49"/>
      <c r="Y139" s="15">
        <f>(T139*H139)/$H$190</f>
        <v>0.76746667225120868</v>
      </c>
    </row>
    <row r="140" spans="1:25" x14ac:dyDescent="0.3">
      <c r="A140" s="5">
        <v>35</v>
      </c>
      <c r="B140" s="5">
        <v>3500</v>
      </c>
      <c r="C140" s="5">
        <v>1126</v>
      </c>
      <c r="D140" s="5" t="s">
        <v>33</v>
      </c>
      <c r="E140" s="5" t="s">
        <v>34</v>
      </c>
      <c r="F140" s="13">
        <v>132</v>
      </c>
      <c r="G140" s="13" t="s">
        <v>169</v>
      </c>
      <c r="H140" s="13">
        <v>1593</v>
      </c>
      <c r="I140" s="13"/>
      <c r="J140" s="13"/>
      <c r="K140" s="13"/>
      <c r="L140" s="13"/>
      <c r="M140" s="13"/>
      <c r="N140" s="65">
        <v>19.649999999999999</v>
      </c>
      <c r="O140" s="65">
        <v>10</v>
      </c>
      <c r="P140" s="65">
        <v>6.8</v>
      </c>
      <c r="Q140" s="65">
        <v>12.63</v>
      </c>
      <c r="R140" s="65">
        <v>3.5</v>
      </c>
      <c r="S140" s="65">
        <v>6.16</v>
      </c>
      <c r="T140" s="14">
        <f>N140+O140+P140+Q140+R140+S140</f>
        <v>58.739999999999995</v>
      </c>
      <c r="V140" s="15">
        <f>(((N140/45)*100)*H140)/$H$190</f>
        <v>0.41621391986980039</v>
      </c>
      <c r="W140" s="15">
        <f>(((O140/15)*100)*H140)/$H$190</f>
        <v>0.63544109903786306</v>
      </c>
      <c r="X140" s="49"/>
      <c r="Y140" s="15">
        <f>(T140*H140)/$H$190</f>
        <v>0.55988715236226116</v>
      </c>
    </row>
    <row r="141" spans="1:25" x14ac:dyDescent="0.3">
      <c r="A141" s="5">
        <v>35</v>
      </c>
      <c r="B141" s="5">
        <v>3500</v>
      </c>
      <c r="C141" s="5">
        <v>1127</v>
      </c>
      <c r="D141" s="5" t="s">
        <v>33</v>
      </c>
      <c r="E141" s="5" t="s">
        <v>34</v>
      </c>
      <c r="F141" s="13">
        <v>133</v>
      </c>
      <c r="G141" s="13" t="s">
        <v>170</v>
      </c>
      <c r="H141" s="13">
        <v>1246</v>
      </c>
      <c r="I141" s="13"/>
      <c r="J141" s="13"/>
      <c r="K141" s="13"/>
      <c r="L141" s="13"/>
      <c r="M141" s="13"/>
      <c r="N141" s="65">
        <v>31.44</v>
      </c>
      <c r="O141" s="65">
        <v>7.5</v>
      </c>
      <c r="P141" s="65">
        <v>8.2799999999999994</v>
      </c>
      <c r="Q141" s="65">
        <v>12.75</v>
      </c>
      <c r="R141" s="65">
        <v>3.9</v>
      </c>
      <c r="S141" s="65">
        <v>7.99</v>
      </c>
      <c r="T141" s="14">
        <f>N141+O141+P141+Q141+R141+S141</f>
        <v>71.86</v>
      </c>
      <c r="V141" s="15">
        <f>(((N141/45)*100)*H141)/$H$190</f>
        <v>0.52088140028401375</v>
      </c>
      <c r="W141" s="15">
        <f>(((O141/15)*100)*H141)/$H$190</f>
        <v>0.3727681776841702</v>
      </c>
      <c r="X141" s="49"/>
      <c r="Y141" s="15">
        <f>(T141*H141)/$H$190</f>
        <v>0.53574242496768942</v>
      </c>
    </row>
    <row r="142" spans="1:25" x14ac:dyDescent="0.3">
      <c r="A142" s="5">
        <v>35</v>
      </c>
      <c r="B142" s="5">
        <v>3500</v>
      </c>
      <c r="C142" s="5">
        <v>1129</v>
      </c>
      <c r="D142" s="5" t="s">
        <v>33</v>
      </c>
      <c r="E142" s="5" t="s">
        <v>34</v>
      </c>
      <c r="F142" s="13">
        <v>134</v>
      </c>
      <c r="G142" s="13" t="s">
        <v>171</v>
      </c>
      <c r="H142" s="13">
        <v>1884</v>
      </c>
      <c r="I142" s="13"/>
      <c r="J142" s="13"/>
      <c r="K142" s="13"/>
      <c r="L142" s="13"/>
      <c r="M142" s="13"/>
      <c r="N142" s="65">
        <v>27.13</v>
      </c>
      <c r="O142" s="65">
        <v>8.9</v>
      </c>
      <c r="P142" s="65">
        <v>7.68</v>
      </c>
      <c r="Q142" s="65">
        <v>12.05</v>
      </c>
      <c r="R142" s="65">
        <v>4.25</v>
      </c>
      <c r="S142" s="65">
        <v>8.5</v>
      </c>
      <c r="T142" s="14">
        <f>N142+O142+P142+Q142+R142+S142</f>
        <v>68.510000000000005</v>
      </c>
      <c r="V142" s="15">
        <f>(((N142/45)*100)*H142)/$H$190</f>
        <v>0.67962439966173638</v>
      </c>
      <c r="W142" s="15">
        <f>(((O142/15)*100)*H142)/$H$190</f>
        <v>0.66885261595902545</v>
      </c>
      <c r="X142" s="49"/>
      <c r="Y142" s="15">
        <f>(T142*H142)/$H$190</f>
        <v>0.77229931549471076</v>
      </c>
    </row>
    <row r="143" spans="1:25" x14ac:dyDescent="0.3">
      <c r="A143" s="5">
        <v>35</v>
      </c>
      <c r="B143" s="5">
        <v>3500</v>
      </c>
      <c r="C143" s="5">
        <v>1131</v>
      </c>
      <c r="D143" s="5" t="s">
        <v>33</v>
      </c>
      <c r="E143" s="5" t="s">
        <v>34</v>
      </c>
      <c r="F143" s="13">
        <v>135</v>
      </c>
      <c r="G143" s="13" t="s">
        <v>172</v>
      </c>
      <c r="H143" s="13">
        <v>1337</v>
      </c>
      <c r="I143" s="13"/>
      <c r="J143" s="13"/>
      <c r="K143" s="13"/>
      <c r="L143" s="13"/>
      <c r="M143" s="13"/>
      <c r="N143" s="65">
        <v>26.07</v>
      </c>
      <c r="O143" s="65">
        <v>7.85</v>
      </c>
      <c r="P143" s="65">
        <v>6.78</v>
      </c>
      <c r="Q143" s="65">
        <v>11.57</v>
      </c>
      <c r="R143" s="65">
        <v>4.18</v>
      </c>
      <c r="S143" s="65">
        <v>7.15</v>
      </c>
      <c r="T143" s="14">
        <f>N143+O143+P143+Q143+R143+S143</f>
        <v>63.6</v>
      </c>
      <c r="V143" s="15">
        <f>(((N143/45)*100)*H143)/$H$190</f>
        <v>0.46345834729468832</v>
      </c>
      <c r="W143" s="15">
        <f>(((O143/15)*100)*H143)/$H$190</f>
        <v>0.4186591514687345</v>
      </c>
      <c r="X143" s="49"/>
      <c r="Y143" s="15">
        <f>(T143*H143)/$H$190</f>
        <v>0.50879086688047481</v>
      </c>
    </row>
    <row r="144" spans="1:25" x14ac:dyDescent="0.3">
      <c r="A144" s="5">
        <v>35</v>
      </c>
      <c r="B144" s="5">
        <v>3500</v>
      </c>
      <c r="C144" s="5">
        <v>122206</v>
      </c>
      <c r="D144" s="5" t="s">
        <v>33</v>
      </c>
      <c r="E144" s="5" t="s">
        <v>34</v>
      </c>
      <c r="F144" s="13">
        <v>136</v>
      </c>
      <c r="G144" s="13" t="s">
        <v>173</v>
      </c>
      <c r="H144" s="13">
        <v>1372</v>
      </c>
      <c r="I144" s="13"/>
      <c r="J144" s="13"/>
      <c r="K144" s="13"/>
      <c r="L144" s="13"/>
      <c r="M144" s="13"/>
      <c r="N144" s="65">
        <v>21.51</v>
      </c>
      <c r="O144" s="65">
        <v>8.5</v>
      </c>
      <c r="P144" s="65">
        <v>7</v>
      </c>
      <c r="Q144" s="65">
        <v>12.63</v>
      </c>
      <c r="R144" s="65">
        <v>3.5</v>
      </c>
      <c r="S144" s="65">
        <v>7</v>
      </c>
      <c r="T144" s="14">
        <f>N144+O144+P144+Q144+R144+S144</f>
        <v>60.140000000000008</v>
      </c>
      <c r="V144" s="15">
        <f>(((N144/45)*100)*H144)/$H$190</f>
        <v>0.39240342731319711</v>
      </c>
      <c r="W144" s="15">
        <f>(((O144/15)*100)*H144)/$H$190</f>
        <v>0.46519234758189326</v>
      </c>
      <c r="X144" s="49"/>
      <c r="Y144" s="15">
        <f>(T144*H144)/$H$190</f>
        <v>0.49370590206308945</v>
      </c>
    </row>
    <row r="145" spans="1:25" x14ac:dyDescent="0.3">
      <c r="A145" s="5">
        <v>35</v>
      </c>
      <c r="B145" s="5">
        <v>3500</v>
      </c>
      <c r="C145" s="5">
        <v>1132</v>
      </c>
      <c r="D145" s="5" t="s">
        <v>33</v>
      </c>
      <c r="E145" s="5" t="s">
        <v>34</v>
      </c>
      <c r="F145" s="13">
        <v>137</v>
      </c>
      <c r="G145" s="13" t="s">
        <v>174</v>
      </c>
      <c r="H145" s="13">
        <v>1733</v>
      </c>
      <c r="I145" s="13"/>
      <c r="J145" s="13"/>
      <c r="K145" s="13"/>
      <c r="L145" s="13"/>
      <c r="M145" s="13"/>
      <c r="N145" s="64">
        <v>12.4</v>
      </c>
      <c r="O145" s="64">
        <v>13.37</v>
      </c>
      <c r="P145" s="64">
        <v>7.21</v>
      </c>
      <c r="Q145" s="64">
        <v>12.51</v>
      </c>
      <c r="R145" s="64">
        <v>3.5</v>
      </c>
      <c r="S145" s="64">
        <v>7</v>
      </c>
      <c r="T145" s="14">
        <f>N145+O145+P145+Q145+R145+S145</f>
        <v>55.989999999999995</v>
      </c>
      <c r="V145" s="15">
        <f>(((N145/45)*100)*H145)/$H$190</f>
        <v>0.28573176115179849</v>
      </c>
      <c r="W145" s="15">
        <f>(((O145/15)*100)*H145)/$H$190</f>
        <v>0.92425007579021257</v>
      </c>
      <c r="X145" s="49"/>
      <c r="Y145" s="15">
        <f>(T145*H145)/$H$190</f>
        <v>0.58057698291130155</v>
      </c>
    </row>
    <row r="146" spans="1:25" x14ac:dyDescent="0.3">
      <c r="A146" s="5">
        <v>35</v>
      </c>
      <c r="B146" s="5">
        <v>3500</v>
      </c>
      <c r="C146" s="5">
        <v>1133</v>
      </c>
      <c r="D146" s="5" t="s">
        <v>33</v>
      </c>
      <c r="E146" s="5" t="s">
        <v>34</v>
      </c>
      <c r="F146" s="13">
        <v>138</v>
      </c>
      <c r="G146" s="13" t="s">
        <v>175</v>
      </c>
      <c r="H146" s="13">
        <v>1347</v>
      </c>
      <c r="I146" s="13"/>
      <c r="J146" s="13"/>
      <c r="K146" s="13"/>
      <c r="L146" s="13"/>
      <c r="M146" s="13"/>
      <c r="N146" s="64">
        <v>26.61</v>
      </c>
      <c r="O146" s="64">
        <v>11.74</v>
      </c>
      <c r="P146" s="64">
        <v>7.21</v>
      </c>
      <c r="Q146" s="64">
        <v>12.63</v>
      </c>
      <c r="R146" s="64">
        <v>3.5</v>
      </c>
      <c r="S146" s="64">
        <v>7</v>
      </c>
      <c r="T146" s="14">
        <f>N146+O146+P146+Q146+R146+S146</f>
        <v>68.69</v>
      </c>
      <c r="V146" s="15">
        <f>(((N146/45)*100)*H146)/$H$190</f>
        <v>0.47659638121679188</v>
      </c>
      <c r="W146" s="15">
        <f>(((O146/15)*100)*H146)/$H$190</f>
        <v>0.63080513139629513</v>
      </c>
      <c r="X146" s="49"/>
      <c r="Y146" s="15">
        <f>(T146*H146)/$H$190</f>
        <v>0.55362015939878417</v>
      </c>
    </row>
    <row r="147" spans="1:25" x14ac:dyDescent="0.3">
      <c r="A147" s="5">
        <v>35</v>
      </c>
      <c r="B147" s="5">
        <v>3500</v>
      </c>
      <c r="C147" s="5">
        <v>1134</v>
      </c>
      <c r="D147" s="5" t="s">
        <v>33</v>
      </c>
      <c r="E147" s="5" t="s">
        <v>34</v>
      </c>
      <c r="F147" s="13">
        <v>139</v>
      </c>
      <c r="G147" s="13" t="s">
        <v>176</v>
      </c>
      <c r="H147" s="13">
        <v>1144</v>
      </c>
      <c r="I147" s="13"/>
      <c r="J147" s="13"/>
      <c r="K147" s="13"/>
      <c r="L147" s="13"/>
      <c r="M147" s="13"/>
      <c r="N147" s="64">
        <v>25.16</v>
      </c>
      <c r="O147" s="64">
        <v>13.3</v>
      </c>
      <c r="P147" s="64">
        <v>4.5199999999999996</v>
      </c>
      <c r="Q147" s="64">
        <v>10.220000000000001</v>
      </c>
      <c r="R147" s="64">
        <v>2.85</v>
      </c>
      <c r="S147" s="64">
        <v>3.5</v>
      </c>
      <c r="T147" s="14">
        <f>N147+O147+P147+Q147+R147+S147</f>
        <v>59.550000000000004</v>
      </c>
      <c r="V147" s="15">
        <f>(((N147/45)*100)*H147)/$H$190</f>
        <v>0.38271451289497338</v>
      </c>
      <c r="W147" s="15">
        <f>(((O147/15)*100)*H147)/$H$190</f>
        <v>0.6069280232316947</v>
      </c>
      <c r="X147" s="49"/>
      <c r="Y147" s="15">
        <f>(T147*H147)/$H$190</f>
        <v>0.40762289981331679</v>
      </c>
    </row>
    <row r="148" spans="1:25" s="32" customFormat="1" x14ac:dyDescent="0.3">
      <c r="A148" s="32">
        <v>35</v>
      </c>
      <c r="B148" s="32">
        <v>3500</v>
      </c>
      <c r="C148" s="32">
        <v>1135</v>
      </c>
      <c r="D148" s="32" t="s">
        <v>33</v>
      </c>
      <c r="E148" s="32" t="s">
        <v>34</v>
      </c>
      <c r="F148" s="33">
        <v>140</v>
      </c>
      <c r="G148" s="33" t="s">
        <v>177</v>
      </c>
      <c r="H148" s="33">
        <v>2522</v>
      </c>
      <c r="I148" s="33"/>
      <c r="J148" s="33"/>
      <c r="K148" s="33"/>
      <c r="L148" s="33"/>
      <c r="M148" s="33"/>
      <c r="N148" s="64">
        <v>34.270000000000003</v>
      </c>
      <c r="O148" s="64">
        <v>12.25</v>
      </c>
      <c r="P148" s="64">
        <v>4.9000000000000004</v>
      </c>
      <c r="Q148" s="64">
        <v>8.1</v>
      </c>
      <c r="R148" s="64">
        <v>3.65</v>
      </c>
      <c r="S148" s="64">
        <v>4.96</v>
      </c>
      <c r="T148" s="34">
        <f>N148+O148+P148+Q148+R148+S148</f>
        <v>68.13</v>
      </c>
      <c r="U148" s="5"/>
      <c r="V148" s="16">
        <f>(((N148/45)*100)*H148)/$H$190</f>
        <v>1.149204867593169</v>
      </c>
      <c r="W148" s="16">
        <f>(((O148/15)*100)*H148)/$H$190</f>
        <v>1.232368803152873</v>
      </c>
      <c r="X148" s="50"/>
      <c r="Y148" s="15">
        <f>(T148*H148)/$H$190</f>
        <v>1.0280973864343497</v>
      </c>
    </row>
    <row r="149" spans="1:25" s="27" customFormat="1" x14ac:dyDescent="0.3">
      <c r="A149" s="27">
        <v>35</v>
      </c>
      <c r="B149" s="27">
        <v>3500</v>
      </c>
      <c r="C149" s="27">
        <v>1136</v>
      </c>
      <c r="D149" s="27" t="s">
        <v>33</v>
      </c>
      <c r="E149" s="27" t="s">
        <v>34</v>
      </c>
      <c r="F149" s="28">
        <v>141</v>
      </c>
      <c r="G149" s="28" t="s">
        <v>178</v>
      </c>
      <c r="H149" s="28">
        <v>1229</v>
      </c>
      <c r="I149" s="28"/>
      <c r="J149" s="28"/>
      <c r="K149" s="28"/>
      <c r="L149" s="28"/>
      <c r="M149" s="28"/>
      <c r="N149" s="64">
        <v>32.15</v>
      </c>
      <c r="O149" s="64">
        <v>9</v>
      </c>
      <c r="P149" s="64">
        <v>7.21</v>
      </c>
      <c r="Q149" s="64">
        <v>12.63</v>
      </c>
      <c r="R149" s="64">
        <v>3.5</v>
      </c>
      <c r="S149" s="64">
        <v>4.43</v>
      </c>
      <c r="T149" s="29">
        <f>N149+O149+P149+Q149+R149+S149</f>
        <v>68.920000000000016</v>
      </c>
      <c r="U149" s="5"/>
      <c r="V149" s="30">
        <f>(((N149/45)*100)*H149)/$H$190</f>
        <v>0.52537708954946039</v>
      </c>
      <c r="W149" s="30">
        <f>(((O149/15)*100)*H149)/$H$190</f>
        <v>0.44121870662007562</v>
      </c>
      <c r="X149" s="43"/>
      <c r="Y149" s="30">
        <f>(T149*H149)/$H$190</f>
        <v>0.50681322100426029</v>
      </c>
    </row>
    <row r="150" spans="1:25" x14ac:dyDescent="0.3">
      <c r="A150" s="5">
        <v>35</v>
      </c>
      <c r="B150" s="5">
        <v>3500</v>
      </c>
      <c r="C150" s="5">
        <v>1137</v>
      </c>
      <c r="D150" s="5" t="s">
        <v>33</v>
      </c>
      <c r="E150" s="5" t="s">
        <v>34</v>
      </c>
      <c r="F150" s="13">
        <v>142</v>
      </c>
      <c r="G150" s="13" t="s">
        <v>179</v>
      </c>
      <c r="H150" s="13">
        <v>1475</v>
      </c>
      <c r="I150" s="13"/>
      <c r="J150" s="13"/>
      <c r="K150" s="13"/>
      <c r="L150" s="13"/>
      <c r="M150" s="13"/>
      <c r="N150" s="64">
        <v>16.59</v>
      </c>
      <c r="O150" s="64">
        <v>10.16</v>
      </c>
      <c r="P150" s="64">
        <v>4.51</v>
      </c>
      <c r="Q150" s="64">
        <v>11.25</v>
      </c>
      <c r="R150" s="64">
        <v>3.2</v>
      </c>
      <c r="S150" s="64">
        <v>3.2</v>
      </c>
      <c r="T150" s="14">
        <f>N150+O150+P150+Q150+R150+S150</f>
        <v>48.910000000000004</v>
      </c>
      <c r="V150" s="15">
        <f>(((N150/45)*100)*H150)/$H$190</f>
        <v>0.3253693775629059</v>
      </c>
      <c r="W150" s="15">
        <f>(((O150/15)*100)*H150)/$H$190</f>
        <v>0.5977853302059899</v>
      </c>
      <c r="X150" s="49"/>
      <c r="Y150" s="15">
        <f>(T150*H150)/$H$190</f>
        <v>0.43165866880474846</v>
      </c>
    </row>
    <row r="151" spans="1:25" x14ac:dyDescent="0.3">
      <c r="A151" s="5">
        <v>35</v>
      </c>
      <c r="B151" s="5">
        <v>3500</v>
      </c>
      <c r="C151" s="5">
        <v>1138</v>
      </c>
      <c r="D151" s="5" t="s">
        <v>33</v>
      </c>
      <c r="E151" s="5" t="s">
        <v>34</v>
      </c>
      <c r="F151" s="13">
        <v>143</v>
      </c>
      <c r="G151" s="13" t="s">
        <v>180</v>
      </c>
      <c r="H151" s="13">
        <v>1292</v>
      </c>
      <c r="I151" s="13"/>
      <c r="J151" s="13"/>
      <c r="K151" s="13"/>
      <c r="L151" s="13"/>
      <c r="M151" s="13"/>
      <c r="N151" s="64">
        <v>28.93</v>
      </c>
      <c r="O151" s="64">
        <v>13.87</v>
      </c>
      <c r="P151" s="64">
        <v>8.9</v>
      </c>
      <c r="Q151" s="64">
        <v>11.01</v>
      </c>
      <c r="R151" s="64">
        <v>3.5</v>
      </c>
      <c r="S151" s="64">
        <v>6.11</v>
      </c>
      <c r="T151" s="14">
        <f>N151+O151+P151+Q151+R151+S151</f>
        <v>72.319999999999993</v>
      </c>
      <c r="V151" s="15">
        <f>(((N151/45)*100)*H151)/$H$190</f>
        <v>0.49699179338258365</v>
      </c>
      <c r="W151" s="15">
        <f>(((O151/15)*100)*H151)/$H$190</f>
        <v>0.71482297001898742</v>
      </c>
      <c r="X151" s="49"/>
      <c r="Y151" s="15">
        <f>(T151*H151)/$H$190</f>
        <v>0.55907711454693398</v>
      </c>
    </row>
    <row r="152" spans="1:25" s="44" customFormat="1" x14ac:dyDescent="0.3">
      <c r="A152" s="44">
        <v>35</v>
      </c>
      <c r="B152" s="44">
        <v>3500</v>
      </c>
      <c r="C152" s="44">
        <v>1139</v>
      </c>
      <c r="D152" s="44" t="s">
        <v>33</v>
      </c>
      <c r="E152" s="44" t="s">
        <v>34</v>
      </c>
      <c r="F152" s="45">
        <v>144</v>
      </c>
      <c r="G152" s="45" t="s">
        <v>181</v>
      </c>
      <c r="H152" s="45">
        <v>1274</v>
      </c>
      <c r="I152" s="45"/>
      <c r="J152" s="45"/>
      <c r="K152" s="45"/>
      <c r="L152" s="45"/>
      <c r="M152" s="45"/>
      <c r="N152" s="64">
        <v>30.14</v>
      </c>
      <c r="O152" s="64">
        <v>10.42</v>
      </c>
      <c r="P152" s="64">
        <v>7</v>
      </c>
      <c r="Q152" s="64">
        <v>10.5</v>
      </c>
      <c r="R152" s="64">
        <v>3.5</v>
      </c>
      <c r="S152" s="64">
        <v>7.23</v>
      </c>
      <c r="T152" s="46">
        <f>N152+O152+P152+Q152+R152+S152</f>
        <v>68.790000000000006</v>
      </c>
      <c r="U152" s="5"/>
      <c r="V152" s="47">
        <f>(((N152/45)*100)*H152)/$H$190</f>
        <v>0.51056488971859226</v>
      </c>
      <c r="W152" s="47">
        <f>(((O152/15)*100)*H152)/$H$190</f>
        <v>0.52953744036506956</v>
      </c>
      <c r="X152" s="48"/>
      <c r="Y152" s="15">
        <f>(T152*H152)/$H$190</f>
        <v>0.52437927815805851</v>
      </c>
    </row>
    <row r="153" spans="1:25" x14ac:dyDescent="0.3">
      <c r="A153" s="5">
        <v>35</v>
      </c>
      <c r="B153" s="5">
        <v>3500</v>
      </c>
      <c r="C153" s="5">
        <v>1140</v>
      </c>
      <c r="D153" s="5" t="s">
        <v>33</v>
      </c>
      <c r="E153" s="5" t="s">
        <v>34</v>
      </c>
      <c r="F153" s="13">
        <v>145</v>
      </c>
      <c r="G153" s="13" t="s">
        <v>182</v>
      </c>
      <c r="H153" s="13">
        <v>1779</v>
      </c>
      <c r="I153" s="13"/>
      <c r="J153" s="13"/>
      <c r="K153" s="13"/>
      <c r="L153" s="13"/>
      <c r="M153" s="13"/>
      <c r="N153" s="64">
        <v>14.54</v>
      </c>
      <c r="O153" s="64">
        <v>9.68</v>
      </c>
      <c r="P153" s="64">
        <v>7</v>
      </c>
      <c r="Q153" s="64">
        <v>11.31</v>
      </c>
      <c r="R153" s="64">
        <v>3.5</v>
      </c>
      <c r="S153" s="64">
        <v>7.23</v>
      </c>
      <c r="T153" s="14">
        <f>N153+O153+P153+Q153+R153+S153</f>
        <v>53.260000000000005</v>
      </c>
      <c r="V153" s="15">
        <f>(((N153/45)*100)*H153)/$H$190</f>
        <v>0.34393678298469837</v>
      </c>
      <c r="W153" s="15">
        <f>(((O153/15)*100)*H153)/$H$190</f>
        <v>0.68692738499832462</v>
      </c>
      <c r="X153" s="49"/>
      <c r="Y153" s="15">
        <f>(T153*H153)/$H$190</f>
        <v>0.56692798334210914</v>
      </c>
    </row>
    <row r="154" spans="1:25" s="44" customFormat="1" x14ac:dyDescent="0.3">
      <c r="A154" s="44">
        <v>35</v>
      </c>
      <c r="B154" s="44">
        <v>3500</v>
      </c>
      <c r="C154" s="44">
        <v>1141</v>
      </c>
      <c r="D154" s="44" t="s">
        <v>33</v>
      </c>
      <c r="E154" s="44" t="s">
        <v>34</v>
      </c>
      <c r="F154" s="45">
        <v>146</v>
      </c>
      <c r="G154" s="45" t="s">
        <v>183</v>
      </c>
      <c r="H154" s="45">
        <v>1661</v>
      </c>
      <c r="I154" s="45"/>
      <c r="J154" s="45"/>
      <c r="K154" s="45"/>
      <c r="L154" s="45"/>
      <c r="M154" s="45"/>
      <c r="N154" s="64">
        <v>31.54</v>
      </c>
      <c r="O154" s="64">
        <v>10</v>
      </c>
      <c r="P154" s="64">
        <v>7</v>
      </c>
      <c r="Q154" s="64">
        <v>10.5</v>
      </c>
      <c r="R154" s="64">
        <v>3.5</v>
      </c>
      <c r="S154" s="64">
        <v>6.4</v>
      </c>
      <c r="T154" s="46">
        <f>N154+O154+P154+Q154+R154+S154</f>
        <v>68.94</v>
      </c>
      <c r="U154" s="5"/>
      <c r="V154" s="47">
        <f>(((N154/45)*100)*H154)/$H$190</f>
        <v>0.69657773948377566</v>
      </c>
      <c r="W154" s="47">
        <f>(((O154/15)*100)*H154)/$H$190</f>
        <v>0.66256601726421249</v>
      </c>
      <c r="X154" s="48"/>
      <c r="Y154" s="15">
        <f>(T154*H154)/$H$190</f>
        <v>0.68515951845292233</v>
      </c>
    </row>
    <row r="155" spans="1:25" x14ac:dyDescent="0.3">
      <c r="A155" s="5">
        <v>35</v>
      </c>
      <c r="B155" s="5">
        <v>3500</v>
      </c>
      <c r="C155" s="5">
        <v>1142</v>
      </c>
      <c r="D155" s="5" t="s">
        <v>33</v>
      </c>
      <c r="E155" s="5" t="s">
        <v>34</v>
      </c>
      <c r="F155" s="13">
        <v>147</v>
      </c>
      <c r="G155" s="13" t="s">
        <v>184</v>
      </c>
      <c r="H155" s="13">
        <v>1044</v>
      </c>
      <c r="I155" s="13"/>
      <c r="J155" s="13"/>
      <c r="K155" s="13"/>
      <c r="L155" s="13"/>
      <c r="M155" s="13"/>
      <c r="N155" s="64">
        <v>20.72</v>
      </c>
      <c r="O155" s="64">
        <v>10.77</v>
      </c>
      <c r="P155" s="64">
        <v>8.5</v>
      </c>
      <c r="Q155" s="64">
        <v>12.31</v>
      </c>
      <c r="R155" s="64">
        <v>4.25</v>
      </c>
      <c r="S155" s="64">
        <v>7.4</v>
      </c>
      <c r="T155" s="14">
        <f>N155+O155+P155+Q155+R155+S155</f>
        <v>63.949999999999996</v>
      </c>
      <c r="V155" s="15">
        <f>(((N155/45)*100)*H155)/$H$190</f>
        <v>0.28762625053850943</v>
      </c>
      <c r="W155" s="15">
        <f>(((O155/15)*100)*H155)/$H$190</f>
        <v>0.44851371403953855</v>
      </c>
      <c r="X155" s="49"/>
      <c r="Y155" s="15">
        <f>(T155*H155)/$H$190</f>
        <v>0.39947704753243019</v>
      </c>
    </row>
    <row r="156" spans="1:25" x14ac:dyDescent="0.3">
      <c r="A156" s="5">
        <v>35</v>
      </c>
      <c r="B156" s="5">
        <v>3500</v>
      </c>
      <c r="C156" s="5">
        <v>1145</v>
      </c>
      <c r="D156" s="5" t="s">
        <v>33</v>
      </c>
      <c r="E156" s="5" t="s">
        <v>34</v>
      </c>
      <c r="F156" s="13">
        <v>148</v>
      </c>
      <c r="G156" s="13" t="s">
        <v>185</v>
      </c>
      <c r="H156" s="13">
        <v>1476</v>
      </c>
      <c r="I156" s="13"/>
      <c r="J156" s="13"/>
      <c r="K156" s="13"/>
      <c r="L156" s="13"/>
      <c r="M156" s="13"/>
      <c r="N156" s="64">
        <v>12.06</v>
      </c>
      <c r="O156" s="64">
        <v>12.97</v>
      </c>
      <c r="P156" s="64">
        <v>7.51</v>
      </c>
      <c r="Q156" s="64">
        <v>10.4</v>
      </c>
      <c r="R156" s="64">
        <v>3.58</v>
      </c>
      <c r="S156" s="64">
        <v>3.2</v>
      </c>
      <c r="T156" s="14">
        <f>N156+O156+P156+Q156+R156+S156</f>
        <v>49.72</v>
      </c>
      <c r="V156" s="15">
        <f>(((N156/45)*100)*H156)/$H$190</f>
        <v>0.23668565410942513</v>
      </c>
      <c r="W156" s="15">
        <f>(((O156/15)*100)*H156)/$H$190</f>
        <v>0.76363505815901589</v>
      </c>
      <c r="X156" s="49"/>
      <c r="Y156" s="15">
        <f>(T156*H156)/$H$190</f>
        <v>0.43910487769853046</v>
      </c>
    </row>
    <row r="157" spans="1:25" x14ac:dyDescent="0.3">
      <c r="A157" s="5">
        <v>35</v>
      </c>
      <c r="B157" s="5">
        <v>3500</v>
      </c>
      <c r="C157" s="5">
        <v>1146</v>
      </c>
      <c r="D157" s="5" t="s">
        <v>33</v>
      </c>
      <c r="E157" s="5" t="s">
        <v>34</v>
      </c>
      <c r="F157" s="13">
        <v>149</v>
      </c>
      <c r="G157" s="13" t="s">
        <v>186</v>
      </c>
      <c r="H157" s="13">
        <v>1054</v>
      </c>
      <c r="I157" s="13"/>
      <c r="J157" s="13"/>
      <c r="K157" s="13"/>
      <c r="L157" s="13"/>
      <c r="M157" s="13"/>
      <c r="N157" s="64">
        <v>13.04</v>
      </c>
      <c r="O157" s="64">
        <v>6.95</v>
      </c>
      <c r="P157" s="64">
        <v>7</v>
      </c>
      <c r="Q157" s="64">
        <v>9.8000000000000007</v>
      </c>
      <c r="R157" s="64">
        <v>3.5</v>
      </c>
      <c r="S157" s="64">
        <v>4.2</v>
      </c>
      <c r="T157" s="14">
        <f>N157+O157+P157+Q157+R157+S157</f>
        <v>44.49</v>
      </c>
      <c r="V157" s="15">
        <f>(((N157/45)*100)*H157)/$H$190</f>
        <v>0.18274961573032511</v>
      </c>
      <c r="W157" s="15">
        <f>(((O157/15)*100)*H157)/$H$190</f>
        <v>0.29220318159334957</v>
      </c>
      <c r="X157" s="49"/>
      <c r="Y157" s="15">
        <f>(T157*H157)/$H$190</f>
        <v>0.28057811976449187</v>
      </c>
    </row>
    <row r="158" spans="1:25" x14ac:dyDescent="0.3">
      <c r="A158" s="5">
        <v>35</v>
      </c>
      <c r="B158" s="5">
        <v>3500</v>
      </c>
      <c r="C158" s="5">
        <v>1147</v>
      </c>
      <c r="D158" s="5" t="s">
        <v>33</v>
      </c>
      <c r="E158" s="5" t="s">
        <v>34</v>
      </c>
      <c r="F158" s="13">
        <v>150</v>
      </c>
      <c r="G158" s="13" t="s">
        <v>187</v>
      </c>
      <c r="H158" s="13">
        <v>1430</v>
      </c>
      <c r="I158" s="13"/>
      <c r="J158" s="13"/>
      <c r="K158" s="13"/>
      <c r="L158" s="13"/>
      <c r="M158" s="13"/>
      <c r="N158" s="64">
        <v>19.53</v>
      </c>
      <c r="O158" s="64">
        <v>13.74</v>
      </c>
      <c r="P158" s="64">
        <v>7.51</v>
      </c>
      <c r="Q158" s="64">
        <v>10.09</v>
      </c>
      <c r="R158" s="64">
        <v>3.2</v>
      </c>
      <c r="S158" s="64">
        <v>5</v>
      </c>
      <c r="T158" s="14">
        <f>N158+O158+P158+Q158+R158+S158</f>
        <v>59.070000000000007</v>
      </c>
      <c r="V158" s="15">
        <f>(((N158/45)*100)*H158)/$H$190</f>
        <v>0.3713441194772869</v>
      </c>
      <c r="W158" s="15">
        <f>(((O158/15)*100)*H158)/$H$190</f>
        <v>0.78375855631611713</v>
      </c>
      <c r="X158" s="49"/>
      <c r="Y158" s="15">
        <f>(T158*H158)/$H$190</f>
        <v>0.50542159303049161</v>
      </c>
    </row>
    <row r="159" spans="1:25" x14ac:dyDescent="0.3">
      <c r="A159" s="5">
        <v>35</v>
      </c>
      <c r="B159" s="5">
        <v>3500</v>
      </c>
      <c r="C159" s="5">
        <v>1143</v>
      </c>
      <c r="D159" s="5" t="s">
        <v>33</v>
      </c>
      <c r="E159" s="5" t="s">
        <v>34</v>
      </c>
      <c r="F159" s="13">
        <v>151</v>
      </c>
      <c r="G159" s="13" t="s">
        <v>188</v>
      </c>
      <c r="H159" s="13">
        <v>1185</v>
      </c>
      <c r="I159" s="13"/>
      <c r="J159" s="13"/>
      <c r="K159" s="13"/>
      <c r="L159" s="13"/>
      <c r="M159" s="13"/>
      <c r="N159" s="64">
        <v>26</v>
      </c>
      <c r="O159" s="64">
        <v>8.3000000000000007</v>
      </c>
      <c r="P159" s="64">
        <v>6.5</v>
      </c>
      <c r="Q159" s="64">
        <v>8</v>
      </c>
      <c r="R159" s="64">
        <v>3</v>
      </c>
      <c r="S159" s="64">
        <v>6</v>
      </c>
      <c r="T159" s="14">
        <f>N159+O159+P159+Q159+R159+S159</f>
        <v>57.8</v>
      </c>
      <c r="V159" s="15">
        <f>(((N159/45)*100)*H159)/$H$190</f>
        <v>0.40966604438913085</v>
      </c>
      <c r="W159" s="15">
        <f>(((O159/15)*100)*H159)/$H$190</f>
        <v>0.39233401943420609</v>
      </c>
      <c r="X159" s="49"/>
      <c r="Y159" s="15">
        <f>(T159*H159)/$H$190</f>
        <v>0.40982360825235747</v>
      </c>
    </row>
    <row r="160" spans="1:25" x14ac:dyDescent="0.3">
      <c r="A160" s="5">
        <v>35</v>
      </c>
      <c r="B160" s="5">
        <v>3500</v>
      </c>
      <c r="C160" s="5">
        <v>1144</v>
      </c>
      <c r="D160" s="5" t="s">
        <v>33</v>
      </c>
      <c r="E160" s="5" t="s">
        <v>34</v>
      </c>
      <c r="F160" s="13">
        <v>152</v>
      </c>
      <c r="G160" s="13" t="s">
        <v>189</v>
      </c>
      <c r="H160" s="13">
        <v>1120</v>
      </c>
      <c r="I160" s="13"/>
      <c r="J160" s="13"/>
      <c r="K160" s="13"/>
      <c r="L160" s="13"/>
      <c r="M160" s="13"/>
      <c r="N160" s="64">
        <v>14.86</v>
      </c>
      <c r="O160" s="64">
        <v>14.29</v>
      </c>
      <c r="P160" s="64">
        <v>4.71</v>
      </c>
      <c r="Q160" s="64">
        <v>10.47</v>
      </c>
      <c r="R160" s="64">
        <v>2.5</v>
      </c>
      <c r="S160" s="64">
        <v>4.5</v>
      </c>
      <c r="T160" s="14">
        <f>N160+O160+P160+Q160+R160+S160</f>
        <v>51.33</v>
      </c>
      <c r="V160" s="15">
        <f>(((N160/45)*100)*H160)/$H$190</f>
        <v>0.22129678383567614</v>
      </c>
      <c r="W160" s="15">
        <f>(((O160/15)*100)*H160)/$H$190</f>
        <v>0.63842484004276168</v>
      </c>
      <c r="X160" s="49"/>
      <c r="Y160" s="15">
        <f>(T160*H160)/$H$190</f>
        <v>0.34398544827916328</v>
      </c>
    </row>
    <row r="161" spans="1:25" x14ac:dyDescent="0.3">
      <c r="F161" s="13"/>
      <c r="G161" s="17" t="s">
        <v>190</v>
      </c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4"/>
      <c r="V161" s="15">
        <f>(((N161/45)*100)*H161)/$H$190</f>
        <v>0</v>
      </c>
      <c r="W161" s="15">
        <f>(((O161/15)*100)*H161)/$H$190</f>
        <v>0</v>
      </c>
      <c r="X161" s="42">
        <f>SUM(W162:W174)</f>
        <v>5.7544046080449309</v>
      </c>
      <c r="Y161" s="15">
        <f>(T161*H161)/$H$190</f>
        <v>0</v>
      </c>
    </row>
    <row r="162" spans="1:25" s="44" customFormat="1" x14ac:dyDescent="0.3">
      <c r="A162" s="44">
        <v>35</v>
      </c>
      <c r="B162" s="44">
        <v>3500</v>
      </c>
      <c r="C162" s="44">
        <v>1229</v>
      </c>
      <c r="D162" s="44" t="s">
        <v>33</v>
      </c>
      <c r="E162" s="44" t="s">
        <v>34</v>
      </c>
      <c r="F162" s="45">
        <v>153</v>
      </c>
      <c r="G162" s="45" t="s">
        <v>191</v>
      </c>
      <c r="H162" s="45">
        <v>1151</v>
      </c>
      <c r="I162" s="45"/>
      <c r="J162" s="45"/>
      <c r="K162" s="45"/>
      <c r="L162" s="45"/>
      <c r="M162" s="45"/>
      <c r="N162" s="68">
        <v>31.51</v>
      </c>
      <c r="O162" s="68">
        <v>9.5500000000000007</v>
      </c>
      <c r="P162" s="68">
        <v>8.4499999999999993</v>
      </c>
      <c r="Q162" s="68">
        <v>13.21</v>
      </c>
      <c r="R162" s="68">
        <v>4.75</v>
      </c>
      <c r="S162" s="68">
        <v>8.5</v>
      </c>
      <c r="T162" s="46">
        <f>N162+O162+P162+Q162+R162+S162</f>
        <v>75.97</v>
      </c>
      <c r="U162" s="5"/>
      <c r="V162" s="47">
        <f>(((N162/45)*100)*H162)/$H$190</f>
        <v>0.48223863013844348</v>
      </c>
      <c r="W162" s="47">
        <f>(((O162/15)*100)*H162)/$H$190</f>
        <v>0.43846831969109512</v>
      </c>
      <c r="X162" s="48"/>
      <c r="Y162" s="15">
        <f>(T162*H162)/$H$190</f>
        <v>0.52320060073715957</v>
      </c>
    </row>
    <row r="163" spans="1:25" s="27" customFormat="1" x14ac:dyDescent="0.3">
      <c r="A163" s="27">
        <v>35</v>
      </c>
      <c r="B163" s="27">
        <v>3500</v>
      </c>
      <c r="C163" s="27">
        <v>1230</v>
      </c>
      <c r="D163" s="27" t="s">
        <v>33</v>
      </c>
      <c r="E163" s="27" t="s">
        <v>34</v>
      </c>
      <c r="F163" s="28">
        <v>154</v>
      </c>
      <c r="G163" s="28" t="s">
        <v>192</v>
      </c>
      <c r="H163" s="28">
        <v>319</v>
      </c>
      <c r="I163" s="28"/>
      <c r="J163" s="28"/>
      <c r="K163" s="28"/>
      <c r="L163" s="28"/>
      <c r="M163" s="28"/>
      <c r="N163" s="68">
        <v>25.97</v>
      </c>
      <c r="O163" s="68">
        <v>13.4</v>
      </c>
      <c r="P163" s="68">
        <v>5.0599999999999996</v>
      </c>
      <c r="Q163" s="68">
        <v>10.71</v>
      </c>
      <c r="R163" s="68">
        <v>3.5</v>
      </c>
      <c r="S163" s="68">
        <v>7.95</v>
      </c>
      <c r="T163" s="29">
        <f>N163+O163+P163+Q163+R163+S163</f>
        <v>66.59</v>
      </c>
      <c r="U163" s="5"/>
      <c r="V163" s="30">
        <f>(((N163/45)*100)*H163)/$H$190</f>
        <v>0.11015415995191977</v>
      </c>
      <c r="W163" s="30">
        <f>(((O163/15)*100)*H163)/$H$190</f>
        <v>0.17051202272110796</v>
      </c>
      <c r="X163" s="43"/>
      <c r="Y163" s="30">
        <f>(T163*H163)/$H$190</f>
        <v>0.127101443205208</v>
      </c>
    </row>
    <row r="164" spans="1:25" x14ac:dyDescent="0.3">
      <c r="A164" s="5">
        <v>35</v>
      </c>
      <c r="B164" s="5">
        <v>3500</v>
      </c>
      <c r="C164" s="5">
        <v>1231</v>
      </c>
      <c r="D164" s="5" t="s">
        <v>33</v>
      </c>
      <c r="E164" s="5" t="s">
        <v>34</v>
      </c>
      <c r="F164" s="13">
        <v>155</v>
      </c>
      <c r="G164" s="13" t="s">
        <v>193</v>
      </c>
      <c r="H164" s="13">
        <v>309</v>
      </c>
      <c r="I164" s="13"/>
      <c r="J164" s="13"/>
      <c r="K164" s="13"/>
      <c r="L164" s="13"/>
      <c r="M164" s="13"/>
      <c r="N164" s="68">
        <v>28.42</v>
      </c>
      <c r="O164" s="68">
        <v>14.97</v>
      </c>
      <c r="P164" s="68">
        <v>6.31</v>
      </c>
      <c r="Q164" s="68">
        <v>13.15</v>
      </c>
      <c r="R164" s="68">
        <v>4.25</v>
      </c>
      <c r="S164" s="68">
        <v>7.46</v>
      </c>
      <c r="T164" s="14">
        <f>N164+O164+P164+Q164+R164+S164</f>
        <v>74.559999999999988</v>
      </c>
      <c r="V164" s="15">
        <f>(((N164/45)*100)*H164)/$H$190</f>
        <v>0.11676718842244668</v>
      </c>
      <c r="W164" s="15">
        <f>(((O164/15)*100)*H164)/$H$190</f>
        <v>0.18451845292231106</v>
      </c>
      <c r="X164" s="49"/>
      <c r="Y164" s="15">
        <f>(T164*H164)/$H$190</f>
        <v>0.13785266382652817</v>
      </c>
    </row>
    <row r="165" spans="1:25" x14ac:dyDescent="0.3">
      <c r="A165" s="5">
        <v>35</v>
      </c>
      <c r="B165" s="5">
        <v>3500</v>
      </c>
      <c r="C165" s="5">
        <v>1232</v>
      </c>
      <c r="D165" s="5" t="s">
        <v>33</v>
      </c>
      <c r="E165" s="5" t="s">
        <v>34</v>
      </c>
      <c r="F165" s="13">
        <v>156</v>
      </c>
      <c r="G165" s="13" t="s">
        <v>194</v>
      </c>
      <c r="H165" s="13">
        <v>350</v>
      </c>
      <c r="I165" s="13"/>
      <c r="J165" s="13"/>
      <c r="K165" s="13"/>
      <c r="L165" s="13"/>
      <c r="M165" s="13"/>
      <c r="N165" s="68">
        <v>19.32</v>
      </c>
      <c r="O165" s="68">
        <v>4.95</v>
      </c>
      <c r="P165" s="68">
        <v>7.66</v>
      </c>
      <c r="Q165" s="68">
        <v>12.75</v>
      </c>
      <c r="R165" s="68">
        <v>4.25</v>
      </c>
      <c r="S165" s="68">
        <v>8.41</v>
      </c>
      <c r="T165" s="14">
        <f>N165+O165+P165+Q165+R165+S165</f>
        <v>57.34</v>
      </c>
      <c r="V165" s="15">
        <f>(((N165/45)*100)*H165)/$H$190</f>
        <v>8.9911126003223082E-2</v>
      </c>
      <c r="W165" s="15">
        <f>(((O165/15)*100)*H165)/$H$190</f>
        <v>6.9108707098750652E-2</v>
      </c>
      <c r="X165" s="49"/>
      <c r="Y165" s="15">
        <f>(T165*H165)/$H$190</f>
        <v>0.12008161409219281</v>
      </c>
    </row>
    <row r="166" spans="1:25" x14ac:dyDescent="0.3">
      <c r="A166" s="5">
        <v>35</v>
      </c>
      <c r="B166" s="5">
        <v>3500</v>
      </c>
      <c r="C166" s="5">
        <v>1233</v>
      </c>
      <c r="D166" s="5" t="s">
        <v>33</v>
      </c>
      <c r="E166" s="5" t="s">
        <v>34</v>
      </c>
      <c r="F166" s="13">
        <v>157</v>
      </c>
      <c r="G166" s="13" t="s">
        <v>195</v>
      </c>
      <c r="H166" s="13">
        <v>63</v>
      </c>
      <c r="I166" s="13"/>
      <c r="J166" s="13"/>
      <c r="K166" s="13"/>
      <c r="L166" s="13"/>
      <c r="M166" s="13"/>
      <c r="N166" s="68">
        <v>25.13</v>
      </c>
      <c r="O166" s="68">
        <v>14.94</v>
      </c>
      <c r="P166" s="68">
        <v>8.6999999999999993</v>
      </c>
      <c r="Q166" s="68">
        <v>12.75</v>
      </c>
      <c r="R166" s="68">
        <v>4.75</v>
      </c>
      <c r="S166" s="68">
        <v>7.7</v>
      </c>
      <c r="T166" s="14">
        <f>N166+O166+P166+Q166+R166+S166</f>
        <v>73.97</v>
      </c>
      <c r="V166" s="15">
        <f>(((N166/45)*100)*H166)/$H$190</f>
        <v>2.1050931022928532E-2</v>
      </c>
      <c r="W166" s="15">
        <f>(((O166/15)*100)*H166)/$H$190</f>
        <v>3.7544875783830353E-2</v>
      </c>
      <c r="X166" s="49"/>
      <c r="Y166" s="15">
        <f>(T166*H166)/$H$190</f>
        <v>2.7883478531425015E-2</v>
      </c>
    </row>
    <row r="167" spans="1:25" x14ac:dyDescent="0.3">
      <c r="A167" s="5">
        <v>35</v>
      </c>
      <c r="B167" s="5">
        <v>3500</v>
      </c>
      <c r="C167" s="5">
        <v>1234</v>
      </c>
      <c r="D167" s="5" t="s">
        <v>33</v>
      </c>
      <c r="E167" s="5" t="s">
        <v>34</v>
      </c>
      <c r="F167" s="13">
        <v>158</v>
      </c>
      <c r="G167" s="13" t="s">
        <v>196</v>
      </c>
      <c r="H167" s="13">
        <v>777</v>
      </c>
      <c r="I167" s="13"/>
      <c r="J167" s="13"/>
      <c r="K167" s="13"/>
      <c r="L167" s="13"/>
      <c r="M167" s="13"/>
      <c r="N167" s="68">
        <v>32.61</v>
      </c>
      <c r="O167" s="68">
        <v>11.01</v>
      </c>
      <c r="P167" s="68">
        <v>6</v>
      </c>
      <c r="Q167" s="68">
        <v>12.12</v>
      </c>
      <c r="R167" s="68">
        <v>3.4</v>
      </c>
      <c r="S167" s="68">
        <v>6.35</v>
      </c>
      <c r="T167" s="14">
        <f>N167+O167+P167+Q167+R167+S167</f>
        <v>71.489999999999995</v>
      </c>
      <c r="V167" s="15">
        <f>(((N167/45)*100)*H167)/$H$190</f>
        <v>0.33690704130965488</v>
      </c>
      <c r="W167" s="15">
        <f>(((O167/15)*100)*H167)/$H$190</f>
        <v>0.34124623043415825</v>
      </c>
      <c r="X167" s="49"/>
      <c r="Y167" s="15">
        <f>(T167*H167)/$H$190</f>
        <v>0.33236638983294237</v>
      </c>
    </row>
    <row r="168" spans="1:25" x14ac:dyDescent="0.3">
      <c r="A168" s="5">
        <v>35</v>
      </c>
      <c r="B168" s="5">
        <v>3500</v>
      </c>
      <c r="C168" s="5">
        <v>1235</v>
      </c>
      <c r="D168" s="5" t="s">
        <v>33</v>
      </c>
      <c r="E168" s="5" t="s">
        <v>34</v>
      </c>
      <c r="F168" s="13">
        <v>159</v>
      </c>
      <c r="G168" s="13" t="s">
        <v>197</v>
      </c>
      <c r="H168" s="13">
        <v>80</v>
      </c>
      <c r="I168" s="13"/>
      <c r="J168" s="13"/>
      <c r="K168" s="13"/>
      <c r="L168" s="13"/>
      <c r="M168" s="13"/>
      <c r="N168" s="68">
        <v>10.38</v>
      </c>
      <c r="O168" s="68">
        <v>5.5</v>
      </c>
      <c r="P168" s="68">
        <v>3.8</v>
      </c>
      <c r="Q168" s="68">
        <v>12.75</v>
      </c>
      <c r="R168" s="68">
        <v>4.25</v>
      </c>
      <c r="S168" s="68">
        <v>6.7</v>
      </c>
      <c r="T168" s="14">
        <f>N168+O168+P168+Q168+R168+S168</f>
        <v>43.38</v>
      </c>
      <c r="V168" s="15">
        <f>(((N168/45)*100)*H168)/$H$190</f>
        <v>1.1041437301549313E-2</v>
      </c>
      <c r="W168" s="15">
        <f>(((O168/15)*100)*H168)/$H$190</f>
        <v>1.755141767587318E-2</v>
      </c>
      <c r="X168" s="49"/>
      <c r="Y168" s="15">
        <f>(T168*H168)/$H$190</f>
        <v>2.0764922693983057E-2</v>
      </c>
    </row>
    <row r="169" spans="1:25" s="32" customFormat="1" x14ac:dyDescent="0.3">
      <c r="A169" s="32">
        <v>35</v>
      </c>
      <c r="B169" s="32">
        <v>3500</v>
      </c>
      <c r="C169" s="32">
        <v>1090</v>
      </c>
      <c r="D169" s="32" t="s">
        <v>33</v>
      </c>
      <c r="E169" s="32" t="s">
        <v>34</v>
      </c>
      <c r="F169" s="33">
        <v>160</v>
      </c>
      <c r="G169" s="33" t="s">
        <v>198</v>
      </c>
      <c r="H169" s="33">
        <v>1523</v>
      </c>
      <c r="I169" s="33"/>
      <c r="J169" s="33"/>
      <c r="K169" s="33"/>
      <c r="L169" s="33"/>
      <c r="M169" s="33"/>
      <c r="N169" s="68">
        <v>32.72</v>
      </c>
      <c r="O169" s="68">
        <v>14.87</v>
      </c>
      <c r="P169" s="68">
        <v>6.48</v>
      </c>
      <c r="Q169" s="68">
        <v>11.7</v>
      </c>
      <c r="R169" s="68">
        <v>4.18</v>
      </c>
      <c r="S169" s="68">
        <v>7.3</v>
      </c>
      <c r="T169" s="34">
        <f>N169+O169+P169+Q169+R169+S169</f>
        <v>77.249999999999986</v>
      </c>
      <c r="U169" s="5"/>
      <c r="V169" s="16">
        <f>(((N169/45)*100)*H169)/$H$190</f>
        <v>0.66260005637728103</v>
      </c>
      <c r="W169" s="16">
        <f>(((O169/15)*100)*H169)/$H$190</f>
        <v>0.90337984459017429</v>
      </c>
      <c r="X169" s="50"/>
      <c r="Y169" s="15">
        <f>(T169*H169)/$H$190</f>
        <v>0.70396193336843604</v>
      </c>
    </row>
    <row r="170" spans="1:25" s="27" customFormat="1" x14ac:dyDescent="0.3">
      <c r="A170" s="27">
        <v>35</v>
      </c>
      <c r="B170" s="27">
        <v>3500</v>
      </c>
      <c r="C170" s="27">
        <v>1091</v>
      </c>
      <c r="D170" s="27" t="s">
        <v>33</v>
      </c>
      <c r="E170" s="27" t="s">
        <v>34</v>
      </c>
      <c r="F170" s="28">
        <v>161</v>
      </c>
      <c r="G170" s="28" t="s">
        <v>199</v>
      </c>
      <c r="H170" s="28">
        <v>1736</v>
      </c>
      <c r="I170" s="28"/>
      <c r="J170" s="28"/>
      <c r="K170" s="28"/>
      <c r="L170" s="28"/>
      <c r="M170" s="28"/>
      <c r="N170" s="68">
        <v>24.43</v>
      </c>
      <c r="O170" s="68">
        <v>11.81</v>
      </c>
      <c r="P170" s="68">
        <v>4.2</v>
      </c>
      <c r="Q170" s="68">
        <v>7.3</v>
      </c>
      <c r="R170" s="68">
        <v>3.58</v>
      </c>
      <c r="S170" s="68">
        <v>4.16</v>
      </c>
      <c r="T170" s="29">
        <f>N170+O170+P170+Q170+R170+S170</f>
        <v>55.480000000000004</v>
      </c>
      <c r="U170" s="5"/>
      <c r="V170" s="30">
        <f>(((N170/45)*100)*H170)/$H$190</f>
        <v>0.56391215781383797</v>
      </c>
      <c r="W170" s="30">
        <f>(((O170/15)*100)*H170)/$H$190</f>
        <v>0.81782266685813676</v>
      </c>
      <c r="X170" s="43"/>
      <c r="Y170" s="30">
        <f>(T170*H170)/$H$190</f>
        <v>0.57628452443636025</v>
      </c>
    </row>
    <row r="171" spans="1:25" x14ac:dyDescent="0.3">
      <c r="A171" s="5">
        <v>35</v>
      </c>
      <c r="B171" s="5">
        <v>3500</v>
      </c>
      <c r="C171" s="5">
        <v>1092</v>
      </c>
      <c r="D171" s="5" t="s">
        <v>33</v>
      </c>
      <c r="E171" s="5" t="s">
        <v>34</v>
      </c>
      <c r="F171" s="13">
        <v>162</v>
      </c>
      <c r="G171" s="13" t="s">
        <v>200</v>
      </c>
      <c r="H171" s="13">
        <v>1074</v>
      </c>
      <c r="I171" s="13"/>
      <c r="J171" s="13"/>
      <c r="K171" s="13"/>
      <c r="L171" s="13"/>
      <c r="M171" s="13"/>
      <c r="N171" s="68">
        <v>35.32</v>
      </c>
      <c r="O171" s="68">
        <v>13</v>
      </c>
      <c r="P171" s="68">
        <v>7.19</v>
      </c>
      <c r="Q171" s="68">
        <v>11.49</v>
      </c>
      <c r="R171" s="68">
        <v>3.7</v>
      </c>
      <c r="S171" s="68">
        <v>7.45</v>
      </c>
      <c r="T171" s="14">
        <f>N171+O171+P171+Q171+R171+S171</f>
        <v>78.150000000000006</v>
      </c>
      <c r="V171" s="15">
        <f>(((N171/45)*100)*H171)/$H$190</f>
        <v>0.50438625883554311</v>
      </c>
      <c r="W171" s="15">
        <f>(((O171/15)*100)*H171)/$H$190</f>
        <v>0.55693839452395766</v>
      </c>
      <c r="X171" s="49"/>
      <c r="Y171" s="15">
        <f>(T171*H171)/$H$190</f>
        <v>0.50220848690823805</v>
      </c>
    </row>
    <row r="172" spans="1:25" x14ac:dyDescent="0.3">
      <c r="A172" s="5">
        <v>35</v>
      </c>
      <c r="B172" s="5">
        <v>3500</v>
      </c>
      <c r="C172" s="5">
        <v>1093</v>
      </c>
      <c r="D172" s="5" t="s">
        <v>33</v>
      </c>
      <c r="E172" s="5" t="s">
        <v>34</v>
      </c>
      <c r="F172" s="13">
        <v>163</v>
      </c>
      <c r="G172" s="13" t="s">
        <v>201</v>
      </c>
      <c r="H172" s="13">
        <v>1074</v>
      </c>
      <c r="I172" s="13"/>
      <c r="J172" s="13"/>
      <c r="K172" s="13"/>
      <c r="L172" s="13"/>
      <c r="M172" s="13"/>
      <c r="N172" s="68">
        <v>23.65</v>
      </c>
      <c r="O172" s="68">
        <v>10.16</v>
      </c>
      <c r="P172" s="68">
        <v>5</v>
      </c>
      <c r="Q172" s="68">
        <v>9.8000000000000007</v>
      </c>
      <c r="R172" s="68">
        <v>3.38</v>
      </c>
      <c r="S172" s="68">
        <v>5.16</v>
      </c>
      <c r="T172" s="14">
        <f>N172+O172+P172+Q172+R172+S172</f>
        <v>57.150000000000006</v>
      </c>
      <c r="V172" s="15">
        <f>(((N172/45)*100)*H172)/$H$190</f>
        <v>0.33773315462798975</v>
      </c>
      <c r="W172" s="15">
        <f>(((O172/15)*100)*H172)/$H$190</f>
        <v>0.43526877602795466</v>
      </c>
      <c r="X172" s="49"/>
      <c r="Y172" s="15">
        <f>(T172*H172)/$H$190</f>
        <v>0.36725802977358674</v>
      </c>
    </row>
    <row r="173" spans="1:25" x14ac:dyDescent="0.3">
      <c r="A173" s="5">
        <v>35</v>
      </c>
      <c r="B173" s="5">
        <v>3500</v>
      </c>
      <c r="C173" s="5">
        <v>1094</v>
      </c>
      <c r="D173" s="5" t="s">
        <v>33</v>
      </c>
      <c r="E173" s="5" t="s">
        <v>34</v>
      </c>
      <c r="F173" s="13">
        <v>164</v>
      </c>
      <c r="G173" s="13" t="s">
        <v>202</v>
      </c>
      <c r="H173" s="13">
        <v>1499</v>
      </c>
      <c r="I173" s="13"/>
      <c r="J173" s="13"/>
      <c r="K173" s="13"/>
      <c r="L173" s="13"/>
      <c r="M173" s="13"/>
      <c r="N173" s="68">
        <v>31.53</v>
      </c>
      <c r="O173" s="68">
        <v>15</v>
      </c>
      <c r="P173" s="68">
        <v>7.14</v>
      </c>
      <c r="Q173" s="68">
        <v>11.57</v>
      </c>
      <c r="R173" s="68">
        <v>4.25</v>
      </c>
      <c r="S173" s="68">
        <v>8.11</v>
      </c>
      <c r="T173" s="14">
        <f>N173+O173+P173+Q173+R173+S173</f>
        <v>77.600000000000009</v>
      </c>
      <c r="V173" s="15">
        <f>(((N173/45)*100)*H173)/$H$190</f>
        <v>0.6284400778644712</v>
      </c>
      <c r="W173" s="15">
        <f>(((O173/15)*100)*H173)/$H$190</f>
        <v>0.89691733282274666</v>
      </c>
      <c r="X173" s="49"/>
      <c r="Y173" s="15">
        <f>(T173*H173)/$H$190</f>
        <v>0.69600785027045142</v>
      </c>
    </row>
    <row r="174" spans="1:25" s="27" customFormat="1" x14ac:dyDescent="0.3">
      <c r="A174" s="27">
        <v>35</v>
      </c>
      <c r="B174" s="27">
        <v>3500</v>
      </c>
      <c r="C174" s="27">
        <v>1095</v>
      </c>
      <c r="D174" s="27" t="s">
        <v>33</v>
      </c>
      <c r="E174" s="27" t="s">
        <v>34</v>
      </c>
      <c r="F174" s="28">
        <v>165</v>
      </c>
      <c r="G174" s="28" t="s">
        <v>203</v>
      </c>
      <c r="H174" s="28">
        <v>2184</v>
      </c>
      <c r="I174" s="28"/>
      <c r="J174" s="28"/>
      <c r="K174" s="28"/>
      <c r="L174" s="28"/>
      <c r="M174" s="28"/>
      <c r="N174" s="68">
        <v>23.65</v>
      </c>
      <c r="O174" s="68">
        <v>10.16</v>
      </c>
      <c r="P174" s="68">
        <v>5</v>
      </c>
      <c r="Q174" s="68">
        <v>9.8000000000000007</v>
      </c>
      <c r="R174" s="68">
        <v>3.38</v>
      </c>
      <c r="S174" s="68">
        <v>5.16</v>
      </c>
      <c r="T174" s="29">
        <f>N174+O174+P174+Q174+R174+S174</f>
        <v>57.150000000000006</v>
      </c>
      <c r="U174" s="5"/>
      <c r="V174" s="30">
        <f>(((N174/45)*100)*H174)/$H$190</f>
        <v>0.68678697365691777</v>
      </c>
      <c r="W174" s="30">
        <f>(((O174/15)*100)*H174)/$H$190</f>
        <v>0.88512756689483518</v>
      </c>
      <c r="X174" s="43"/>
      <c r="Y174" s="30">
        <f>(T174*H174)/$H$190</f>
        <v>0.74682638456751715</v>
      </c>
    </row>
    <row r="175" spans="1:25" x14ac:dyDescent="0.3">
      <c r="F175" s="13"/>
      <c r="G175" s="17" t="s">
        <v>204</v>
      </c>
      <c r="H175" s="13"/>
      <c r="I175" s="13"/>
      <c r="J175" s="13"/>
      <c r="K175" s="13"/>
      <c r="L175" s="13"/>
      <c r="M175" s="13"/>
      <c r="N175" s="68">
        <v>31.53</v>
      </c>
      <c r="O175" s="68">
        <v>15</v>
      </c>
      <c r="P175" s="68">
        <v>7.14</v>
      </c>
      <c r="Q175" s="68">
        <v>11.57</v>
      </c>
      <c r="R175" s="68">
        <v>4.25</v>
      </c>
      <c r="S175" s="68">
        <v>8.11</v>
      </c>
      <c r="T175" s="14"/>
      <c r="V175" s="15">
        <f>(((N175/45)*100)*H175)/$H$190</f>
        <v>0</v>
      </c>
      <c r="W175" s="15">
        <f>(((O175/15)*100)*H175)/$H$190</f>
        <v>0</v>
      </c>
      <c r="X175" s="42">
        <f>SUM(W176:W188)</f>
        <v>10.996408341710147</v>
      </c>
      <c r="Y175" s="15">
        <f>(T175*H175)/$H$190</f>
        <v>0</v>
      </c>
    </row>
    <row r="176" spans="1:25" s="27" customFormat="1" x14ac:dyDescent="0.3">
      <c r="A176" s="27">
        <v>35</v>
      </c>
      <c r="B176" s="27">
        <v>3500</v>
      </c>
      <c r="C176" s="27">
        <v>1083</v>
      </c>
      <c r="D176" s="27" t="s">
        <v>33</v>
      </c>
      <c r="E176" s="27" t="s">
        <v>34</v>
      </c>
      <c r="F176" s="28">
        <v>166</v>
      </c>
      <c r="G176" s="28" t="s">
        <v>205</v>
      </c>
      <c r="H176" s="28">
        <v>1239</v>
      </c>
      <c r="I176" s="28"/>
      <c r="J176" s="28"/>
      <c r="K176" s="28"/>
      <c r="L176" s="28"/>
      <c r="M176" s="28"/>
      <c r="N176" s="67">
        <v>24.54</v>
      </c>
      <c r="O176" s="67">
        <v>14.53</v>
      </c>
      <c r="P176" s="67">
        <v>8.0500000000000007</v>
      </c>
      <c r="Q176" s="67">
        <v>11.9</v>
      </c>
      <c r="R176" s="67">
        <v>3.88</v>
      </c>
      <c r="S176" s="67">
        <v>7.06</v>
      </c>
      <c r="T176" s="29">
        <f>N176+O176+P176+Q176+R176+S176</f>
        <v>69.960000000000008</v>
      </c>
      <c r="U176" s="5"/>
      <c r="V176" s="30">
        <f>(((N176/45)*100)*H176)/$H$190</f>
        <v>0.40428174812120055</v>
      </c>
      <c r="W176" s="30">
        <f>(((O176/15)*100)*H176)/$H$190</f>
        <v>0.71811904647934521</v>
      </c>
      <c r="X176" s="43"/>
      <c r="Y176" s="30">
        <f>(T176*H176)/$H$190</f>
        <v>0.51864702503470406</v>
      </c>
    </row>
    <row r="177" spans="1:25" x14ac:dyDescent="0.3">
      <c r="A177" s="5">
        <v>35</v>
      </c>
      <c r="B177" s="5">
        <v>3500</v>
      </c>
      <c r="C177" s="5">
        <v>1084</v>
      </c>
      <c r="D177" s="5" t="s">
        <v>33</v>
      </c>
      <c r="E177" s="5" t="s">
        <v>34</v>
      </c>
      <c r="F177" s="13">
        <v>167</v>
      </c>
      <c r="G177" s="13" t="s">
        <v>206</v>
      </c>
      <c r="H177" s="13">
        <v>2323</v>
      </c>
      <c r="I177" s="13"/>
      <c r="J177" s="13"/>
      <c r="K177" s="13"/>
      <c r="L177" s="13"/>
      <c r="M177" s="13"/>
      <c r="N177" s="67">
        <v>20.88</v>
      </c>
      <c r="O177" s="67">
        <v>12.05</v>
      </c>
      <c r="P177" s="67">
        <v>7.56</v>
      </c>
      <c r="Q177" s="67">
        <v>11.37</v>
      </c>
      <c r="R177" s="67">
        <v>3.65</v>
      </c>
      <c r="S177" s="67">
        <v>8.0500000000000007</v>
      </c>
      <c r="T177" s="14">
        <f>N177+O177+P177+Q177+R177+S177</f>
        <v>63.56</v>
      </c>
      <c r="V177" s="15">
        <f>(((N177/45)*100)*H177)/$H$190</f>
        <v>0.6449380115839356</v>
      </c>
      <c r="W177" s="15">
        <f>(((O177/15)*100)*H177)/$H$190</f>
        <v>1.1165952643083943</v>
      </c>
      <c r="X177" s="49"/>
      <c r="Y177" s="15">
        <f>(T177*H177)/$H$190</f>
        <v>0.88345387966109812</v>
      </c>
    </row>
    <row r="178" spans="1:25" x14ac:dyDescent="0.3">
      <c r="A178" s="5">
        <v>35</v>
      </c>
      <c r="B178" s="5">
        <v>3500</v>
      </c>
      <c r="C178" s="5">
        <v>1085</v>
      </c>
      <c r="D178" s="5" t="s">
        <v>33</v>
      </c>
      <c r="E178" s="5" t="s">
        <v>34</v>
      </c>
      <c r="F178" s="13">
        <v>168</v>
      </c>
      <c r="G178" s="13" t="s">
        <v>207</v>
      </c>
      <c r="H178" s="13">
        <v>1447</v>
      </c>
      <c r="I178" s="13"/>
      <c r="J178" s="13"/>
      <c r="K178" s="13"/>
      <c r="L178" s="13"/>
      <c r="M178" s="13"/>
      <c r="N178" s="67">
        <v>25.8</v>
      </c>
      <c r="O178" s="67">
        <v>11.53</v>
      </c>
      <c r="P178" s="67">
        <v>7.56</v>
      </c>
      <c r="Q178" s="67">
        <v>11.25</v>
      </c>
      <c r="R178" s="67">
        <v>3.73</v>
      </c>
      <c r="S178" s="67">
        <v>7.53</v>
      </c>
      <c r="T178" s="14">
        <f>N178+O178+P178+Q178+R178+S178</f>
        <v>67.399999999999991</v>
      </c>
      <c r="V178" s="15">
        <f>(((N178/45)*100)*H178)/$H$190</f>
        <v>0.49639398145932068</v>
      </c>
      <c r="W178" s="15">
        <f>(((O178/15)*100)*H178)/$H$190</f>
        <v>0.66551425653790297</v>
      </c>
      <c r="X178" s="49"/>
      <c r="Y178" s="15">
        <f>(T178*H178)/$H$190</f>
        <v>0.58355152936671284</v>
      </c>
    </row>
    <row r="179" spans="1:25" s="27" customFormat="1" x14ac:dyDescent="0.3">
      <c r="A179" s="27">
        <v>35</v>
      </c>
      <c r="B179" s="27">
        <v>3500</v>
      </c>
      <c r="C179" s="27">
        <v>1086</v>
      </c>
      <c r="D179" s="27" t="s">
        <v>33</v>
      </c>
      <c r="E179" s="27" t="s">
        <v>34</v>
      </c>
      <c r="F179" s="28">
        <v>169</v>
      </c>
      <c r="G179" s="28" t="s">
        <v>208</v>
      </c>
      <c r="H179" s="28">
        <v>2056</v>
      </c>
      <c r="I179" s="28"/>
      <c r="J179" s="28"/>
      <c r="K179" s="28"/>
      <c r="L179" s="28"/>
      <c r="M179" s="28"/>
      <c r="N179" s="67">
        <v>25.74</v>
      </c>
      <c r="O179" s="67">
        <v>14.58</v>
      </c>
      <c r="P179" s="67">
        <v>7.8</v>
      </c>
      <c r="Q179" s="67">
        <v>11.61</v>
      </c>
      <c r="R179" s="67">
        <v>4.25</v>
      </c>
      <c r="S179" s="67">
        <v>7.74</v>
      </c>
      <c r="T179" s="29">
        <f>N179+O179+P179+Q179+R179+S179</f>
        <v>71.72</v>
      </c>
      <c r="U179" s="5"/>
      <c r="V179" s="30">
        <f>(((N179/45)*100)*H179)/$H$190</f>
        <v>0.70367143746110761</v>
      </c>
      <c r="W179" s="30">
        <f>(((O179/15)*100)*H179)/$H$190</f>
        <v>1.1957493657555887</v>
      </c>
      <c r="X179" s="43"/>
      <c r="Y179" s="30">
        <f>(T179*H179)/$H$190</f>
        <v>0.8822957254320043</v>
      </c>
    </row>
    <row r="180" spans="1:25" x14ac:dyDescent="0.3">
      <c r="A180" s="5">
        <v>35</v>
      </c>
      <c r="B180" s="5">
        <v>3500</v>
      </c>
      <c r="C180" s="5">
        <v>1087</v>
      </c>
      <c r="D180" s="5" t="s">
        <v>33</v>
      </c>
      <c r="E180" s="5" t="s">
        <v>34</v>
      </c>
      <c r="F180" s="13">
        <v>170</v>
      </c>
      <c r="G180" s="13" t="s">
        <v>209</v>
      </c>
      <c r="H180" s="13">
        <v>1879</v>
      </c>
      <c r="I180" s="13"/>
      <c r="J180" s="13"/>
      <c r="K180" s="13"/>
      <c r="L180" s="13"/>
      <c r="M180" s="13"/>
      <c r="N180" s="67">
        <v>32.979999999999997</v>
      </c>
      <c r="O180" s="67">
        <v>13.37</v>
      </c>
      <c r="P180" s="67">
        <v>7.27</v>
      </c>
      <c r="Q180" s="67">
        <v>12.87</v>
      </c>
      <c r="R180" s="67">
        <v>4.25</v>
      </c>
      <c r="S180" s="67">
        <v>9</v>
      </c>
      <c r="T180" s="14">
        <f>N180+O180+P180+Q180+R180+S180</f>
        <v>79.739999999999995</v>
      </c>
      <c r="V180" s="15">
        <f>(((N180/45)*100)*H180)/$H$190</f>
        <v>0.82397816178152194</v>
      </c>
      <c r="W180" s="15">
        <f>(((O180/15)*100)*H180)/$H$190</f>
        <v>1.0021153447257989</v>
      </c>
      <c r="X180" s="49"/>
      <c r="Y180" s="15">
        <f>(T180*H180)/$H$190</f>
        <v>0.8965072279929156</v>
      </c>
    </row>
    <row r="181" spans="1:25" s="32" customFormat="1" x14ac:dyDescent="0.3">
      <c r="A181" s="32">
        <v>35</v>
      </c>
      <c r="B181" s="32">
        <v>3500</v>
      </c>
      <c r="C181" s="32">
        <v>1088</v>
      </c>
      <c r="D181" s="32" t="s">
        <v>33</v>
      </c>
      <c r="E181" s="32" t="s">
        <v>34</v>
      </c>
      <c r="F181" s="33">
        <v>171</v>
      </c>
      <c r="G181" s="33" t="s">
        <v>210</v>
      </c>
      <c r="H181" s="33">
        <v>1244</v>
      </c>
      <c r="I181" s="33"/>
      <c r="J181" s="33"/>
      <c r="K181" s="33"/>
      <c r="L181" s="33"/>
      <c r="M181" s="33"/>
      <c r="N181" s="67">
        <v>25.45</v>
      </c>
      <c r="O181" s="67">
        <v>14.69</v>
      </c>
      <c r="P181" s="67">
        <v>7.88</v>
      </c>
      <c r="Q181" s="67">
        <v>11.13</v>
      </c>
      <c r="R181" s="67">
        <v>4.03</v>
      </c>
      <c r="S181" s="67">
        <v>7.53</v>
      </c>
      <c r="T181" s="14">
        <f>N181+O181+P181+Q181+R181+S181</f>
        <v>70.710000000000008</v>
      </c>
      <c r="U181" s="5"/>
      <c r="V181" s="16">
        <f>(((N181/45)*100)*H181)/$H$190</f>
        <v>0.42096543434440137</v>
      </c>
      <c r="W181" s="16">
        <f>(((O181/15)*100)*H181)/$H$190</f>
        <v>0.72895664799834048</v>
      </c>
      <c r="X181" s="50"/>
      <c r="Y181" s="15">
        <f>(T181*H181)/$H$190</f>
        <v>0.52632257910104829</v>
      </c>
    </row>
    <row r="182" spans="1:25" s="32" customFormat="1" x14ac:dyDescent="0.3">
      <c r="A182" s="32">
        <v>35</v>
      </c>
      <c r="B182" s="32">
        <v>3500</v>
      </c>
      <c r="C182" s="32">
        <v>1089</v>
      </c>
      <c r="D182" s="32" t="s">
        <v>33</v>
      </c>
      <c r="E182" s="32" t="s">
        <v>34</v>
      </c>
      <c r="F182" s="33">
        <v>172</v>
      </c>
      <c r="G182" s="33" t="s">
        <v>211</v>
      </c>
      <c r="H182" s="33">
        <v>1393</v>
      </c>
      <c r="I182" s="33"/>
      <c r="J182" s="33"/>
      <c r="K182" s="33"/>
      <c r="L182" s="33"/>
      <c r="M182" s="33"/>
      <c r="N182" s="67">
        <v>25.9</v>
      </c>
      <c r="O182" s="67">
        <v>14.2</v>
      </c>
      <c r="P182" s="67">
        <v>8.15</v>
      </c>
      <c r="Q182" s="67">
        <v>11.51</v>
      </c>
      <c r="R182" s="67">
        <v>3.88</v>
      </c>
      <c r="S182" s="67">
        <v>7.23</v>
      </c>
      <c r="T182" s="14">
        <f>N182+O182+P182+Q182+R182+S182</f>
        <v>70.86999999999999</v>
      </c>
      <c r="U182" s="5"/>
      <c r="V182" s="16">
        <f>(((N182/45)*100)*H182)/$H$190</f>
        <v>0.47972146432009521</v>
      </c>
      <c r="W182" s="16">
        <f>(((O182/15)*100)*H182)/$H$190</f>
        <v>0.78903993745312984</v>
      </c>
      <c r="X182" s="50"/>
      <c r="Y182" s="15">
        <f>(T182*H182)/$H$190</f>
        <v>0.59069641233066861</v>
      </c>
    </row>
    <row r="183" spans="1:25" s="27" customFormat="1" x14ac:dyDescent="0.3">
      <c r="A183" s="27">
        <v>35</v>
      </c>
      <c r="B183" s="27">
        <v>3500</v>
      </c>
      <c r="C183" s="27">
        <v>1082</v>
      </c>
      <c r="D183" s="27" t="s">
        <v>33</v>
      </c>
      <c r="E183" s="27" t="s">
        <v>34</v>
      </c>
      <c r="F183" s="28">
        <v>173</v>
      </c>
      <c r="G183" s="28" t="s">
        <v>212</v>
      </c>
      <c r="H183" s="28">
        <v>2188</v>
      </c>
      <c r="I183" s="28"/>
      <c r="J183" s="28"/>
      <c r="K183" s="28"/>
      <c r="L183" s="28"/>
      <c r="M183" s="28"/>
      <c r="N183" s="67">
        <v>30.39</v>
      </c>
      <c r="O183" s="67">
        <v>13.02</v>
      </c>
      <c r="P183" s="67">
        <v>7.77</v>
      </c>
      <c r="Q183" s="67">
        <v>11.61</v>
      </c>
      <c r="R183" s="67">
        <v>3.95</v>
      </c>
      <c r="S183" s="67">
        <v>7</v>
      </c>
      <c r="T183" s="29">
        <f>N183+O183+P183+Q183+R183+S183</f>
        <v>73.739999999999995</v>
      </c>
      <c r="U183" s="5"/>
      <c r="V183" s="30">
        <f>(((N183/45)*100)*H183)/$H$190</f>
        <v>0.88413032725416041</v>
      </c>
      <c r="W183" s="30">
        <f>(((O183/15)*100)*H183)/$H$190</f>
        <v>1.136364941840984</v>
      </c>
      <c r="X183" s="43"/>
      <c r="Y183" s="30">
        <f>(T183*H183)/$H$190</f>
        <v>0.96538653008472541</v>
      </c>
    </row>
    <row r="184" spans="1:25" s="44" customFormat="1" x14ac:dyDescent="0.3">
      <c r="A184" s="44">
        <v>35</v>
      </c>
      <c r="B184" s="44">
        <v>3500</v>
      </c>
      <c r="C184" s="44">
        <v>1077</v>
      </c>
      <c r="D184" s="44" t="s">
        <v>33</v>
      </c>
      <c r="E184" s="44" t="s">
        <v>34</v>
      </c>
      <c r="F184" s="45">
        <v>174</v>
      </c>
      <c r="G184" s="45" t="s">
        <v>213</v>
      </c>
      <c r="H184" s="45">
        <v>1094</v>
      </c>
      <c r="I184" s="45"/>
      <c r="J184" s="45"/>
      <c r="K184" s="45"/>
      <c r="L184" s="45"/>
      <c r="M184" s="45"/>
      <c r="N184" s="67">
        <v>32.119999999999997</v>
      </c>
      <c r="O184" s="67">
        <v>10.7</v>
      </c>
      <c r="P184" s="67">
        <v>7</v>
      </c>
      <c r="Q184" s="67">
        <v>10.5</v>
      </c>
      <c r="R184" s="67">
        <v>3.5</v>
      </c>
      <c r="S184" s="67">
        <v>7</v>
      </c>
      <c r="T184" s="14">
        <f>N184+O184+P184+Q184+R184+S184</f>
        <v>70.819999999999993</v>
      </c>
      <c r="U184" s="5"/>
      <c r="V184" s="47">
        <f>(((N184/45)*100)*H184)/$H$190</f>
        <v>0.46723043947686138</v>
      </c>
      <c r="W184" s="47">
        <f>(((O184/15)*100)*H184)/$H$190</f>
        <v>0.46693951143235518</v>
      </c>
      <c r="X184" s="48"/>
      <c r="Y184" s="15">
        <f>(T184*H184)/$H$190</f>
        <v>0.46357929251830926</v>
      </c>
    </row>
    <row r="185" spans="1:25" s="44" customFormat="1" x14ac:dyDescent="0.3">
      <c r="A185" s="44">
        <v>35</v>
      </c>
      <c r="B185" s="44">
        <v>3500</v>
      </c>
      <c r="C185" s="44">
        <v>1078</v>
      </c>
      <c r="D185" s="44" t="s">
        <v>33</v>
      </c>
      <c r="E185" s="44" t="s">
        <v>34</v>
      </c>
      <c r="F185" s="45">
        <v>175</v>
      </c>
      <c r="G185" s="45" t="s">
        <v>214</v>
      </c>
      <c r="H185" s="45">
        <v>1867</v>
      </c>
      <c r="I185" s="45"/>
      <c r="J185" s="45"/>
      <c r="K185" s="45"/>
      <c r="L185" s="45"/>
      <c r="M185" s="45"/>
      <c r="N185" s="67">
        <v>33.119999999999997</v>
      </c>
      <c r="O185" s="67">
        <v>11.6</v>
      </c>
      <c r="P185" s="67">
        <v>8.5</v>
      </c>
      <c r="Q185" s="67">
        <v>12.75</v>
      </c>
      <c r="R185" s="67">
        <v>4.25</v>
      </c>
      <c r="S185" s="67">
        <v>8.5</v>
      </c>
      <c r="T185" s="14">
        <f>N185+O185+P185+Q185+R185+S185</f>
        <v>78.72</v>
      </c>
      <c r="U185" s="5"/>
      <c r="V185" s="47">
        <f>(((N185/45)*100)*H185)/$H$190</f>
        <v>0.82219137427600386</v>
      </c>
      <c r="W185" s="47">
        <f>(((O185/15)*100)*H185)/$H$190</f>
        <v>0.86389673384072874</v>
      </c>
      <c r="X185" s="48"/>
      <c r="Y185" s="15">
        <f>(T185*H185)/$H$190</f>
        <v>0.8793872959647695</v>
      </c>
    </row>
    <row r="186" spans="1:25" x14ac:dyDescent="0.3">
      <c r="A186" s="5">
        <v>35</v>
      </c>
      <c r="B186" s="5">
        <v>3500</v>
      </c>
      <c r="C186" s="5">
        <v>1079</v>
      </c>
      <c r="D186" s="5" t="s">
        <v>33</v>
      </c>
      <c r="E186" s="5" t="s">
        <v>34</v>
      </c>
      <c r="F186" s="13">
        <v>176</v>
      </c>
      <c r="G186" s="13" t="s">
        <v>215</v>
      </c>
      <c r="H186" s="13">
        <v>1088</v>
      </c>
      <c r="I186" s="13"/>
      <c r="J186" s="13"/>
      <c r="K186" s="13"/>
      <c r="L186" s="13"/>
      <c r="M186" s="13"/>
      <c r="N186" s="67">
        <v>25.02</v>
      </c>
      <c r="O186" s="67">
        <v>14.86</v>
      </c>
      <c r="P186" s="67">
        <v>7.7</v>
      </c>
      <c r="Q186" s="67">
        <v>11.15</v>
      </c>
      <c r="R186" s="67">
        <v>3.95</v>
      </c>
      <c r="S186" s="67">
        <v>7.8</v>
      </c>
      <c r="T186" s="14">
        <f>N186+O186+P186+Q186+R186+S186</f>
        <v>70.48</v>
      </c>
      <c r="V186" s="15">
        <f>(((N186/45)*100)*H186)/$H$190</f>
        <v>0.36195490881240722</v>
      </c>
      <c r="W186" s="15">
        <f>(((O186/15)*100)*H186)/$H$190</f>
        <v>0.64492205574968486</v>
      </c>
      <c r="X186" s="49"/>
      <c r="Y186" s="15">
        <f>(T186*H186)/$H$190</f>
        <v>0.4588234167823465</v>
      </c>
    </row>
    <row r="187" spans="1:25" x14ac:dyDescent="0.3">
      <c r="A187" s="5">
        <v>35</v>
      </c>
      <c r="B187" s="5">
        <v>3500</v>
      </c>
      <c r="C187" s="5">
        <v>1080</v>
      </c>
      <c r="D187" s="5" t="s">
        <v>33</v>
      </c>
      <c r="E187" s="5" t="s">
        <v>34</v>
      </c>
      <c r="F187" s="13">
        <v>177</v>
      </c>
      <c r="G187" s="13" t="s">
        <v>216</v>
      </c>
      <c r="H187" s="13">
        <v>1920</v>
      </c>
      <c r="I187" s="13"/>
      <c r="J187" s="13"/>
      <c r="K187" s="13"/>
      <c r="L187" s="13"/>
      <c r="M187" s="13"/>
      <c r="N187" s="67">
        <v>30.51</v>
      </c>
      <c r="O187" s="67">
        <v>13</v>
      </c>
      <c r="P187" s="67">
        <v>7.86</v>
      </c>
      <c r="Q187" s="67">
        <v>11.36</v>
      </c>
      <c r="R187" s="67">
        <v>3.95</v>
      </c>
      <c r="S187" s="67">
        <v>7</v>
      </c>
      <c r="T187" s="14">
        <f>N187+O187+P187+Q187+R187+S187</f>
        <v>73.680000000000007</v>
      </c>
      <c r="V187" s="15">
        <f>(((N187/45)*100)*H187)/$H$190</f>
        <v>0.77890000478675048</v>
      </c>
      <c r="W187" s="15">
        <f>(((O187/15)*100)*H187)/$H$190</f>
        <v>0.99564405724953331</v>
      </c>
      <c r="X187" s="49"/>
      <c r="Y187" s="15">
        <f>(T187*H187)/$H$190</f>
        <v>0.84645062467091092</v>
      </c>
    </row>
    <row r="188" spans="1:25" x14ac:dyDescent="0.3">
      <c r="A188" s="5">
        <v>35</v>
      </c>
      <c r="B188" s="5">
        <v>3500</v>
      </c>
      <c r="C188" s="5">
        <v>1081</v>
      </c>
      <c r="D188" s="5" t="s">
        <v>33</v>
      </c>
      <c r="E188" s="5" t="s">
        <v>34</v>
      </c>
      <c r="F188" s="19">
        <v>178</v>
      </c>
      <c r="G188" s="19" t="s">
        <v>217</v>
      </c>
      <c r="H188" s="19">
        <v>1262</v>
      </c>
      <c r="I188" s="19"/>
      <c r="J188" s="19"/>
      <c r="K188" s="19"/>
      <c r="L188" s="19"/>
      <c r="M188" s="19"/>
      <c r="N188" s="67">
        <v>28.09</v>
      </c>
      <c r="O188" s="67">
        <v>13.36</v>
      </c>
      <c r="P188" s="67">
        <v>7.88</v>
      </c>
      <c r="Q188" s="67">
        <v>12.03</v>
      </c>
      <c r="R188" s="67">
        <v>4.03</v>
      </c>
      <c r="S188" s="67">
        <v>7.62</v>
      </c>
      <c r="T188" s="20">
        <f>N188+O188+P188+Q188+R188+S188</f>
        <v>73.010000000000005</v>
      </c>
      <c r="V188" s="21">
        <f>(((N188/45)*100)*H188)/$H$190</f>
        <v>0.47135635228354583</v>
      </c>
      <c r="W188" s="21">
        <f>(((O188/15)*100)*H188)/$H$190</f>
        <v>0.67255117833835942</v>
      </c>
      <c r="X188" s="49"/>
      <c r="Y188" s="15">
        <f>(T188*H188)/$H$190</f>
        <v>0.55130570580632809</v>
      </c>
    </row>
    <row r="190" spans="1:25" ht="18" x14ac:dyDescent="0.35">
      <c r="H190" s="22">
        <f>SUM(H6:H188)</f>
        <v>167128</v>
      </c>
      <c r="N190" s="23">
        <f>AVERAGE(N6:N188)</f>
        <v>26.384692737430171</v>
      </c>
      <c r="O190" s="23">
        <f>AVERAGE(O6:O188)</f>
        <v>12.19072625698324</v>
      </c>
      <c r="P190" s="51"/>
      <c r="Q190" s="52" t="e">
        <f>N191-#REF!</f>
        <v>#REF!</v>
      </c>
      <c r="R190" s="52" t="e">
        <f>#REF!-#REF!</f>
        <v>#REF!</v>
      </c>
      <c r="S190" s="51"/>
      <c r="T190" s="51"/>
      <c r="U190" s="53"/>
      <c r="V190" s="24" t="e">
        <f>SUM(V6:V189)</f>
        <v>#REF!</v>
      </c>
      <c r="W190" s="24" t="e">
        <f>SUM(W6:W189)</f>
        <v>#REF!</v>
      </c>
      <c r="X190" s="24" t="e">
        <f>SUM(X5:X188)</f>
        <v>#REF!</v>
      </c>
      <c r="Y190" s="24">
        <f>SUM(Y6:Y189)</f>
        <v>65.600890455219954</v>
      </c>
    </row>
    <row r="191" spans="1:25" ht="18" x14ac:dyDescent="0.35">
      <c r="N191" s="25">
        <f>N190/45*100</f>
        <v>58.632650527622602</v>
      </c>
      <c r="O191" s="25">
        <f>O190/15*100</f>
        <v>81.271508379888274</v>
      </c>
      <c r="P191" s="51"/>
      <c r="Q191" s="51" t="e">
        <f>Q190/15</f>
        <v>#REF!</v>
      </c>
      <c r="R191" s="51" t="e">
        <f>R190/9</f>
        <v>#REF!</v>
      </c>
      <c r="S191" s="51"/>
      <c r="T191" s="51"/>
      <c r="U191" s="51"/>
    </row>
    <row r="192" spans="1:25" x14ac:dyDescent="0.3">
      <c r="P192" s="51"/>
      <c r="Q192" s="51"/>
      <c r="R192" s="51"/>
      <c r="S192" s="51"/>
      <c r="T192" s="51"/>
      <c r="U192" s="51"/>
    </row>
    <row r="193" spans="7:24" x14ac:dyDescent="0.3">
      <c r="P193" s="51"/>
      <c r="Q193" s="51"/>
      <c r="R193" s="51"/>
      <c r="S193" s="51"/>
      <c r="T193" s="51"/>
      <c r="U193" s="51"/>
    </row>
    <row r="194" spans="7:24" x14ac:dyDescent="0.3">
      <c r="P194" s="51"/>
      <c r="Q194" s="51"/>
      <c r="R194" s="51"/>
      <c r="S194" s="51"/>
      <c r="T194" s="51"/>
      <c r="U194" s="51"/>
    </row>
    <row r="195" spans="7:24" x14ac:dyDescent="0.3">
      <c r="P195" s="51"/>
      <c r="Q195" s="51"/>
      <c r="R195" s="51"/>
      <c r="S195" s="51"/>
      <c r="T195" s="51"/>
      <c r="U195" s="51"/>
    </row>
    <row r="196" spans="7:24" x14ac:dyDescent="0.3">
      <c r="P196" s="54" t="e">
        <f>V190-#REF!</f>
        <v>#REF!</v>
      </c>
      <c r="Q196" s="51">
        <v>4.24</v>
      </c>
      <c r="R196" s="55">
        <f>63737947001+3000000000+3347168000</f>
        <v>70085115001</v>
      </c>
      <c r="S196" s="51" t="s">
        <v>222</v>
      </c>
      <c r="T196" s="51">
        <v>17</v>
      </c>
      <c r="U196" s="51"/>
    </row>
    <row r="197" spans="7:24" x14ac:dyDescent="0.3">
      <c r="P197" s="54" t="e">
        <f>#REF!-#REF!</f>
        <v>#REF!</v>
      </c>
      <c r="Q197" s="51">
        <v>1.98</v>
      </c>
      <c r="R197" s="55">
        <f>54344664000-(3000000000+3347168000)</f>
        <v>47997496000</v>
      </c>
      <c r="S197" s="51" t="s">
        <v>223</v>
      </c>
      <c r="T197" s="51">
        <v>9</v>
      </c>
      <c r="U197" s="51"/>
    </row>
    <row r="198" spans="7:24" x14ac:dyDescent="0.3">
      <c r="N198" s="26" t="s">
        <v>218</v>
      </c>
      <c r="O198" s="26"/>
      <c r="P198" s="51"/>
      <c r="Q198" s="51"/>
      <c r="R198" s="51"/>
      <c r="S198" s="51"/>
      <c r="T198" s="51"/>
      <c r="U198" s="51"/>
      <c r="V198" s="26" t="s">
        <v>219</v>
      </c>
      <c r="W198" s="26"/>
      <c r="X198" s="56"/>
    </row>
    <row r="199" spans="7:24" x14ac:dyDescent="0.3">
      <c r="P199" s="51"/>
      <c r="Q199" s="51">
        <f>(Q197/R197)*R199</f>
        <v>1.8054652801054454</v>
      </c>
      <c r="R199" s="55">
        <v>43766572000</v>
      </c>
      <c r="S199" s="51"/>
      <c r="T199" s="51"/>
      <c r="U199" s="51"/>
    </row>
    <row r="201" spans="7:24" x14ac:dyDescent="0.3">
      <c r="G201" s="27"/>
      <c r="H201" s="5" t="s">
        <v>224</v>
      </c>
    </row>
    <row r="203" spans="7:24" x14ac:dyDescent="0.3">
      <c r="G203" s="32"/>
      <c r="H203" s="5" t="s">
        <v>225</v>
      </c>
    </row>
    <row r="205" spans="7:24" x14ac:dyDescent="0.3">
      <c r="G205" s="44"/>
      <c r="H205" s="5" t="s">
        <v>226</v>
      </c>
    </row>
  </sheetData>
  <mergeCells count="17">
    <mergeCell ref="N198:O198"/>
    <mergeCell ref="V198:W198"/>
    <mergeCell ref="G1:G3"/>
    <mergeCell ref="H1:H3"/>
    <mergeCell ref="I1:M1"/>
    <mergeCell ref="N1:T1"/>
    <mergeCell ref="I2:I3"/>
    <mergeCell ref="J2:J3"/>
    <mergeCell ref="K2:K3"/>
    <mergeCell ref="L2:L3"/>
    <mergeCell ref="M2:M3"/>
    <mergeCell ref="A1:A4"/>
    <mergeCell ref="B1:B4"/>
    <mergeCell ref="C1:C4"/>
    <mergeCell ref="D1:D4"/>
    <mergeCell ref="E1:E4"/>
    <mergeCell ref="F1:F3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69" orientation="landscape" r:id="rId1"/>
  <rowBreaks count="2" manualBreakCount="2">
    <brk id="145" max="26" man="1"/>
    <brk id="193" max="2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HeadingPairs>
  <TitlesOfParts>
    <vt:vector size="15" baseType="lpstr">
      <vt:lpstr>2021</vt:lpstr>
      <vt:lpstr>2022</vt:lpstr>
      <vt:lpstr>2023</vt:lpstr>
      <vt:lpstr>2024</vt:lpstr>
      <vt:lpstr>2025</vt:lpstr>
      <vt:lpstr>'2021'!Print_Area</vt:lpstr>
      <vt:lpstr>'2022'!Print_Area</vt:lpstr>
      <vt:lpstr>'2023'!Print_Area</vt:lpstr>
      <vt:lpstr>'2024'!Print_Area</vt:lpstr>
      <vt:lpstr>'2025'!Print_Area</vt:lpstr>
      <vt:lpstr>'2021'!Print_Titles</vt:lpstr>
      <vt:lpstr>'2022'!Print_Titles</vt:lpstr>
      <vt:lpstr>'2023'!Print_Titles</vt:lpstr>
      <vt:lpstr>'2024'!Print_Titles</vt:lpstr>
      <vt:lpstr>'2025'!Print_Titles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Pusda 7</dc:creator>
  <cp:lastModifiedBy>Pusda 7</cp:lastModifiedBy>
  <dcterms:created xsi:type="dcterms:W3CDTF">2026-05-22T06:26:23Z</dcterms:created>
  <dcterms:modified xsi:type="dcterms:W3CDTF">2026-05-22T08:49:31Z</dcterms:modified>
</cp:coreProperties>
</file>